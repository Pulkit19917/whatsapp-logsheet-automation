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4240" windowHeight="13140" tabRatio="600" firstSheet="2" activeTab="8" autoFilterDateGrouping="1"/>
  </bookViews>
  <sheets>
    <sheet xmlns:r="http://schemas.openxmlformats.org/officeDocument/2006/relationships" name="PO" sheetId="1" state="visible" r:id="rId1"/>
    <sheet xmlns:r="http://schemas.openxmlformats.org/officeDocument/2006/relationships" name="Apr26" sheetId="2" state="visible" r:id="rId2"/>
    <sheet xmlns:r="http://schemas.openxmlformats.org/officeDocument/2006/relationships" name="May26-update" sheetId="3" state="visible" r:id="rId3"/>
    <sheet xmlns:r="http://schemas.openxmlformats.org/officeDocument/2006/relationships" name="May-26" sheetId="4" state="visible" r:id="rId4"/>
    <sheet xmlns:r="http://schemas.openxmlformats.org/officeDocument/2006/relationships" name="June-26" sheetId="5" state="visible" r:id="rId5"/>
    <sheet xmlns:r="http://schemas.openxmlformats.org/officeDocument/2006/relationships" name="June26-update" sheetId="6" state="visible" r:id="rId6"/>
    <sheet xmlns:r="http://schemas.openxmlformats.org/officeDocument/2006/relationships" name="JULY26-UPDATE" sheetId="7" state="visible" r:id="rId7"/>
    <sheet xmlns:r="http://schemas.openxmlformats.org/officeDocument/2006/relationships" name="Aug26-Update" sheetId="8" state="visible" r:id="rId8"/>
    <sheet xmlns:r="http://schemas.openxmlformats.org/officeDocument/2006/relationships" name="Sep26-Update" sheetId="9" state="visible" r:id="rId9"/>
    <sheet xmlns:r="http://schemas.openxmlformats.org/officeDocument/2006/relationships" name="Rake" sheetId="10" state="visible" r:id="rId10"/>
    <sheet xmlns:r="http://schemas.openxmlformats.org/officeDocument/2006/relationships" name="SUMMARY" sheetId="11" state="visible" r:id="rId11"/>
  </sheets>
  <definedNames>
    <definedName name="_xlnm.Print_Area" localSheetId="5">'June26-update'!$J$1:$R$35</definedName>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rgb="FF006100"/>
      <sz val="11"/>
      <scheme val="minor"/>
    </font>
    <font>
      <name val="Calibri"/>
      <family val="2"/>
      <b val="1"/>
      <color theme="1"/>
      <sz val="11"/>
      <scheme val="minor"/>
    </font>
    <font>
      <name val="Calibri"/>
      <family val="2"/>
      <b val="1"/>
      <color theme="1"/>
      <sz val="12"/>
      <scheme val="minor"/>
    </font>
    <font>
      <name val="Calibri"/>
      <family val="2"/>
      <color theme="10"/>
      <sz val="11"/>
      <u val="single"/>
      <scheme val="minor"/>
    </font>
    <font>
      <name val="Calibri"/>
      <family val="2"/>
      <color theme="1"/>
      <sz val="12"/>
      <scheme val="minor"/>
    </font>
    <font>
      <name val="Times New Roman"/>
      <family val="1"/>
      <color rgb="FF000000"/>
      <sz val="12"/>
    </font>
    <font>
      <name val="Arial"/>
      <family val="2"/>
      <color rgb="FF1F1F1F"/>
      <sz val="11"/>
    </font>
    <font>
      <name val="Calibri"/>
      <family val="2"/>
      <color theme="1"/>
      <sz val="11"/>
      <scheme val="minor"/>
    </font>
    <font>
      <name val="Calibri"/>
      <family val="2"/>
      <b val="1"/>
      <color theme="1"/>
      <sz val="14"/>
      <scheme val="minor"/>
    </font>
    <font>
      <name val="Calibri"/>
      <family val="2"/>
      <b val="1"/>
      <color theme="1"/>
      <sz val="22"/>
      <scheme val="minor"/>
    </font>
    <font>
      <name val="Calibri"/>
      <family val="2"/>
      <b val="1"/>
      <color theme="1"/>
      <sz val="16"/>
      <scheme val="minor"/>
    </font>
    <font>
      <name val="Calibri"/>
      <family val="2"/>
      <b val="1"/>
      <sz val="11"/>
    </font>
    <font>
      <name val="Calibri"/>
      <family val="2"/>
      <sz val="11"/>
      <scheme val="minor"/>
    </font>
  </fonts>
  <fills count="15">
    <fill>
      <patternFill/>
    </fill>
    <fill>
      <patternFill patternType="gray125"/>
    </fill>
    <fill>
      <patternFill patternType="solid">
        <fgColor rgb="FFC6EFCE"/>
      </patternFill>
    </fill>
    <fill>
      <patternFill patternType="solid">
        <fgColor theme="9" tint="0.5999938962981048"/>
        <bgColor indexed="64"/>
      </patternFill>
    </fill>
    <fill>
      <patternFill patternType="solid">
        <fgColor theme="9" tint="0.7999816888943144"/>
        <bgColor indexed="64"/>
      </patternFill>
    </fill>
    <fill>
      <patternFill patternType="solid">
        <fgColor rgb="FFFFC000"/>
        <bgColor indexed="64"/>
      </patternFill>
    </fill>
    <fill>
      <patternFill patternType="solid">
        <fgColor theme="4" tint="0.7999816888943144"/>
        <bgColor indexed="64"/>
      </patternFill>
    </fill>
    <fill>
      <patternFill patternType="solid">
        <fgColor rgb="FFFFFF00"/>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theme="3" tint="0.7999816888943144"/>
        <bgColor indexed="64"/>
      </patternFill>
    </fill>
    <fill>
      <patternFill patternType="solid">
        <fgColor theme="7" tint="0.5999938962981048"/>
        <bgColor indexed="64"/>
      </patternFill>
    </fill>
    <fill>
      <patternFill patternType="solid">
        <fgColor theme="4" tint="0.3999755851924192"/>
        <bgColor indexed="64"/>
      </patternFill>
    </fill>
    <fill>
      <patternFill patternType="solid">
        <fgColor theme="6" tint="0.3999755851924192"/>
        <bgColor indexed="64"/>
      </patternFill>
    </fill>
    <fill>
      <patternFill patternType="solid">
        <fgColor theme="0"/>
        <bgColor indexed="64"/>
      </patternFill>
    </fill>
  </fills>
  <borders count="3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s>
  <cellStyleXfs count="3">
    <xf numFmtId="0" fontId="8" fillId="0" borderId="0"/>
    <xf numFmtId="0" fontId="1" fillId="2" borderId="0"/>
    <xf numFmtId="0" fontId="4" fillId="0" borderId="0"/>
  </cellStyleXfs>
  <cellXfs count="155">
    <xf numFmtId="0" fontId="0" fillId="0" borderId="0" pivotButton="0" quotePrefix="0" xfId="0"/>
    <xf numFmtId="2" fontId="3" fillId="4" borderId="3" applyAlignment="1" pivotButton="0" quotePrefix="0" xfId="1">
      <alignment horizontal="center" vertical="center" wrapText="1"/>
    </xf>
    <xf numFmtId="0" fontId="3" fillId="4" borderId="3" applyAlignment="1" pivotButton="0" quotePrefix="0" xfId="1">
      <alignment horizontal="center" vertical="center" wrapText="1"/>
    </xf>
    <xf numFmtId="0" fontId="3" fillId="5" borderId="3" applyAlignment="1" pivotButton="0" quotePrefix="0" xfId="1">
      <alignment horizontal="center" vertical="center" wrapText="1"/>
    </xf>
    <xf numFmtId="0" fontId="2" fillId="6" borderId="3" applyAlignment="1" pivotButton="0" quotePrefix="0" xfId="1">
      <alignment horizontal="center" vertical="center"/>
    </xf>
    <xf numFmtId="2" fontId="0" fillId="6" borderId="3" applyAlignment="1" pivotButton="0" quotePrefix="0" xfId="0">
      <alignment horizontal="center"/>
    </xf>
    <xf numFmtId="0" fontId="5" fillId="0" borderId="4" pivotButton="0" quotePrefix="0" xfId="0"/>
    <xf numFmtId="0" fontId="0" fillId="0" borderId="5" applyAlignment="1" pivotButton="0" quotePrefix="0" xfId="0">
      <alignment horizontal="center"/>
    </xf>
    <xf numFmtId="0" fontId="5" fillId="0" borderId="6"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6" pivotButton="0" quotePrefix="0" xfId="0"/>
    <xf numFmtId="14" fontId="0" fillId="0" borderId="7" applyAlignment="1" pivotButton="0" quotePrefix="0" xfId="0">
      <alignment horizontal="center"/>
    </xf>
    <xf numFmtId="0" fontId="5" fillId="0" borderId="7" applyAlignment="1" pivotButton="0" quotePrefix="0" xfId="0">
      <alignment horizontal="center"/>
    </xf>
    <xf numFmtId="0" fontId="5" fillId="0" borderId="8" applyAlignment="1" pivotButton="0" quotePrefix="0" xfId="0">
      <alignment horizontal="center"/>
    </xf>
    <xf numFmtId="0" fontId="5" fillId="0" borderId="6" applyAlignment="1" pivotButton="0" quotePrefix="0" xfId="0">
      <alignment vertical="center"/>
    </xf>
    <xf numFmtId="0" fontId="0" fillId="0" borderId="7" applyAlignment="1" pivotButton="0" quotePrefix="0" xfId="0">
      <alignment horizontal="center" vertical="center" wrapText="1"/>
    </xf>
    <xf numFmtId="0" fontId="0" fillId="0" borderId="8" applyAlignment="1" pivotButton="0" quotePrefix="0" xfId="0">
      <alignment horizontal="center" vertical="center" wrapText="1"/>
    </xf>
    <xf numFmtId="14" fontId="0" fillId="0" borderId="7" applyAlignment="1" pivotButton="0" quotePrefix="0" xfId="0">
      <alignment horizontal="center" vertical="center" wrapText="1"/>
    </xf>
    <xf numFmtId="14" fontId="0" fillId="0" borderId="8" applyAlignment="1" pivotButton="0" quotePrefix="0" xfId="0">
      <alignment horizontal="center" vertical="center" wrapText="1"/>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6" fillId="0" borderId="6" applyAlignment="1" pivotButton="0" quotePrefix="0" xfId="0">
      <alignment horizontal="left" vertical="center"/>
    </xf>
    <xf numFmtId="0" fontId="6" fillId="0" borderId="6" applyAlignment="1" pivotButton="0" quotePrefix="0" xfId="0">
      <alignment horizontal="left" vertical="top"/>
    </xf>
    <xf numFmtId="0" fontId="4" fillId="0" borderId="9" applyAlignment="1" pivotButton="0" quotePrefix="0" xfId="2">
      <alignment horizontal="center"/>
    </xf>
    <xf numFmtId="0" fontId="4" fillId="0" borderId="10" applyAlignment="1" pivotButton="0" quotePrefix="0" xfId="2">
      <alignment horizontal="center"/>
    </xf>
    <xf numFmtId="0" fontId="0" fillId="0" borderId="11" applyAlignment="1" pivotButton="0" quotePrefix="0" xfId="0">
      <alignment horizontal="center" vertical="center" wrapText="1"/>
    </xf>
    <xf numFmtId="0" fontId="6" fillId="0" borderId="13" applyAlignment="1" pivotButton="0" quotePrefix="0" xfId="0">
      <alignment horizontal="left" vertical="center"/>
    </xf>
    <xf numFmtId="15" fontId="0" fillId="0" borderId="7" applyAlignment="1" pivotButton="0" quotePrefix="0" xfId="0">
      <alignment horizontal="center"/>
    </xf>
    <xf numFmtId="0" fontId="0" fillId="7" borderId="7" applyAlignment="1" pivotButton="0" quotePrefix="0" xfId="0">
      <alignment horizontal="center"/>
    </xf>
    <xf numFmtId="0" fontId="0" fillId="7" borderId="8" applyAlignment="1" pivotButton="0" quotePrefix="0" xfId="0">
      <alignment horizontal="center"/>
    </xf>
    <xf numFmtId="14" fontId="0" fillId="6" borderId="3" pivotButton="0" quotePrefix="0" xfId="0"/>
    <xf numFmtId="2" fontId="3" fillId="9" borderId="3" applyAlignment="1" pivotButton="0" quotePrefix="0" xfId="1">
      <alignment horizontal="center" vertical="center"/>
    </xf>
    <xf numFmtId="0" fontId="2" fillId="9" borderId="3" applyAlignment="1" pivotButton="0" quotePrefix="0" xfId="1">
      <alignment horizontal="center" vertical="center"/>
    </xf>
    <xf numFmtId="2" fontId="3" fillId="9" borderId="3" applyAlignment="1" pivotButton="0" quotePrefix="0" xfId="1">
      <alignment horizontal="center" vertical="center" wrapText="1"/>
    </xf>
    <xf numFmtId="0" fontId="3" fillId="9" borderId="3" applyAlignment="1" pivotButton="0" quotePrefix="0" xfId="1">
      <alignment horizontal="center" vertical="center" wrapText="1"/>
    </xf>
    <xf numFmtId="2" fontId="3" fillId="10" borderId="3" applyAlignment="1" pivotButton="0" quotePrefix="0" xfId="1">
      <alignment horizontal="center" vertical="center" wrapText="1"/>
    </xf>
    <xf numFmtId="0" fontId="3" fillId="10" borderId="3" applyAlignment="1" pivotButton="0" quotePrefix="0" xfId="1">
      <alignment horizontal="center" vertical="center" wrapText="1"/>
    </xf>
    <xf numFmtId="0" fontId="2" fillId="11" borderId="3" applyAlignment="1" pivotButton="0" quotePrefix="0" xfId="1">
      <alignment horizontal="center" vertical="center"/>
    </xf>
    <xf numFmtId="2" fontId="0" fillId="11" borderId="3" applyAlignment="1" pivotButton="0" quotePrefix="0" xfId="0">
      <alignment horizontal="center"/>
    </xf>
    <xf numFmtId="0" fontId="0" fillId="6" borderId="3" applyAlignment="1" pivotButton="0" quotePrefix="0" xfId="0">
      <alignment horizontal="center"/>
    </xf>
    <xf numFmtId="0" fontId="0" fillId="0" borderId="0" applyAlignment="1" pivotButton="0" quotePrefix="0" xfId="0">
      <alignment horizontal="center"/>
    </xf>
    <xf numFmtId="0" fontId="0" fillId="7" borderId="0" applyAlignment="1" pivotButton="0" quotePrefix="0" xfId="0">
      <alignment horizontal="center"/>
    </xf>
    <xf numFmtId="0" fontId="5" fillId="0" borderId="0" applyAlignment="1" pivotButton="0" quotePrefix="0" xfId="0">
      <alignment horizontal="center"/>
    </xf>
    <xf numFmtId="0" fontId="0" fillId="0" borderId="0" applyAlignment="1" pivotButton="0" quotePrefix="0" xfId="0">
      <alignment horizontal="center" vertical="center" wrapText="1"/>
    </xf>
    <xf numFmtId="14"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4" fillId="0" borderId="0" applyAlignment="1" pivotButton="0" quotePrefix="0" xfId="2">
      <alignment horizontal="center"/>
    </xf>
    <xf numFmtId="0" fontId="7" fillId="0" borderId="0" applyAlignment="1" pivotButton="0" quotePrefix="0" xfId="0">
      <alignment horizontal="center"/>
    </xf>
    <xf numFmtId="0" fontId="2" fillId="4" borderId="3" applyAlignment="1" pivotButton="0" quotePrefix="0" xfId="1">
      <alignment horizontal="center" vertical="center" wrapText="1"/>
    </xf>
    <xf numFmtId="0" fontId="2" fillId="4" borderId="3" applyAlignment="1" pivotButton="0" quotePrefix="0" xfId="1">
      <alignment horizontal="center" vertical="center"/>
    </xf>
    <xf numFmtId="0" fontId="8" fillId="9" borderId="3" applyAlignment="1" pivotButton="0" quotePrefix="0" xfId="0">
      <alignment horizontal="center" vertical="center"/>
    </xf>
    <xf numFmtId="0" fontId="2" fillId="9" borderId="3" applyAlignment="1" pivotButton="0" quotePrefix="0" xfId="1">
      <alignment horizontal="center" vertical="center" wrapText="1"/>
    </xf>
    <xf numFmtId="0" fontId="8" fillId="3" borderId="3" applyAlignment="1" pivotButton="0" quotePrefix="0" xfId="0">
      <alignment horizontal="center" vertical="center"/>
    </xf>
    <xf numFmtId="0" fontId="2" fillId="3" borderId="3" applyAlignment="1" pivotButton="0" quotePrefix="0" xfId="1">
      <alignment horizontal="center" vertical="center" wrapText="1"/>
    </xf>
    <xf numFmtId="0" fontId="2" fillId="3" borderId="3" applyAlignment="1" pivotButton="0" quotePrefix="0" xfId="1">
      <alignment horizontal="center"/>
    </xf>
    <xf numFmtId="0" fontId="8" fillId="3" borderId="3" applyAlignment="1" pivotButton="0" quotePrefix="0" xfId="1">
      <alignment horizontal="center"/>
    </xf>
    <xf numFmtId="0" fontId="0" fillId="9" borderId="3" pivotButton="0" quotePrefix="0" xfId="0"/>
    <xf numFmtId="0" fontId="0" fillId="7" borderId="3" pivotButton="0" quotePrefix="0" xfId="0"/>
    <xf numFmtId="1" fontId="0" fillId="11" borderId="3" applyAlignment="1" pivotButton="0" quotePrefix="0" xfId="0">
      <alignment horizontal="center"/>
    </xf>
    <xf numFmtId="1" fontId="8" fillId="6" borderId="3" applyAlignment="1" pivotButton="0" quotePrefix="0" xfId="1">
      <alignment horizontal="center" vertical="center"/>
    </xf>
    <xf numFmtId="1" fontId="0" fillId="6" borderId="3" applyAlignment="1" pivotButton="0" quotePrefix="0" xfId="0">
      <alignment horizontal="center"/>
    </xf>
    <xf numFmtId="2" fontId="5" fillId="9" borderId="3" applyAlignment="1" pivotButton="0" quotePrefix="0" xfId="1">
      <alignment horizontal="center" vertical="center"/>
    </xf>
    <xf numFmtId="1" fontId="2" fillId="11" borderId="3" applyAlignment="1" pivotButton="0" quotePrefix="0" xfId="1">
      <alignment horizontal="center" vertical="center"/>
    </xf>
    <xf numFmtId="0" fontId="2" fillId="10" borderId="3" applyAlignment="1" pivotButton="0" quotePrefix="0" xfId="0">
      <alignment horizontal="center"/>
    </xf>
    <xf numFmtId="0" fontId="2" fillId="7" borderId="3" applyAlignment="1" pivotButton="0" quotePrefix="0" xfId="0">
      <alignment horizontal="center"/>
    </xf>
    <xf numFmtId="0" fontId="2" fillId="13" borderId="3" applyAlignment="1" pivotButton="0" quotePrefix="0" xfId="0">
      <alignment horizontal="center"/>
    </xf>
    <xf numFmtId="17" fontId="2" fillId="0" borderId="3" applyAlignment="1" pivotButton="0" quotePrefix="0" xfId="0">
      <alignment horizontal="center"/>
    </xf>
    <xf numFmtId="1" fontId="0" fillId="0" borderId="3" applyAlignment="1" pivotButton="0" quotePrefix="0" xfId="0">
      <alignment horizontal="center"/>
    </xf>
    <xf numFmtId="1" fontId="0" fillId="0" borderId="3" applyAlignment="1" pivotButton="0" quotePrefix="0" xfId="0">
      <alignment horizontal="center" vertical="center"/>
    </xf>
    <xf numFmtId="2" fontId="0" fillId="8" borderId="3" applyAlignment="1" pivotButton="0" quotePrefix="0" xfId="0">
      <alignment horizontal="center"/>
    </xf>
    <xf numFmtId="2" fontId="0" fillId="0" borderId="3" applyAlignment="1" pivotButton="0" quotePrefix="0" xfId="0">
      <alignment horizontal="center"/>
    </xf>
    <xf numFmtId="0" fontId="0" fillId="0" borderId="3" pivotButton="0" quotePrefix="0" xfId="0"/>
    <xf numFmtId="0" fontId="0" fillId="0" borderId="3" applyAlignment="1" pivotButton="0" quotePrefix="0" xfId="0">
      <alignment horizontal="center"/>
    </xf>
    <xf numFmtId="0" fontId="0" fillId="0" borderId="2" pivotButton="0" quotePrefix="0" xfId="0"/>
    <xf numFmtId="2" fontId="0" fillId="0" borderId="1" pivotButton="0" quotePrefix="0" xfId="0"/>
    <xf numFmtId="2" fontId="0" fillId="0" borderId="15" pivotButton="0" quotePrefix="0" xfId="0"/>
    <xf numFmtId="0" fontId="0" fillId="9" borderId="15" pivotButton="0" quotePrefix="0" xfId="0"/>
    <xf numFmtId="0" fontId="12" fillId="0" borderId="3" applyAlignment="1" pivotButton="0" quotePrefix="0" xfId="0">
      <alignment horizontal="center" vertical="center"/>
    </xf>
    <xf numFmtId="0" fontId="12" fillId="14" borderId="3" applyAlignment="1" pivotButton="0" quotePrefix="0" xfId="0">
      <alignment horizontal="center" vertical="center"/>
    </xf>
    <xf numFmtId="14" fontId="0" fillId="0" borderId="3" applyAlignment="1" pivotButton="0" quotePrefix="0" xfId="0">
      <alignment horizontal="center" vertical="center"/>
    </xf>
    <xf numFmtId="0" fontId="0" fillId="0" borderId="3" applyAlignment="1" pivotButton="0" quotePrefix="0" xfId="0">
      <alignment horizontal="center" vertical="center"/>
    </xf>
    <xf numFmtId="14" fontId="0" fillId="14" borderId="3" applyAlignment="1" pivotButton="0" quotePrefix="0" xfId="0">
      <alignment horizontal="center" vertical="center"/>
    </xf>
    <xf numFmtId="0" fontId="0" fillId="14" borderId="3" applyAlignment="1" pivotButton="0" quotePrefix="0" xfId="0">
      <alignment horizontal="center" vertical="center"/>
    </xf>
    <xf numFmtId="1" fontId="8" fillId="14" borderId="3" applyAlignment="1" pivotButton="0" quotePrefix="0" xfId="1">
      <alignment horizontal="center" vertical="center"/>
    </xf>
    <xf numFmtId="1" fontId="0" fillId="14" borderId="3" applyAlignment="1" pivotButton="0" quotePrefix="0" xfId="0">
      <alignment horizontal="center" vertical="center"/>
    </xf>
    <xf numFmtId="0" fontId="2" fillId="14" borderId="3" applyAlignment="1" pivotButton="0" quotePrefix="0" xfId="1">
      <alignment horizontal="center" vertical="center"/>
    </xf>
    <xf numFmtId="1" fontId="0" fillId="14" borderId="3" applyAlignment="1" pivotButton="0" quotePrefix="0" xfId="0">
      <alignment horizontal="center"/>
    </xf>
    <xf numFmtId="0" fontId="8" fillId="14" borderId="3" applyAlignment="1" pivotButton="0" quotePrefix="0" xfId="0">
      <alignment horizontal="center" vertical="center"/>
    </xf>
    <xf numFmtId="0" fontId="2" fillId="0" borderId="3" applyAlignment="1" pivotButton="0" quotePrefix="0" xfId="0">
      <alignment horizontal="center"/>
    </xf>
    <xf numFmtId="1" fontId="2" fillId="0" borderId="3" applyAlignment="1" pivotButton="0" quotePrefix="0" xfId="0">
      <alignment horizontal="center" vertical="center"/>
    </xf>
    <xf numFmtId="0" fontId="2" fillId="0" borderId="3" pivotButton="0" quotePrefix="0" xfId="0"/>
    <xf numFmtId="0" fontId="2" fillId="14" borderId="3" applyAlignment="1" pivotButton="0" quotePrefix="0" xfId="0">
      <alignment horizontal="center"/>
    </xf>
    <xf numFmtId="1" fontId="2" fillId="14" borderId="3" applyAlignment="1" pivotButton="0" quotePrefix="0" xfId="0">
      <alignment horizontal="center" vertical="center"/>
    </xf>
    <xf numFmtId="0" fontId="2" fillId="14" borderId="3" pivotButton="0" quotePrefix="0" xfId="0"/>
    <xf numFmtId="0" fontId="2" fillId="0" borderId="0" pivotButton="0" quotePrefix="0" xfId="0"/>
    <xf numFmtId="0" fontId="3" fillId="0" borderId="22" applyAlignment="1" pivotButton="0" quotePrefix="0" xfId="0">
      <alignment horizontal="center"/>
    </xf>
    <xf numFmtId="0" fontId="3" fillId="0" borderId="23" applyAlignment="1" pivotButton="0" quotePrefix="0" xfId="0">
      <alignment horizontal="center"/>
    </xf>
    <xf numFmtId="0" fontId="3" fillId="0" borderId="24" applyAlignment="1" pivotButton="0" quotePrefix="0" xfId="0">
      <alignment horizontal="center"/>
    </xf>
    <xf numFmtId="14" fontId="0" fillId="0" borderId="3" applyAlignment="1" pivotButton="0" quotePrefix="0" xfId="0">
      <alignment horizontal="center"/>
    </xf>
    <xf numFmtId="1" fontId="0" fillId="0" borderId="0" pivotButton="0" quotePrefix="0" xfId="0"/>
    <xf numFmtId="2" fontId="8" fillId="14" borderId="3" applyAlignment="1" pivotButton="0" quotePrefix="0" xfId="1">
      <alignment horizontal="center" vertical="center"/>
    </xf>
    <xf numFmtId="2" fontId="0" fillId="14" borderId="3" applyAlignment="1" pivotButton="0" quotePrefix="0" xfId="0">
      <alignment horizontal="center"/>
    </xf>
    <xf numFmtId="2" fontId="0" fillId="14" borderId="3" applyAlignment="1" pivotButton="0" quotePrefix="0" xfId="0">
      <alignment horizontal="center" vertical="center"/>
    </xf>
    <xf numFmtId="2" fontId="2" fillId="14" borderId="3" applyAlignment="1" pivotButton="0" quotePrefix="0" xfId="0">
      <alignment horizontal="center" vertical="center"/>
    </xf>
    <xf numFmtId="1" fontId="2" fillId="6" borderId="3" applyAlignment="1" pivotButton="0" quotePrefix="0" xfId="1">
      <alignment horizontal="center" vertical="center"/>
    </xf>
    <xf numFmtId="14" fontId="0" fillId="6" borderId="3" applyAlignment="1" pivotButton="0" quotePrefix="0" xfId="0">
      <alignment horizontal="center"/>
    </xf>
    <xf numFmtId="0" fontId="0" fillId="0" borderId="7" applyAlignment="1" pivotButton="0" quotePrefix="0" xfId="0">
      <alignment horizontal="center" wrapText="1"/>
    </xf>
    <xf numFmtId="2" fontId="0" fillId="0" borderId="0" pivotButton="0" quotePrefix="0" xfId="0"/>
    <xf numFmtId="14" fontId="0" fillId="0" borderId="0" applyAlignment="1" pivotButton="0" quotePrefix="0" xfId="0">
      <alignment horizontal="left"/>
    </xf>
    <xf numFmtId="2" fontId="0" fillId="0" borderId="0" applyAlignment="1" pivotButton="0" quotePrefix="0" xfId="0">
      <alignment horizontal="center"/>
    </xf>
    <xf numFmtId="0" fontId="0" fillId="6" borderId="3" pivotButton="0" quotePrefix="0" xfId="0"/>
    <xf numFmtId="0" fontId="0" fillId="7" borderId="3" applyAlignment="1" pivotButton="0" quotePrefix="0" xfId="0">
      <alignment horizontal="center"/>
    </xf>
    <xf numFmtId="2" fontId="0" fillId="9" borderId="3" pivotButton="0" quotePrefix="0" xfId="0"/>
    <xf numFmtId="2" fontId="2" fillId="0" borderId="3" applyAlignment="1" pivotButton="0" quotePrefix="0" xfId="0">
      <alignment horizontal="center" vertical="center"/>
    </xf>
    <xf numFmtId="1" fontId="8" fillId="14" borderId="3" applyAlignment="1" pivotButton="0" quotePrefix="0" xfId="0">
      <alignment horizontal="center" vertical="center"/>
    </xf>
    <xf numFmtId="0" fontId="0" fillId="0" borderId="0" applyAlignment="1" pivotButton="0" quotePrefix="0" xfId="0">
      <alignment horizontal="left"/>
    </xf>
    <xf numFmtId="2" fontId="0" fillId="0" borderId="3" applyAlignment="1" pivotButton="0" quotePrefix="0" xfId="0">
      <alignment horizontal="center" vertical="center"/>
    </xf>
    <xf numFmtId="0" fontId="0" fillId="7" borderId="3" applyAlignment="1" pivotButton="0" quotePrefix="0" xfId="0">
      <alignment horizontal="center" vertical="center"/>
    </xf>
    <xf numFmtId="14" fontId="0" fillId="0" borderId="0" pivotButton="0" quotePrefix="0" xfId="0"/>
    <xf numFmtId="2" fontId="2" fillId="14" borderId="3" applyAlignment="1" pivotButton="0" quotePrefix="0" xfId="1">
      <alignment horizontal="center" vertical="center"/>
    </xf>
    <xf numFmtId="0" fontId="2" fillId="9" borderId="2" applyAlignment="1" pivotButton="0" quotePrefix="0" xfId="1">
      <alignment horizontal="center" vertical="center"/>
    </xf>
    <xf numFmtId="15" fontId="0" fillId="0" borderId="3" applyAlignment="1" pivotButton="0" quotePrefix="0" xfId="0">
      <alignment horizontal="center" vertical="center"/>
    </xf>
    <xf numFmtId="0" fontId="13" fillId="0" borderId="3" applyAlignment="1" pivotButton="0" quotePrefix="0" xfId="0">
      <alignment horizontal="center" vertical="center"/>
    </xf>
    <xf numFmtId="0" fontId="12" fillId="0" borderId="3" applyAlignment="1" pivotButton="0" quotePrefix="0" xfId="0">
      <alignment horizontal="center" vertical="center"/>
    </xf>
    <xf numFmtId="0" fontId="0" fillId="0" borderId="15" pivotButton="0" quotePrefix="0" xfId="0"/>
    <xf numFmtId="0" fontId="0" fillId="0" borderId="2" pivotButton="0" quotePrefix="0" xfId="0"/>
    <xf numFmtId="0" fontId="12" fillId="14" borderId="3" applyAlignment="1" pivotButton="0" quotePrefix="0" xfId="0">
      <alignment horizontal="center" vertical="center"/>
    </xf>
    <xf numFmtId="17" fontId="12" fillId="14" borderId="3" applyAlignment="1" pivotButton="0" quotePrefix="0" xfId="0">
      <alignment horizontal="center" vertical="center"/>
    </xf>
    <xf numFmtId="0" fontId="7" fillId="0" borderId="11" applyAlignment="1" pivotButton="0" quotePrefix="0" xfId="0">
      <alignment horizontal="center"/>
    </xf>
    <xf numFmtId="0" fontId="0" fillId="0" borderId="12" pivotButton="0" quotePrefix="0" xfId="0"/>
    <xf numFmtId="0" fontId="0" fillId="0" borderId="14" applyAlignment="1" pivotButton="0" quotePrefix="0" xfId="0">
      <alignment horizontal="center" vertical="center" wrapText="1"/>
    </xf>
    <xf numFmtId="0" fontId="0" fillId="0" borderId="25" pivotButton="0" quotePrefix="0" xfId="0"/>
    <xf numFmtId="0" fontId="0" fillId="0" borderId="7" applyAlignment="1" pivotButton="0" quotePrefix="0" xfId="0">
      <alignment horizontal="center" vertical="center" wrapText="1"/>
    </xf>
    <xf numFmtId="2" fontId="0" fillId="11" borderId="3" applyAlignment="1" pivotButton="0" quotePrefix="0" xfId="0">
      <alignment horizontal="center"/>
    </xf>
    <xf numFmtId="17" fontId="12" fillId="0" borderId="3" applyAlignment="1" pivotButton="0" quotePrefix="0" xfId="0">
      <alignment horizontal="center" vertical="center"/>
    </xf>
    <xf numFmtId="14" fontId="2" fillId="9" borderId="3" applyAlignment="1" pivotButton="0" quotePrefix="0" xfId="1">
      <alignment horizontal="center" vertical="center"/>
    </xf>
    <xf numFmtId="0" fontId="3" fillId="12" borderId="3" applyAlignment="1" pivotButton="0" quotePrefix="0" xfId="1">
      <alignment horizontal="center" vertical="center" wrapText="1"/>
    </xf>
    <xf numFmtId="0" fontId="9" fillId="8" borderId="3" applyAlignment="1" pivotButton="0" quotePrefix="0" xfId="1">
      <alignment horizontal="center" vertical="center"/>
    </xf>
    <xf numFmtId="0" fontId="3" fillId="3" borderId="3" applyAlignment="1" pivotButton="0" quotePrefix="0" xfId="1">
      <alignment horizontal="center" vertical="center" wrapText="1"/>
    </xf>
    <xf numFmtId="0" fontId="9" fillId="7" borderId="3" applyAlignment="1" pivotButton="0" quotePrefix="0" xfId="0">
      <alignment horizontal="center"/>
    </xf>
    <xf numFmtId="14" fontId="2" fillId="9" borderId="1" applyAlignment="1" pivotButton="0" quotePrefix="0" xfId="1">
      <alignment horizontal="center" vertical="center"/>
    </xf>
    <xf numFmtId="0" fontId="3" fillId="0" borderId="5" applyAlignment="1" pivotButton="0" quotePrefix="0" xfId="0">
      <alignment horizontal="center"/>
    </xf>
    <xf numFmtId="0" fontId="0" fillId="0" borderId="19" pivotButton="0" quotePrefix="0" xfId="0"/>
    <xf numFmtId="0" fontId="3" fillId="0" borderId="20" applyAlignment="1" pivotButton="0" quotePrefix="0" xfId="0">
      <alignment horizontal="center"/>
    </xf>
    <xf numFmtId="0" fontId="3" fillId="0" borderId="4" applyAlignment="1" pivotButton="0" quotePrefix="0" xfId="0">
      <alignment horizontal="center" vertical="center"/>
    </xf>
    <xf numFmtId="0" fontId="0" fillId="0" borderId="26" pivotButton="0" quotePrefix="0" xfId="0"/>
    <xf numFmtId="0" fontId="3" fillId="0" borderId="21" applyAlignment="1" pivotButton="0" quotePrefix="0" xfId="0">
      <alignment horizontal="center" vertical="center"/>
    </xf>
    <xf numFmtId="0" fontId="0" fillId="0" borderId="10" pivotButton="0" quotePrefix="0" xfId="0"/>
    <xf numFmtId="0" fontId="11" fillId="10" borderId="5" applyAlignment="1" pivotButton="0" quotePrefix="0" xfId="0">
      <alignment horizontal="center"/>
    </xf>
    <xf numFmtId="0" fontId="0" fillId="0" borderId="18" pivotButton="0" quotePrefix="0" xfId="0"/>
    <xf numFmtId="0" fontId="10" fillId="9" borderId="16" applyAlignment="1" pivotButton="0" quotePrefix="0" xfId="0">
      <alignment horizontal="center"/>
    </xf>
    <xf numFmtId="0" fontId="0" fillId="0" borderId="17" pivotButton="0" quotePrefix="0" xfId="0"/>
    <xf numFmtId="0" fontId="11" fillId="13" borderId="4" applyAlignment="1" pivotButton="0" quotePrefix="0" xfId="0">
      <alignment horizontal="center"/>
    </xf>
    <xf numFmtId="0" fontId="11" fillId="7" borderId="4" applyAlignment="1" pivotButton="0" quotePrefix="0" xfId="0">
      <alignment horizontal="center"/>
    </xf>
  </cellXfs>
  <cellStyles count="3">
    <cellStyle name="Normal" xfId="0" builtinId="0"/>
    <cellStyle name="Good" xfId="1" builtinId="26"/>
    <cellStyle name="Hyperlink"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H38"/>
  <sheetViews>
    <sheetView workbookViewId="0">
      <selection activeCell="D18" sqref="D18"/>
    </sheetView>
  </sheetViews>
  <sheetFormatPr baseColWidth="8" defaultRowHeight="15"/>
  <cols>
    <col width="28.85546875" bestFit="1" customWidth="1" min="1" max="1"/>
    <col width="31.7109375" bestFit="1" customWidth="1" min="2" max="3"/>
    <col width="31.7109375" customWidth="1" min="4" max="4"/>
    <col width="26.28515625" bestFit="1" customWidth="1" min="5" max="5"/>
    <col width="136" bestFit="1" customWidth="1" min="8" max="8"/>
    <col width="7.28515625" bestFit="1" customWidth="1" min="9" max="9"/>
  </cols>
  <sheetData>
    <row r="1" ht="15.75" customHeight="1">
      <c r="A1" s="6" t="inlineStr">
        <is>
          <t>Company Name</t>
        </is>
      </c>
      <c r="B1" s="7" t="inlineStr">
        <is>
          <t>JSW Infrastracture Ltd.</t>
        </is>
      </c>
      <c r="C1" s="7" t="inlineStr">
        <is>
          <t>JSW Infrastracture Ltd.</t>
        </is>
      </c>
      <c r="D1" s="7" t="inlineStr">
        <is>
          <t>JSW Infrastracture Ltd.</t>
        </is>
      </c>
      <c r="H1" s="58" t="inlineStr">
        <is>
          <t>XCMG-1 Operation started from 01-04-26</t>
        </is>
      </c>
    </row>
    <row r="2" ht="15.75" customHeight="1">
      <c r="A2" s="8" t="inlineStr">
        <is>
          <t>Site Location</t>
        </is>
      </c>
      <c r="B2" s="9" t="inlineStr">
        <is>
          <t>Arakkonam Railway siding</t>
        </is>
      </c>
      <c r="C2" s="9" t="inlineStr">
        <is>
          <t>Arakkonam Railway siding</t>
        </is>
      </c>
      <c r="D2" s="9" t="inlineStr">
        <is>
          <t>Arakkonam Railway siding</t>
        </is>
      </c>
      <c r="H2" s="58" t="inlineStr">
        <is>
          <t>XCMG-2 &amp; Fork lift Operation started from 15-04-26 and XCMG-2 is MLPM site xcmg because mlpm po have been expired</t>
        </is>
      </c>
    </row>
    <row r="3" ht="15.75" customHeight="1">
      <c r="A3" s="8" t="inlineStr">
        <is>
          <t>State</t>
        </is>
      </c>
      <c r="B3" s="9" t="inlineStr">
        <is>
          <t>Tamil Nadu</t>
        </is>
      </c>
      <c r="C3" s="9" t="inlineStr">
        <is>
          <t>Tamil Nadu</t>
        </is>
      </c>
      <c r="D3" s="9" t="inlineStr">
        <is>
          <t>Tamil Nadu</t>
        </is>
      </c>
    </row>
    <row r="4" ht="15.75" customHeight="1">
      <c r="A4" s="8" t="inlineStr">
        <is>
          <t>PO Date</t>
        </is>
      </c>
      <c r="B4" s="28" t="n">
        <v>46104</v>
      </c>
      <c r="C4" s="28" t="n">
        <v>46104</v>
      </c>
      <c r="D4" s="28" t="n">
        <v>46104</v>
      </c>
    </row>
    <row r="5">
      <c r="A5" s="11" t="inlineStr">
        <is>
          <t>PO Start Date</t>
        </is>
      </c>
      <c r="B5" s="12" t="n">
        <v>46113</v>
      </c>
      <c r="C5" s="12" t="n">
        <v>46113</v>
      </c>
      <c r="D5" s="12" t="n">
        <v>46113</v>
      </c>
      <c r="E5" t="inlineStr">
        <is>
          <t>Po effective date :- 27-03-26</t>
        </is>
      </c>
    </row>
    <row r="6">
      <c r="A6" s="11" t="inlineStr">
        <is>
          <t>PO End Date</t>
        </is>
      </c>
      <c r="B6" s="12" t="n">
        <v>46477</v>
      </c>
      <c r="C6" s="12" t="n">
        <v>46477</v>
      </c>
      <c r="D6" s="12" t="n">
        <v>46477</v>
      </c>
    </row>
    <row r="7" ht="15.75" customHeight="1">
      <c r="A7" s="8" t="inlineStr">
        <is>
          <t xml:space="preserve">Asset Type </t>
        </is>
      </c>
      <c r="B7" s="9" t="inlineStr">
        <is>
          <t>Reach Stacker</t>
        </is>
      </c>
      <c r="C7" s="10" t="inlineStr">
        <is>
          <t>Reach Stacker</t>
        </is>
      </c>
      <c r="D7" s="10" t="inlineStr">
        <is>
          <t>Forklift</t>
        </is>
      </c>
    </row>
    <row r="8" ht="15.75" customHeight="1">
      <c r="A8" s="8" t="inlineStr">
        <is>
          <t>Make</t>
        </is>
      </c>
      <c r="B8" s="9" t="inlineStr">
        <is>
          <t>XCMG-1</t>
        </is>
      </c>
      <c r="C8" s="9" t="inlineStr">
        <is>
          <t>XCMG-2</t>
        </is>
      </c>
      <c r="D8" s="41" t="inlineStr">
        <is>
          <t>Loadstar</t>
        </is>
      </c>
    </row>
    <row r="9" ht="15.75" customHeight="1">
      <c r="A9" s="8" t="inlineStr">
        <is>
          <t>Asset Qty</t>
        </is>
      </c>
      <c r="B9" s="9" t="n">
        <v>1</v>
      </c>
      <c r="C9" s="10" t="n">
        <v>1</v>
      </c>
      <c r="D9" s="41" t="n">
        <v>1</v>
      </c>
    </row>
    <row r="10" ht="15.75" customHeight="1">
      <c r="A10" s="8" t="inlineStr">
        <is>
          <t>Model</t>
        </is>
      </c>
      <c r="B10" s="9" t="n">
        <v>2026</v>
      </c>
      <c r="C10" s="9" t="n">
        <v>2026</v>
      </c>
      <c r="D10" s="41" t="n">
        <v>2026</v>
      </c>
    </row>
    <row r="11" ht="15.75" customHeight="1">
      <c r="A11" s="8" t="inlineStr">
        <is>
          <t>Asset#</t>
        </is>
      </c>
      <c r="B11" s="29" t="inlineStr">
        <is>
          <t>XCMG-00253</t>
        </is>
      </c>
      <c r="C11" s="30" t="inlineStr">
        <is>
          <t>NL02Q1679</t>
        </is>
      </c>
      <c r="D11" s="42" t="n"/>
    </row>
    <row r="12" ht="15.75" customHeight="1">
      <c r="A12" s="8" t="inlineStr">
        <is>
          <t>Loading Capacity</t>
        </is>
      </c>
      <c r="B12" s="29" t="inlineStr">
        <is>
          <t>45 MT</t>
        </is>
      </c>
      <c r="C12" s="30" t="inlineStr">
        <is>
          <t>45 MT</t>
        </is>
      </c>
      <c r="D12" s="42" t="n"/>
    </row>
    <row r="13" ht="15.75" customHeight="1">
      <c r="A13" s="8" t="inlineStr">
        <is>
          <t>Work Type</t>
        </is>
      </c>
      <c r="B13" s="13" t="inlineStr">
        <is>
          <t xml:space="preserve">Handling containers </t>
        </is>
      </c>
      <c r="C13" s="14" t="inlineStr">
        <is>
          <t xml:space="preserve">Handling containers </t>
        </is>
      </c>
      <c r="D13" s="14" t="inlineStr">
        <is>
          <t xml:space="preserve">Handling containers </t>
        </is>
      </c>
    </row>
    <row r="14" ht="15.75" customHeight="1">
      <c r="A14" s="8" t="inlineStr">
        <is>
          <t>XCMG Monthly Hiring Charges</t>
        </is>
      </c>
      <c r="B14" s="9" t="inlineStr">
        <is>
          <t>7,20,000</t>
        </is>
      </c>
      <c r="C14" s="9" t="inlineStr">
        <is>
          <t>7,20,000</t>
        </is>
      </c>
      <c r="D14" s="41" t="inlineStr">
        <is>
          <t>5,00,000</t>
        </is>
      </c>
    </row>
    <row r="15" ht="15.75" customHeight="1">
      <c r="A15" s="8" t="inlineStr">
        <is>
          <t>Diesel</t>
        </is>
      </c>
      <c r="B15" s="9" t="inlineStr">
        <is>
          <t>Ekta</t>
        </is>
      </c>
      <c r="C15" s="10" t="inlineStr">
        <is>
          <t>Ekta</t>
        </is>
      </c>
      <c r="D15" s="10" t="inlineStr">
        <is>
          <t>Ekta</t>
        </is>
      </c>
    </row>
    <row r="16" ht="15.75" customHeight="1">
      <c r="A16" s="8" t="inlineStr">
        <is>
          <t>Diesel Rembursment Cap</t>
        </is>
      </c>
      <c r="B16" s="9" t="inlineStr">
        <is>
          <t>18 Ltrs per hour</t>
        </is>
      </c>
      <c r="C16" s="9" t="inlineStr">
        <is>
          <t>18 Ltrs per hour</t>
        </is>
      </c>
      <c r="D16" s="41" t="n"/>
    </row>
    <row r="17" ht="30" customHeight="1">
      <c r="A17" s="8" t="inlineStr">
        <is>
          <t>Maintance/ Breakdown</t>
        </is>
      </c>
      <c r="B17" s="107" t="inlineStr">
        <is>
          <t>32 Hrs/Month
Not 24 Hours regularly</t>
        </is>
      </c>
      <c r="C17" s="107" t="inlineStr">
        <is>
          <t>32 Hrs/Month
Not 24 Hours regularly</t>
        </is>
      </c>
      <c r="D17" s="107" t="inlineStr">
        <is>
          <t>32 Hrs/Month
Not 24 Hours regularly</t>
        </is>
      </c>
    </row>
    <row r="18" ht="15.75" customHeight="1">
      <c r="A18" s="8" t="inlineStr">
        <is>
          <t>Other Breakdown Deduction</t>
        </is>
      </c>
      <c r="B18" s="9" t="n"/>
      <c r="C18" s="10" t="n"/>
      <c r="D18" s="41" t="n"/>
    </row>
    <row r="19" ht="15.75" customHeight="1">
      <c r="A19" s="8" t="inlineStr">
        <is>
          <t>Cooling Period</t>
        </is>
      </c>
      <c r="B19" s="9" t="inlineStr">
        <is>
          <t>2 Hours in every 24 Hours</t>
        </is>
      </c>
      <c r="C19" s="9" t="inlineStr">
        <is>
          <t>2 Hours in every 24 Hours</t>
        </is>
      </c>
      <c r="D19" s="41" t="n"/>
    </row>
    <row r="20" ht="15.75" customHeight="1">
      <c r="A20" s="15" t="inlineStr">
        <is>
          <t>Condition 1</t>
        </is>
      </c>
      <c r="B20" s="133" t="n"/>
      <c r="C20" s="126" t="n"/>
      <c r="D20" s="44" t="n"/>
    </row>
    <row r="21" ht="15.75" customHeight="1">
      <c r="A21" s="8" t="inlineStr">
        <is>
          <t>Supervisor</t>
        </is>
      </c>
      <c r="B21" s="9" t="inlineStr">
        <is>
          <t>Ramavtar</t>
        </is>
      </c>
      <c r="C21" s="10" t="inlineStr">
        <is>
          <t>Ramavtar</t>
        </is>
      </c>
      <c r="D21" s="41" t="n"/>
    </row>
    <row r="22" ht="15.75" customHeight="1">
      <c r="A22" s="8" t="inlineStr">
        <is>
          <t>Supervisor Contact Number</t>
        </is>
      </c>
      <c r="B22" s="13" t="n">
        <v>7090277999</v>
      </c>
      <c r="C22" s="14" t="n">
        <v>7090277999</v>
      </c>
      <c r="D22" s="43" t="n"/>
    </row>
    <row r="23" ht="15.75" customHeight="1">
      <c r="A23" s="8" t="inlineStr">
        <is>
          <t>Operator</t>
        </is>
      </c>
      <c r="B23" s="9" t="n">
        <v>2</v>
      </c>
      <c r="C23" s="10" t="n">
        <v>2</v>
      </c>
      <c r="D23" s="41" t="n"/>
    </row>
    <row r="24" ht="15.75" customHeight="1">
      <c r="A24" s="8" t="inlineStr">
        <is>
          <t>Helper</t>
        </is>
      </c>
      <c r="B24" s="9" t="n">
        <v>2</v>
      </c>
      <c r="C24" s="10" t="n">
        <v>2</v>
      </c>
      <c r="D24" s="41" t="n"/>
    </row>
    <row r="25" ht="30" customHeight="1">
      <c r="A25" s="15" t="inlineStr">
        <is>
          <t>Shift</t>
        </is>
      </c>
      <c r="B25" s="18" t="inlineStr">
        <is>
          <t>9:00 to 21:00
21:00 to 9:00</t>
        </is>
      </c>
      <c r="C25" s="19" t="inlineStr">
        <is>
          <t>9:00 to 21:00
21:00 to 9:00</t>
        </is>
      </c>
      <c r="D25" s="45" t="n"/>
    </row>
    <row r="26" ht="15.75" customHeight="1">
      <c r="A26" s="15" t="inlineStr">
        <is>
          <t>Machine Billing</t>
        </is>
      </c>
      <c r="B26" s="18" t="n"/>
      <c r="C26" s="19" t="n"/>
      <c r="D26" s="45" t="n"/>
    </row>
    <row r="27" ht="15.75" customHeight="1">
      <c r="A27" s="15" t="inlineStr">
        <is>
          <t>Diesel Billing</t>
        </is>
      </c>
      <c r="B27" s="18" t="n"/>
      <c r="C27" s="19" t="n"/>
      <c r="D27" s="45" t="n"/>
    </row>
    <row r="28" ht="15.75" customHeight="1">
      <c r="A28" s="8" t="inlineStr">
        <is>
          <t>Billing Cycle</t>
        </is>
      </c>
      <c r="B28" s="9" t="inlineStr">
        <is>
          <t>1-30 each month</t>
        </is>
      </c>
      <c r="C28" s="10" t="inlineStr">
        <is>
          <t>1-30 each month</t>
        </is>
      </c>
      <c r="D28" s="41" t="n"/>
    </row>
    <row r="29" ht="15.75" customHeight="1">
      <c r="A29" s="15" t="inlineStr">
        <is>
          <t>Billing</t>
        </is>
      </c>
      <c r="B29" s="20" t="inlineStr">
        <is>
          <t>Monthly Billing 
Diesel Billing</t>
        </is>
      </c>
      <c r="C29" s="21" t="inlineStr">
        <is>
          <t>Monthly Billing 
Diesel Billing</t>
        </is>
      </c>
      <c r="D29" s="46" t="n"/>
    </row>
    <row r="30" ht="15.75" customHeight="1">
      <c r="A30" s="15" t="inlineStr">
        <is>
          <t>Billing Medium</t>
        </is>
      </c>
      <c r="B30" s="20" t="inlineStr">
        <is>
          <t>Email</t>
        </is>
      </c>
      <c r="C30" s="21" t="inlineStr">
        <is>
          <t>Email</t>
        </is>
      </c>
      <c r="D30" s="46" t="n"/>
    </row>
    <row r="31" ht="45" customHeight="1">
      <c r="A31" s="22" t="inlineStr">
        <is>
          <t xml:space="preserve">Document Required for billing </t>
        </is>
      </c>
      <c r="B31" s="133" t="inlineStr">
        <is>
          <t>Verified Logsheet with running hours and diesel qty, Diesel purchase slip copy</t>
        </is>
      </c>
      <c r="C31" s="17" t="inlineStr">
        <is>
          <t>Verified Logsheet with running hours and diesel qty, Diesel purchase slip copy</t>
        </is>
      </c>
      <c r="D31" s="44" t="n"/>
    </row>
    <row r="32" ht="15.75" customHeight="1">
      <c r="A32" s="23" t="inlineStr">
        <is>
          <t>Email ID Used</t>
        </is>
      </c>
      <c r="B32" s="9" t="n"/>
      <c r="C32" s="10" t="n"/>
      <c r="D32" s="41" t="n"/>
    </row>
    <row r="33" ht="15.75" customHeight="1">
      <c r="A33" s="23" t="inlineStr">
        <is>
          <t xml:space="preserve">Sent to </t>
        </is>
      </c>
      <c r="B33" s="24" t="n"/>
      <c r="C33" s="25" t="n"/>
      <c r="D33" s="47" t="n"/>
    </row>
    <row r="34" ht="15.75" customHeight="1">
      <c r="A34" s="22" t="inlineStr">
        <is>
          <t>CC</t>
        </is>
      </c>
      <c r="B34" s="133" t="n"/>
      <c r="C34" s="26" t="n"/>
      <c r="D34" s="44" t="n"/>
    </row>
    <row r="35" ht="15.75" customHeight="1">
      <c r="A35" s="23" t="inlineStr">
        <is>
          <t>Subject Line</t>
        </is>
      </c>
      <c r="B35" s="129" t="n"/>
      <c r="C35" s="130" t="n"/>
      <c r="D35" s="48" t="n"/>
    </row>
    <row r="36" ht="15.75" customHeight="1">
      <c r="A36" s="23" t="inlineStr">
        <is>
          <t>Company's Contact Person</t>
        </is>
      </c>
      <c r="B36" s="9" t="n"/>
      <c r="C36" s="10" t="n"/>
      <c r="D36" s="41" t="n"/>
    </row>
    <row r="37" ht="15.75" customHeight="1">
      <c r="A37" s="23" t="inlineStr">
        <is>
          <t>Company's Contact Number</t>
        </is>
      </c>
      <c r="B37" s="9" t="n"/>
      <c r="C37" s="10" t="n"/>
      <c r="D37" s="41" t="n"/>
    </row>
    <row r="38" ht="87" customHeight="1" thickBot="1">
      <c r="A38" s="27" t="inlineStr">
        <is>
          <t>Billing Step</t>
        </is>
      </c>
      <c r="B38" s="131" t="inlineStr">
        <is>
          <t>Need to send the logsheet without diesel qty for verification on group to Ramavtar and after confirmation need to give the logsheet prinout with one diesel bill to sunil sharma for invoice creation, and then send logsheets and invoices on the above email Id's</t>
        </is>
      </c>
      <c r="C38" s="132" t="n"/>
      <c r="D38" s="44" t="n"/>
    </row>
  </sheetData>
  <mergeCells count="3">
    <mergeCell ref="B35:C35"/>
    <mergeCell ref="B38:C38"/>
    <mergeCell ref="B20:C20"/>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fitToPage="1"/>
  </sheetPr>
  <dimension ref="A1:X42"/>
  <sheetViews>
    <sheetView topLeftCell="A11" workbookViewId="0">
      <selection activeCell="B37" sqref="B37"/>
    </sheetView>
  </sheetViews>
  <sheetFormatPr baseColWidth="8" defaultRowHeight="15"/>
  <cols>
    <col width="10" customWidth="1" min="1" max="1"/>
    <col width="13.7109375" bestFit="1" customWidth="1" min="2" max="2"/>
    <col width="14" bestFit="1" customWidth="1" min="3" max="3"/>
    <col width="13.7109375" bestFit="1" customWidth="1" min="4" max="4"/>
    <col width="14" bestFit="1" customWidth="1" min="5" max="5"/>
    <col width="10.140625" bestFit="1" customWidth="1" min="6" max="6"/>
    <col width="6.7109375" bestFit="1" customWidth="1" min="7" max="7"/>
    <col width="11.28515625" bestFit="1" customWidth="1" min="8" max="8"/>
    <col width="10" customWidth="1" min="9" max="9"/>
    <col width="17.7109375" customWidth="1" min="10" max="10"/>
    <col width="14" bestFit="1" customWidth="1" min="11" max="11"/>
    <col width="13.7109375" bestFit="1" customWidth="1" min="12" max="12"/>
    <col width="14" bestFit="1" customWidth="1" min="13" max="13"/>
    <col width="10.140625" bestFit="1" customWidth="1" min="14" max="14"/>
    <col width="14.28515625" bestFit="1" customWidth="1" min="15" max="15"/>
    <col width="11.28515625" bestFit="1" customWidth="1" min="16" max="16"/>
    <col width="10" customWidth="1" min="17" max="17"/>
    <col width="17.7109375" customWidth="1" min="18" max="18"/>
    <col width="14" bestFit="1" customWidth="1" min="19" max="19"/>
    <col width="13.7109375" bestFit="1" customWidth="1" min="20" max="20"/>
    <col width="18" customWidth="1" min="21" max="21"/>
    <col width="14" customWidth="1" min="22" max="22"/>
    <col width="12" customWidth="1" min="23" max="23"/>
    <col width="18" customWidth="1" min="24" max="24"/>
  </cols>
  <sheetData>
    <row r="1">
      <c r="A1" s="124" t="inlineStr">
        <is>
          <t>Ekta Enterprises</t>
        </is>
      </c>
      <c r="B1" s="125" t="n"/>
      <c r="C1" s="125" t="n"/>
      <c r="D1" s="125" t="n"/>
      <c r="E1" s="125" t="n"/>
      <c r="F1" s="125" t="n"/>
      <c r="G1" s="125" t="n"/>
      <c r="H1" s="126" t="n"/>
      <c r="I1" s="127" t="inlineStr">
        <is>
          <t>Ekta Enterprises</t>
        </is>
      </c>
      <c r="J1" s="125" t="n"/>
      <c r="K1" s="125" t="n"/>
      <c r="L1" s="125" t="n"/>
      <c r="M1" s="125" t="n"/>
      <c r="N1" s="125" t="n"/>
      <c r="O1" s="125" t="n"/>
      <c r="P1" s="126" t="n"/>
      <c r="Q1" s="127" t="inlineStr">
        <is>
          <t>Ekta Enterprises</t>
        </is>
      </c>
      <c r="R1" s="125" t="n"/>
      <c r="S1" s="125" t="n"/>
      <c r="T1" s="125" t="n"/>
      <c r="U1" s="125" t="n"/>
      <c r="V1" s="125" t="n"/>
      <c r="W1" s="125" t="n"/>
      <c r="X1" s="126" t="n"/>
    </row>
    <row r="2">
      <c r="A2" s="124" t="inlineStr">
        <is>
          <t>REACH STACKER NO. XCMG-2-Diesel Cap - 18 Liters Per Hour</t>
        </is>
      </c>
      <c r="B2" s="125" t="n"/>
      <c r="C2" s="125" t="n"/>
      <c r="D2" s="125" t="n"/>
      <c r="E2" s="125" t="n"/>
      <c r="F2" s="126" t="n"/>
      <c r="G2" s="135" t="n">
        <v>46113</v>
      </c>
      <c r="H2" s="126" t="n"/>
      <c r="I2" s="127" t="inlineStr">
        <is>
          <t>REACH STACKER NO. XCMG-1-Diesel Cap - 18 Liters Per Hour</t>
        </is>
      </c>
      <c r="J2" s="125" t="n"/>
      <c r="K2" s="125" t="n"/>
      <c r="L2" s="125" t="n"/>
      <c r="M2" s="125" t="n"/>
      <c r="N2" s="126" t="n"/>
      <c r="O2" s="128" t="n">
        <v>46113</v>
      </c>
      <c r="P2" s="126" t="n"/>
      <c r="Q2" s="127" t="inlineStr">
        <is>
          <t>REACH STACKER NO. Fork Lift 35 Ton-Diesel Cap - 18 Liters Per Hour</t>
        </is>
      </c>
      <c r="R2" s="125" t="n"/>
      <c r="S2" s="125" t="n"/>
      <c r="T2" s="125" t="n"/>
      <c r="U2" s="125" t="n"/>
      <c r="V2" s="126" t="n"/>
      <c r="W2" s="128" t="n">
        <v>46113</v>
      </c>
      <c r="X2" s="126" t="n"/>
    </row>
    <row r="3">
      <c r="A3" s="124" t="inlineStr">
        <is>
          <t>LOCATION : JSW AARKONAM</t>
        </is>
      </c>
      <c r="B3" s="125" t="n"/>
      <c r="C3" s="125" t="n"/>
      <c r="D3" s="125" t="n"/>
      <c r="E3" s="125" t="n"/>
      <c r="F3" s="125" t="n"/>
      <c r="G3" s="125" t="n"/>
      <c r="H3" s="126" t="n"/>
      <c r="I3" s="127" t="inlineStr">
        <is>
          <t>LOCATION : JSW AARKONAM</t>
        </is>
      </c>
      <c r="J3" s="125" t="n"/>
      <c r="K3" s="125" t="n"/>
      <c r="L3" s="125" t="n"/>
      <c r="M3" s="125" t="n"/>
      <c r="N3" s="125" t="n"/>
      <c r="O3" s="125" t="n"/>
      <c r="P3" s="126" t="n"/>
      <c r="Q3" s="127" t="inlineStr">
        <is>
          <t>LOCATION : JSW AARKONAM</t>
        </is>
      </c>
      <c r="R3" s="125" t="n"/>
      <c r="S3" s="125" t="n"/>
      <c r="T3" s="125" t="n"/>
      <c r="U3" s="125" t="n"/>
      <c r="V3" s="125" t="n"/>
      <c r="W3" s="125" t="n"/>
      <c r="X3" s="126" t="n"/>
    </row>
    <row r="4">
      <c r="A4" s="124" t="inlineStr">
        <is>
          <t>DATE</t>
        </is>
      </c>
      <c r="B4" s="124" t="inlineStr">
        <is>
          <t>ACTIVITY</t>
        </is>
      </c>
      <c r="C4" s="124" t="inlineStr">
        <is>
          <t>OPERING HMR</t>
        </is>
      </c>
      <c r="D4" s="124" t="inlineStr">
        <is>
          <t>CLOSING HMR</t>
        </is>
      </c>
      <c r="E4" s="124" t="inlineStr">
        <is>
          <t>Running Hours</t>
        </is>
      </c>
      <c r="F4" s="124" t="inlineStr">
        <is>
          <t>BD HOURS</t>
        </is>
      </c>
      <c r="G4" s="124" t="inlineStr">
        <is>
          <t>DIESEL</t>
        </is>
      </c>
      <c r="H4" s="124" t="inlineStr">
        <is>
          <t>SIGNATURE</t>
        </is>
      </c>
      <c r="I4" s="127" t="inlineStr">
        <is>
          <t>DATE</t>
        </is>
      </c>
      <c r="J4" s="127" t="inlineStr">
        <is>
          <t>ACTIVITY</t>
        </is>
      </c>
      <c r="K4" s="127" t="inlineStr">
        <is>
          <t>OPERING HMR</t>
        </is>
      </c>
      <c r="L4" s="127" t="inlineStr">
        <is>
          <t>CLOSING HMR</t>
        </is>
      </c>
      <c r="M4" s="127" t="inlineStr">
        <is>
          <t>Running Hours</t>
        </is>
      </c>
      <c r="N4" s="127" t="inlineStr">
        <is>
          <t>BD HOURS</t>
        </is>
      </c>
      <c r="O4" s="127" t="inlineStr">
        <is>
          <t>DIESEL</t>
        </is>
      </c>
      <c r="P4" s="127" t="inlineStr">
        <is>
          <t>SIGNATURE</t>
        </is>
      </c>
      <c r="Q4" s="127" t="inlineStr">
        <is>
          <t>DATE</t>
        </is>
      </c>
      <c r="R4" s="127" t="inlineStr">
        <is>
          <t>ACTIVITY</t>
        </is>
      </c>
      <c r="S4" s="127" t="inlineStr">
        <is>
          <t>OPERING HMR</t>
        </is>
      </c>
      <c r="T4" s="127" t="inlineStr">
        <is>
          <t>CLOSING HMR</t>
        </is>
      </c>
      <c r="U4" s="127" t="inlineStr">
        <is>
          <t>Running Hours</t>
        </is>
      </c>
      <c r="V4" s="127" t="inlineStr">
        <is>
          <t>BD HOURS</t>
        </is>
      </c>
      <c r="W4" s="127" t="inlineStr">
        <is>
          <t>DIESEL</t>
        </is>
      </c>
      <c r="X4" s="127" t="inlineStr">
        <is>
          <t>SIGNATURE</t>
        </is>
      </c>
    </row>
    <row r="5">
      <c r="A5" s="80" t="n">
        <v>46113</v>
      </c>
      <c r="B5" s="81" t="n"/>
      <c r="C5" s="81" t="n"/>
      <c r="D5" s="81" t="n"/>
      <c r="E5" s="81" t="n"/>
      <c r="F5" s="81" t="n"/>
      <c r="G5" s="81" t="n"/>
      <c r="H5" s="81" t="n"/>
      <c r="I5" s="82" t="n">
        <v>46113</v>
      </c>
      <c r="J5" s="81" t="inlineStr">
        <is>
          <t xml:space="preserve">Running </t>
        </is>
      </c>
      <c r="K5" s="84" t="n">
        <v>29</v>
      </c>
      <c r="L5" s="84" t="n">
        <v>30</v>
      </c>
      <c r="M5" s="85">
        <f>L5-K5</f>
        <v/>
      </c>
      <c r="N5" s="83" t="n"/>
      <c r="O5" s="86" t="n">
        <v>590</v>
      </c>
      <c r="P5" s="83" t="n"/>
      <c r="Q5" s="82" t="n">
        <v>46113</v>
      </c>
      <c r="R5" s="83" t="inlineStr">
        <is>
          <t>Rake Handling</t>
        </is>
      </c>
      <c r="S5" s="84" t="n"/>
      <c r="T5" s="84" t="n"/>
      <c r="U5" s="85">
        <f>T5-S5</f>
        <v/>
      </c>
      <c r="V5" s="83" t="n"/>
      <c r="W5" s="86" t="n"/>
      <c r="X5" s="83" t="n"/>
    </row>
    <row r="6">
      <c r="A6" s="80" t="n">
        <v>46114</v>
      </c>
      <c r="B6" s="81" t="n"/>
      <c r="C6" s="81" t="n"/>
      <c r="D6" s="81" t="n"/>
      <c r="E6" s="81" t="n"/>
      <c r="F6" s="81" t="n"/>
      <c r="G6" s="81" t="n"/>
      <c r="H6" s="81" t="n"/>
      <c r="I6" s="82" t="n">
        <v>46114</v>
      </c>
      <c r="J6" s="81" t="inlineStr">
        <is>
          <t xml:space="preserve">Running </t>
        </is>
      </c>
      <c r="K6" s="87">
        <f>L5</f>
        <v/>
      </c>
      <c r="L6" s="87" t="n">
        <v>36</v>
      </c>
      <c r="M6" s="85">
        <f>L6-K6</f>
        <v/>
      </c>
      <c r="N6" s="83" t="n"/>
      <c r="O6" s="83" t="n"/>
      <c r="P6" s="83" t="n"/>
      <c r="Q6" s="82" t="n">
        <v>46114</v>
      </c>
      <c r="R6" s="83" t="n"/>
      <c r="S6" s="87" t="n"/>
      <c r="T6" s="87" t="n"/>
      <c r="U6" s="85">
        <f>T6-S6</f>
        <v/>
      </c>
      <c r="V6" s="83" t="n"/>
      <c r="W6" s="83" t="n"/>
      <c r="X6" s="83" t="n"/>
    </row>
    <row r="7">
      <c r="A7" s="80" t="n">
        <v>46115</v>
      </c>
      <c r="B7" s="81" t="n"/>
      <c r="C7" s="81" t="n"/>
      <c r="D7" s="81" t="n"/>
      <c r="E7" s="81" t="n"/>
      <c r="F7" s="81" t="n"/>
      <c r="G7" s="81" t="n"/>
      <c r="H7" s="81" t="n"/>
      <c r="I7" s="82" t="n">
        <v>46115</v>
      </c>
      <c r="J7" s="81" t="inlineStr">
        <is>
          <t xml:space="preserve">Running </t>
        </is>
      </c>
      <c r="K7" s="87">
        <f>L6</f>
        <v/>
      </c>
      <c r="L7" s="87" t="n">
        <v>44</v>
      </c>
      <c r="M7" s="85">
        <f>L7-K7</f>
        <v/>
      </c>
      <c r="N7" s="83" t="n"/>
      <c r="O7" s="83" t="n"/>
      <c r="P7" s="83" t="n"/>
      <c r="Q7" s="82" t="n">
        <v>46115</v>
      </c>
      <c r="R7" s="83" t="n"/>
      <c r="S7" s="87" t="n"/>
      <c r="T7" s="87" t="n"/>
      <c r="U7" s="85">
        <f>T7-S7</f>
        <v/>
      </c>
      <c r="V7" s="83" t="n"/>
      <c r="W7" s="83" t="n"/>
      <c r="X7" s="83" t="n"/>
    </row>
    <row r="8">
      <c r="A8" s="80" t="n">
        <v>46116</v>
      </c>
      <c r="B8" s="81" t="n"/>
      <c r="C8" s="81" t="n"/>
      <c r="D8" s="81" t="n"/>
      <c r="E8" s="81" t="n"/>
      <c r="F8" s="81" t="n"/>
      <c r="G8" s="81" t="n"/>
      <c r="H8" s="81" t="n"/>
      <c r="I8" s="82" t="n">
        <v>46116</v>
      </c>
      <c r="J8" s="81" t="inlineStr">
        <is>
          <t>Idel</t>
        </is>
      </c>
      <c r="K8" s="87">
        <f>L7</f>
        <v/>
      </c>
      <c r="L8" s="87" t="n">
        <v>44</v>
      </c>
      <c r="M8" s="85">
        <f>L8-K8</f>
        <v/>
      </c>
      <c r="N8" s="83" t="n"/>
      <c r="O8" s="83" t="n"/>
      <c r="P8" s="83" t="n"/>
      <c r="Q8" s="82" t="n">
        <v>46116</v>
      </c>
      <c r="R8" s="83" t="n"/>
      <c r="S8" s="87" t="n"/>
      <c r="T8" s="87" t="n"/>
      <c r="U8" s="85">
        <f>T8-S8</f>
        <v/>
      </c>
      <c r="V8" s="83" t="n"/>
      <c r="W8" s="83" t="n"/>
      <c r="X8" s="83" t="n"/>
    </row>
    <row r="9">
      <c r="A9" s="80" t="n">
        <v>46117</v>
      </c>
      <c r="B9" s="81" t="n"/>
      <c r="C9" s="81" t="n"/>
      <c r="D9" s="81" t="n"/>
      <c r="E9" s="81" t="n"/>
      <c r="F9" s="81" t="n"/>
      <c r="G9" s="81" t="n"/>
      <c r="H9" s="81" t="n"/>
      <c r="I9" s="82" t="n">
        <v>46117</v>
      </c>
      <c r="J9" s="81" t="inlineStr">
        <is>
          <t xml:space="preserve">Running </t>
        </is>
      </c>
      <c r="K9" s="87">
        <f>L8</f>
        <v/>
      </c>
      <c r="L9" s="87" t="n">
        <v>46</v>
      </c>
      <c r="M9" s="85">
        <f>L9-K9</f>
        <v/>
      </c>
      <c r="N9" s="83" t="n"/>
      <c r="O9" s="83" t="n"/>
      <c r="P9" s="83" t="n"/>
      <c r="Q9" s="82" t="n">
        <v>46117</v>
      </c>
      <c r="R9" s="83" t="n"/>
      <c r="S9" s="87" t="n"/>
      <c r="T9" s="87" t="n"/>
      <c r="U9" s="85">
        <f>T9-S9</f>
        <v/>
      </c>
      <c r="V9" s="83" t="n"/>
      <c r="W9" s="83" t="n"/>
      <c r="X9" s="83" t="n"/>
    </row>
    <row r="10">
      <c r="A10" s="80" t="n">
        <v>46118</v>
      </c>
      <c r="B10" s="81" t="n"/>
      <c r="C10" s="81" t="n"/>
      <c r="D10" s="81" t="n"/>
      <c r="E10" s="81" t="n"/>
      <c r="F10" s="81" t="n"/>
      <c r="G10" s="81" t="n"/>
      <c r="H10" s="81" t="n"/>
      <c r="I10" s="82" t="n">
        <v>46118</v>
      </c>
      <c r="J10" s="81" t="inlineStr">
        <is>
          <t xml:space="preserve">Running </t>
        </is>
      </c>
      <c r="K10" s="87">
        <f>L9</f>
        <v/>
      </c>
      <c r="L10" s="87" t="n">
        <v>48</v>
      </c>
      <c r="M10" s="85">
        <f>L10-K10</f>
        <v/>
      </c>
      <c r="N10" s="83" t="n"/>
      <c r="O10" s="83" t="n"/>
      <c r="P10" s="83" t="n"/>
      <c r="Q10" s="82" t="n">
        <v>46118</v>
      </c>
      <c r="R10" s="83" t="n"/>
      <c r="S10" s="87" t="n"/>
      <c r="T10" s="87" t="n"/>
      <c r="U10" s="85">
        <f>T10-S10</f>
        <v/>
      </c>
      <c r="V10" s="83" t="n"/>
      <c r="W10" s="83" t="n"/>
      <c r="X10" s="83" t="n"/>
    </row>
    <row r="11">
      <c r="A11" s="80" t="n">
        <v>46119</v>
      </c>
      <c r="B11" s="81" t="n"/>
      <c r="C11" s="81" t="n"/>
      <c r="D11" s="81" t="n"/>
      <c r="E11" s="81" t="n"/>
      <c r="F11" s="81" t="n"/>
      <c r="G11" s="81" t="n"/>
      <c r="H11" s="81" t="n"/>
      <c r="I11" s="82" t="n">
        <v>46119</v>
      </c>
      <c r="J11" s="81" t="inlineStr">
        <is>
          <t>Idel</t>
        </is>
      </c>
      <c r="K11" s="87">
        <f>L10</f>
        <v/>
      </c>
      <c r="L11" s="87" t="n">
        <v>48</v>
      </c>
      <c r="M11" s="85">
        <f>L11-K11</f>
        <v/>
      </c>
      <c r="N11" s="83" t="n"/>
      <c r="O11" s="83" t="n"/>
      <c r="P11" s="83" t="n"/>
      <c r="Q11" s="82" t="n">
        <v>46119</v>
      </c>
      <c r="R11" s="83" t="n"/>
      <c r="S11" s="87" t="n"/>
      <c r="T11" s="87" t="n"/>
      <c r="U11" s="85">
        <f>T11-S11</f>
        <v/>
      </c>
      <c r="V11" s="83" t="n"/>
      <c r="W11" s="83" t="n"/>
      <c r="X11" s="83" t="n"/>
    </row>
    <row r="12">
      <c r="A12" s="80" t="n">
        <v>46120</v>
      </c>
      <c r="B12" s="81" t="n"/>
      <c r="C12" s="81" t="n"/>
      <c r="D12" s="81" t="n"/>
      <c r="E12" s="81" t="n"/>
      <c r="F12" s="81" t="n"/>
      <c r="G12" s="81" t="n"/>
      <c r="H12" s="81" t="n"/>
      <c r="I12" s="82" t="n">
        <v>46120</v>
      </c>
      <c r="J12" s="81" t="inlineStr">
        <is>
          <t>Idel</t>
        </is>
      </c>
      <c r="K12" s="87">
        <f>L11</f>
        <v/>
      </c>
      <c r="L12" s="87" t="n">
        <v>48</v>
      </c>
      <c r="M12" s="85">
        <f>L12-K12</f>
        <v/>
      </c>
      <c r="N12" s="83" t="n"/>
      <c r="O12" s="83" t="n"/>
      <c r="P12" s="83" t="n"/>
      <c r="Q12" s="82" t="n">
        <v>46120</v>
      </c>
      <c r="R12" s="83" t="n"/>
      <c r="S12" s="87" t="n"/>
      <c r="T12" s="87" t="n"/>
      <c r="U12" s="85">
        <f>T12-S12</f>
        <v/>
      </c>
      <c r="V12" s="83" t="n"/>
      <c r="W12" s="83" t="n"/>
      <c r="X12" s="83" t="n"/>
    </row>
    <row r="13">
      <c r="A13" s="80" t="n">
        <v>46121</v>
      </c>
      <c r="B13" s="81" t="n"/>
      <c r="C13" s="81" t="n"/>
      <c r="D13" s="81" t="n"/>
      <c r="E13" s="81" t="n"/>
      <c r="F13" s="81" t="n"/>
      <c r="G13" s="81" t="n"/>
      <c r="H13" s="81" t="n"/>
      <c r="I13" s="82" t="n">
        <v>46121</v>
      </c>
      <c r="J13" s="81" t="inlineStr">
        <is>
          <t>Idel</t>
        </is>
      </c>
      <c r="K13" s="87">
        <f>L12</f>
        <v/>
      </c>
      <c r="L13" s="87" t="n">
        <v>48</v>
      </c>
      <c r="M13" s="85">
        <f>L13-K13</f>
        <v/>
      </c>
      <c r="N13" s="83" t="n"/>
      <c r="O13" s="83" t="n"/>
      <c r="P13" s="83" t="n"/>
      <c r="Q13" s="82" t="n">
        <v>46121</v>
      </c>
      <c r="R13" s="83" t="n"/>
      <c r="S13" s="87" t="n"/>
      <c r="T13" s="87" t="n"/>
      <c r="U13" s="85">
        <f>T13-S13</f>
        <v/>
      </c>
      <c r="V13" s="83" t="n"/>
      <c r="W13" s="83" t="n"/>
      <c r="X13" s="83" t="n"/>
    </row>
    <row r="14">
      <c r="A14" s="80" t="n">
        <v>46122</v>
      </c>
      <c r="B14" s="81" t="n"/>
      <c r="C14" s="81" t="n"/>
      <c r="D14" s="81" t="n"/>
      <c r="E14" s="81" t="n"/>
      <c r="F14" s="81" t="n"/>
      <c r="G14" s="81" t="n"/>
      <c r="H14" s="81" t="n"/>
      <c r="I14" s="82" t="n">
        <v>46122</v>
      </c>
      <c r="J14" s="81" t="inlineStr">
        <is>
          <t>Idel</t>
        </is>
      </c>
      <c r="K14" s="87">
        <f>L13</f>
        <v/>
      </c>
      <c r="L14" s="87" t="n">
        <v>48</v>
      </c>
      <c r="M14" s="85">
        <f>L14-K14</f>
        <v/>
      </c>
      <c r="N14" s="83" t="n"/>
      <c r="O14" s="83" t="n"/>
      <c r="P14" s="83" t="n"/>
      <c r="Q14" s="82" t="n">
        <v>46122</v>
      </c>
      <c r="R14" s="83" t="n"/>
      <c r="S14" s="87" t="n"/>
      <c r="T14" s="87" t="n"/>
      <c r="U14" s="85">
        <f>T14-S14</f>
        <v/>
      </c>
      <c r="V14" s="83" t="n"/>
      <c r="W14" s="83" t="n"/>
      <c r="X14" s="83" t="n"/>
    </row>
    <row r="15">
      <c r="A15" s="80" t="n">
        <v>46123</v>
      </c>
      <c r="B15" s="81" t="n"/>
      <c r="C15" s="81" t="n"/>
      <c r="D15" s="81" t="n"/>
      <c r="E15" s="81" t="n"/>
      <c r="F15" s="81" t="n"/>
      <c r="G15" s="81" t="n"/>
      <c r="H15" s="81" t="n"/>
      <c r="I15" s="82" t="n">
        <v>46123</v>
      </c>
      <c r="J15" s="81" t="inlineStr">
        <is>
          <t>Idel</t>
        </is>
      </c>
      <c r="K15" s="87">
        <f>L14</f>
        <v/>
      </c>
      <c r="L15" s="87" t="n">
        <v>48</v>
      </c>
      <c r="M15" s="85">
        <f>L15-K15</f>
        <v/>
      </c>
      <c r="N15" s="83" t="n"/>
      <c r="O15" s="83" t="n"/>
      <c r="P15" s="83" t="n"/>
      <c r="Q15" s="82" t="n">
        <v>46123</v>
      </c>
      <c r="R15" s="83" t="n"/>
      <c r="S15" s="87" t="n"/>
      <c r="T15" s="87" t="n"/>
      <c r="U15" s="85">
        <f>T15-S15</f>
        <v/>
      </c>
      <c r="V15" s="83" t="n"/>
      <c r="W15" s="83" t="n"/>
      <c r="X15" s="83" t="n"/>
    </row>
    <row r="16">
      <c r="A16" s="80" t="n">
        <v>46124</v>
      </c>
      <c r="B16" s="81" t="n"/>
      <c r="C16" s="81" t="n"/>
      <c r="D16" s="81" t="n"/>
      <c r="E16" s="81" t="n"/>
      <c r="F16" s="81" t="n"/>
      <c r="G16" s="81" t="n"/>
      <c r="H16" s="81" t="n"/>
      <c r="I16" s="82" t="n">
        <v>46124</v>
      </c>
      <c r="J16" s="81" t="inlineStr">
        <is>
          <t>Idel</t>
        </is>
      </c>
      <c r="K16" s="87">
        <f>L15</f>
        <v/>
      </c>
      <c r="L16" s="87" t="n">
        <v>48</v>
      </c>
      <c r="M16" s="85">
        <f>L16-K16</f>
        <v/>
      </c>
      <c r="N16" s="83" t="n"/>
      <c r="O16" s="83" t="n"/>
      <c r="P16" s="83" t="n"/>
      <c r="Q16" s="82" t="n">
        <v>46124</v>
      </c>
      <c r="R16" s="83" t="n"/>
      <c r="S16" s="87" t="n"/>
      <c r="T16" s="87" t="n"/>
      <c r="U16" s="85">
        <f>T16-S16</f>
        <v/>
      </c>
      <c r="V16" s="83" t="n"/>
      <c r="W16" s="83" t="n"/>
      <c r="X16" s="83" t="n"/>
    </row>
    <row r="17">
      <c r="A17" s="80" t="n">
        <v>46125</v>
      </c>
      <c r="B17" s="81" t="n"/>
      <c r="C17" s="81" t="n"/>
      <c r="D17" s="81" t="n"/>
      <c r="E17" s="81" t="n"/>
      <c r="F17" s="81" t="n"/>
      <c r="G17" s="81" t="n"/>
      <c r="H17" s="81" t="n"/>
      <c r="I17" s="82" t="n">
        <v>46125</v>
      </c>
      <c r="J17" s="81" t="inlineStr">
        <is>
          <t>Idel</t>
        </is>
      </c>
      <c r="K17" s="87">
        <f>L16</f>
        <v/>
      </c>
      <c r="L17" s="87" t="n">
        <v>48</v>
      </c>
      <c r="M17" s="85">
        <f>L17-K17</f>
        <v/>
      </c>
      <c r="N17" s="83" t="n"/>
      <c r="O17" s="83" t="n"/>
      <c r="P17" s="83" t="n"/>
      <c r="Q17" s="82" t="n">
        <v>46125</v>
      </c>
      <c r="R17" s="83" t="n"/>
      <c r="S17" s="87" t="n"/>
      <c r="T17" s="87" t="n"/>
      <c r="U17" s="85">
        <f>T17-S17</f>
        <v/>
      </c>
      <c r="V17" s="83" t="n"/>
      <c r="W17" s="83" t="n"/>
      <c r="X17" s="83" t="n"/>
    </row>
    <row r="18">
      <c r="A18" s="80" t="n">
        <v>46126</v>
      </c>
      <c r="B18" s="81" t="n"/>
      <c r="C18" s="81" t="n"/>
      <c r="D18" s="81" t="n"/>
      <c r="E18" s="81" t="n"/>
      <c r="F18" s="81" t="n"/>
      <c r="G18" s="81" t="n"/>
      <c r="H18" s="81" t="n"/>
      <c r="I18" s="82" t="n">
        <v>46126</v>
      </c>
      <c r="J18" s="81" t="inlineStr">
        <is>
          <t>Idel</t>
        </is>
      </c>
      <c r="K18" s="87">
        <f>L17</f>
        <v/>
      </c>
      <c r="L18" s="87" t="n">
        <v>48</v>
      </c>
      <c r="M18" s="85">
        <f>L18-K18</f>
        <v/>
      </c>
      <c r="N18" s="83" t="n"/>
      <c r="O18" s="83" t="n"/>
      <c r="P18" s="83" t="n"/>
      <c r="Q18" s="82" t="n">
        <v>46126</v>
      </c>
      <c r="R18" s="83" t="n"/>
      <c r="S18" s="87" t="n"/>
      <c r="T18" s="87" t="n"/>
      <c r="U18" s="85">
        <f>T18-S18</f>
        <v/>
      </c>
      <c r="V18" s="83" t="n"/>
      <c r="W18" s="83" t="n"/>
      <c r="X18" s="83" t="n"/>
    </row>
    <row r="19">
      <c r="A19" s="80" t="n">
        <v>46127</v>
      </c>
      <c r="B19" s="81" t="n"/>
      <c r="C19" s="134" t="inlineStr">
        <is>
          <t>XCMG-2 Operation started from 15-04-26</t>
        </is>
      </c>
      <c r="D19" s="125" t="n"/>
      <c r="E19" s="126" t="n"/>
      <c r="F19" s="81" t="n"/>
      <c r="G19" s="81" t="n"/>
      <c r="H19" s="81" t="n"/>
      <c r="I19" s="82" t="n">
        <v>46127</v>
      </c>
      <c r="J19" s="81" t="inlineStr">
        <is>
          <t xml:space="preserve">Running </t>
        </is>
      </c>
      <c r="K19" s="87">
        <f>L18</f>
        <v/>
      </c>
      <c r="L19" s="87" t="n">
        <v>49</v>
      </c>
      <c r="M19" s="85">
        <f>L19-K19</f>
        <v/>
      </c>
      <c r="N19" s="83" t="n"/>
      <c r="O19" s="83" t="n"/>
      <c r="P19" s="83" t="n"/>
      <c r="Q19" s="82" t="n">
        <v>46127</v>
      </c>
      <c r="R19" s="83" t="n"/>
      <c r="S19" s="134" t="inlineStr">
        <is>
          <t>Fork lift Operation started from 15-04-26</t>
        </is>
      </c>
      <c r="T19" s="125" t="n"/>
      <c r="U19" s="126" t="n"/>
      <c r="V19" s="83" t="n"/>
      <c r="W19" s="83" t="n"/>
      <c r="X19" s="83" t="n"/>
    </row>
    <row r="20">
      <c r="A20" s="80" t="n">
        <v>46128</v>
      </c>
      <c r="B20" s="81" t="inlineStr">
        <is>
          <t xml:space="preserve">Running </t>
        </is>
      </c>
      <c r="C20" s="87" t="n">
        <v>176</v>
      </c>
      <c r="D20" s="83" t="n">
        <v>177</v>
      </c>
      <c r="E20" s="69">
        <f>D20-C20</f>
        <v/>
      </c>
      <c r="F20" s="81" t="n"/>
      <c r="G20" s="81" t="n"/>
      <c r="H20" s="81" t="n"/>
      <c r="I20" s="82" t="n">
        <v>46128</v>
      </c>
      <c r="J20" s="81" t="inlineStr">
        <is>
          <t xml:space="preserve">Running </t>
        </is>
      </c>
      <c r="K20" s="87">
        <f>L19</f>
        <v/>
      </c>
      <c r="L20" s="87" t="n">
        <v>52</v>
      </c>
      <c r="M20" s="85">
        <f>L20-K20</f>
        <v/>
      </c>
      <c r="N20" s="83" t="n"/>
      <c r="O20" s="83" t="n"/>
      <c r="P20" s="83" t="n"/>
      <c r="Q20" s="82" t="n">
        <v>46128</v>
      </c>
      <c r="R20" s="83" t="n"/>
      <c r="S20" s="88" t="n">
        <v>9</v>
      </c>
      <c r="T20" s="88" t="n">
        <v>9</v>
      </c>
      <c r="U20" s="85">
        <f>T20-S20</f>
        <v/>
      </c>
      <c r="V20" s="83" t="n"/>
      <c r="W20" s="83" t="n"/>
      <c r="X20" s="83" t="n"/>
    </row>
    <row r="21">
      <c r="A21" s="80" t="n">
        <v>46129</v>
      </c>
      <c r="B21" s="81" t="inlineStr">
        <is>
          <t>Idel</t>
        </is>
      </c>
      <c r="C21" s="83">
        <f>D20</f>
        <v/>
      </c>
      <c r="D21" s="83" t="n">
        <v>177</v>
      </c>
      <c r="E21" s="69">
        <f>D21-C21</f>
        <v/>
      </c>
      <c r="F21" s="81" t="n"/>
      <c r="G21" s="81" t="n"/>
      <c r="H21" s="81" t="n"/>
      <c r="I21" s="82" t="n">
        <v>46129</v>
      </c>
      <c r="J21" s="81" t="inlineStr">
        <is>
          <t>Idel</t>
        </is>
      </c>
      <c r="K21" s="87">
        <f>L20</f>
        <v/>
      </c>
      <c r="L21" s="87" t="n">
        <v>52</v>
      </c>
      <c r="M21" s="85">
        <f>L21-K21</f>
        <v/>
      </c>
      <c r="N21" s="83" t="n"/>
      <c r="O21" s="83" t="n"/>
      <c r="P21" s="83" t="n"/>
      <c r="Q21" s="82" t="n">
        <v>46129</v>
      </c>
      <c r="R21" s="83" t="n"/>
      <c r="S21" s="88">
        <f>T20</f>
        <v/>
      </c>
      <c r="T21" s="88" t="n">
        <v>9</v>
      </c>
      <c r="U21" s="85">
        <f>T21-S21</f>
        <v/>
      </c>
      <c r="V21" s="83" t="n"/>
      <c r="W21" s="83" t="n"/>
      <c r="X21" s="83" t="n"/>
    </row>
    <row r="22">
      <c r="A22" s="80" t="n">
        <v>46130</v>
      </c>
      <c r="B22" s="81" t="inlineStr">
        <is>
          <t>Idel</t>
        </is>
      </c>
      <c r="C22" s="83">
        <f>D21</f>
        <v/>
      </c>
      <c r="D22" s="83" t="n">
        <v>177</v>
      </c>
      <c r="E22" s="69">
        <f>D22-C22</f>
        <v/>
      </c>
      <c r="F22" s="81" t="n"/>
      <c r="G22" s="81" t="n"/>
      <c r="H22" s="81" t="n"/>
      <c r="I22" s="82" t="n">
        <v>46130</v>
      </c>
      <c r="J22" s="81" t="inlineStr">
        <is>
          <t>Idel</t>
        </is>
      </c>
      <c r="K22" s="87">
        <f>L21</f>
        <v/>
      </c>
      <c r="L22" s="87" t="n">
        <v>52</v>
      </c>
      <c r="M22" s="85">
        <f>L22-K22</f>
        <v/>
      </c>
      <c r="N22" s="83" t="n"/>
      <c r="O22" s="83" t="n"/>
      <c r="P22" s="83" t="n"/>
      <c r="Q22" s="82" t="n">
        <v>46130</v>
      </c>
      <c r="R22" s="83" t="n"/>
      <c r="S22" s="88">
        <f>T21</f>
        <v/>
      </c>
      <c r="T22" s="88" t="n">
        <v>9</v>
      </c>
      <c r="U22" s="85">
        <f>T22-S22</f>
        <v/>
      </c>
      <c r="V22" s="83" t="n"/>
      <c r="W22" s="83" t="n"/>
      <c r="X22" s="83" t="n"/>
    </row>
    <row r="23">
      <c r="A23" s="80" t="n">
        <v>46131</v>
      </c>
      <c r="B23" s="81" t="inlineStr">
        <is>
          <t xml:space="preserve">Running </t>
        </is>
      </c>
      <c r="C23" s="83">
        <f>D22</f>
        <v/>
      </c>
      <c r="D23" s="83" t="n">
        <v>178</v>
      </c>
      <c r="E23" s="69">
        <f>D23-C23</f>
        <v/>
      </c>
      <c r="F23" s="81" t="n"/>
      <c r="G23" s="81" t="n"/>
      <c r="H23" s="81" t="n"/>
      <c r="I23" s="82" t="n">
        <v>46131</v>
      </c>
      <c r="J23" s="81" t="inlineStr">
        <is>
          <t>Idel</t>
        </is>
      </c>
      <c r="K23" s="87">
        <f>L22</f>
        <v/>
      </c>
      <c r="L23" s="87" t="n">
        <v>52</v>
      </c>
      <c r="M23" s="85">
        <f>L23-K23</f>
        <v/>
      </c>
      <c r="N23" s="83" t="n"/>
      <c r="O23" s="83" t="n"/>
      <c r="P23" s="83" t="n"/>
      <c r="Q23" s="82" t="n">
        <v>46131</v>
      </c>
      <c r="R23" s="83" t="n"/>
      <c r="S23" s="88">
        <f>T22</f>
        <v/>
      </c>
      <c r="T23" s="88" t="n">
        <v>9</v>
      </c>
      <c r="U23" s="85">
        <f>T23-S23</f>
        <v/>
      </c>
      <c r="V23" s="83" t="n"/>
      <c r="W23" s="83" t="n"/>
      <c r="X23" s="83" t="n"/>
    </row>
    <row r="24">
      <c r="A24" s="80" t="n">
        <v>46132</v>
      </c>
      <c r="B24" s="81" t="inlineStr">
        <is>
          <t xml:space="preserve">Running </t>
        </is>
      </c>
      <c r="C24" s="83">
        <f>D23</f>
        <v/>
      </c>
      <c r="D24" s="83" t="n">
        <v>188</v>
      </c>
      <c r="E24" s="69">
        <f>D24-C24</f>
        <v/>
      </c>
      <c r="F24" s="81" t="n"/>
      <c r="G24" s="81" t="n"/>
      <c r="H24" s="81" t="n"/>
      <c r="I24" s="82" t="n">
        <v>46132</v>
      </c>
      <c r="J24" s="81" t="inlineStr">
        <is>
          <t>Idel</t>
        </is>
      </c>
      <c r="K24" s="87">
        <f>L23</f>
        <v/>
      </c>
      <c r="L24" s="87" t="n">
        <v>52</v>
      </c>
      <c r="M24" s="85">
        <f>L24-K24</f>
        <v/>
      </c>
      <c r="N24" s="83" t="n"/>
      <c r="O24" s="83" t="n"/>
      <c r="P24" s="83" t="n"/>
      <c r="Q24" s="82" t="n">
        <v>46132</v>
      </c>
      <c r="R24" s="83" t="n"/>
      <c r="S24" s="88">
        <f>T23</f>
        <v/>
      </c>
      <c r="T24" s="88" t="n">
        <v>9</v>
      </c>
      <c r="U24" s="85">
        <f>T24-S24</f>
        <v/>
      </c>
      <c r="V24" s="83" t="n"/>
      <c r="W24" s="83" t="n"/>
      <c r="X24" s="83" t="n"/>
    </row>
    <row r="25">
      <c r="A25" s="80" t="n">
        <v>46133</v>
      </c>
      <c r="B25" s="81" t="inlineStr">
        <is>
          <t xml:space="preserve">Running </t>
        </is>
      </c>
      <c r="C25" s="83">
        <f>D24</f>
        <v/>
      </c>
      <c r="D25" s="83" t="n">
        <v>198</v>
      </c>
      <c r="E25" s="69">
        <f>D25-C25</f>
        <v/>
      </c>
      <c r="F25" s="81" t="n"/>
      <c r="G25" s="81" t="n"/>
      <c r="H25" s="81" t="n"/>
      <c r="I25" s="82" t="n">
        <v>46133</v>
      </c>
      <c r="J25" s="81" t="inlineStr">
        <is>
          <t>Idel</t>
        </is>
      </c>
      <c r="K25" s="87">
        <f>L24</f>
        <v/>
      </c>
      <c r="L25" s="87" t="n">
        <v>52</v>
      </c>
      <c r="M25" s="85">
        <f>L25-K25</f>
        <v/>
      </c>
      <c r="N25" s="83" t="n"/>
      <c r="O25" s="83" t="n"/>
      <c r="P25" s="83" t="n"/>
      <c r="Q25" s="82" t="n">
        <v>46133</v>
      </c>
      <c r="R25" s="83" t="n"/>
      <c r="S25" s="88">
        <f>T24</f>
        <v/>
      </c>
      <c r="T25" s="88" t="n">
        <v>9</v>
      </c>
      <c r="U25" s="85">
        <f>T25-S25</f>
        <v/>
      </c>
      <c r="V25" s="83" t="n"/>
      <c r="W25" s="83" t="n">
        <v>300</v>
      </c>
      <c r="X25" s="83" t="n"/>
    </row>
    <row r="26">
      <c r="A26" s="80" t="n">
        <v>46134</v>
      </c>
      <c r="B26" s="81" t="inlineStr">
        <is>
          <t>Idel</t>
        </is>
      </c>
      <c r="C26" s="83">
        <f>D25</f>
        <v/>
      </c>
      <c r="D26" s="83" t="n">
        <v>198</v>
      </c>
      <c r="E26" s="69">
        <f>D26-C26</f>
        <v/>
      </c>
      <c r="F26" s="81" t="n"/>
      <c r="G26" s="81" t="n"/>
      <c r="H26" s="81" t="n"/>
      <c r="I26" s="82" t="n">
        <v>46134</v>
      </c>
      <c r="J26" s="81" t="inlineStr">
        <is>
          <t>Idel</t>
        </is>
      </c>
      <c r="K26" s="87">
        <f>L25</f>
        <v/>
      </c>
      <c r="L26" s="87" t="n">
        <v>52</v>
      </c>
      <c r="M26" s="85">
        <f>L26-K26</f>
        <v/>
      </c>
      <c r="N26" s="83" t="n"/>
      <c r="O26" s="83" t="n"/>
      <c r="P26" s="83" t="n"/>
      <c r="Q26" s="82" t="n">
        <v>46134</v>
      </c>
      <c r="R26" s="83" t="n"/>
      <c r="S26" s="88">
        <f>T25</f>
        <v/>
      </c>
      <c r="T26" s="88" t="n">
        <v>9</v>
      </c>
      <c r="U26" s="85">
        <f>T26-S26</f>
        <v/>
      </c>
      <c r="V26" s="83" t="n"/>
      <c r="W26" s="83" t="n"/>
      <c r="X26" s="83" t="n"/>
    </row>
    <row r="27">
      <c r="A27" s="80" t="n">
        <v>46135</v>
      </c>
      <c r="B27" s="81" t="inlineStr">
        <is>
          <t xml:space="preserve">Running </t>
        </is>
      </c>
      <c r="C27" s="83">
        <f>D26</f>
        <v/>
      </c>
      <c r="D27" s="83" t="n">
        <v>199</v>
      </c>
      <c r="E27" s="69">
        <f>D27-C27</f>
        <v/>
      </c>
      <c r="F27" s="81" t="n"/>
      <c r="G27" s="81" t="n"/>
      <c r="H27" s="81" t="n"/>
      <c r="I27" s="82" t="n">
        <v>46135</v>
      </c>
      <c r="J27" s="81" t="inlineStr">
        <is>
          <t xml:space="preserve">Running </t>
        </is>
      </c>
      <c r="K27" s="87">
        <f>L26</f>
        <v/>
      </c>
      <c r="L27" s="87" t="n">
        <v>53</v>
      </c>
      <c r="M27" s="85">
        <f>L27-K27</f>
        <v/>
      </c>
      <c r="N27" s="83" t="n"/>
      <c r="O27" s="83" t="n"/>
      <c r="P27" s="83" t="n"/>
      <c r="Q27" s="82" t="n">
        <v>46135</v>
      </c>
      <c r="R27" s="83" t="n"/>
      <c r="S27" s="88">
        <f>T26</f>
        <v/>
      </c>
      <c r="T27" s="88" t="n">
        <v>9</v>
      </c>
      <c r="U27" s="85">
        <f>T27-S27</f>
        <v/>
      </c>
      <c r="V27" s="83" t="n"/>
      <c r="W27" s="83" t="n"/>
      <c r="X27" s="83" t="n"/>
    </row>
    <row r="28">
      <c r="A28" s="80" t="n">
        <v>46136</v>
      </c>
      <c r="B28" s="81" t="inlineStr">
        <is>
          <t>Idel</t>
        </is>
      </c>
      <c r="C28" s="83">
        <f>D27</f>
        <v/>
      </c>
      <c r="D28" s="83" t="n">
        <v>199</v>
      </c>
      <c r="E28" s="69">
        <f>D28-C28</f>
        <v/>
      </c>
      <c r="F28" s="81" t="n"/>
      <c r="G28" s="81" t="n"/>
      <c r="H28" s="81" t="n"/>
      <c r="I28" s="82" t="n">
        <v>46136</v>
      </c>
      <c r="J28" s="81" t="inlineStr">
        <is>
          <t>Idel</t>
        </is>
      </c>
      <c r="K28" s="87">
        <f>L27</f>
        <v/>
      </c>
      <c r="L28" s="87" t="n">
        <v>53</v>
      </c>
      <c r="M28" s="85">
        <f>L28-K28</f>
        <v/>
      </c>
      <c r="N28" s="83" t="n"/>
      <c r="O28" s="83" t="n"/>
      <c r="P28" s="83" t="n"/>
      <c r="Q28" s="82" t="n">
        <v>46136</v>
      </c>
      <c r="R28" s="83" t="n"/>
      <c r="S28" s="88">
        <f>T27</f>
        <v/>
      </c>
      <c r="T28" s="88" t="n">
        <v>9</v>
      </c>
      <c r="U28" s="85">
        <f>T28-S28</f>
        <v/>
      </c>
      <c r="V28" s="83" t="n"/>
      <c r="W28" s="83" t="n"/>
      <c r="X28" s="83" t="n"/>
    </row>
    <row r="29">
      <c r="A29" s="80" t="n">
        <v>46137</v>
      </c>
      <c r="B29" s="81" t="inlineStr">
        <is>
          <t>Idel</t>
        </is>
      </c>
      <c r="C29" s="83">
        <f>D28</f>
        <v/>
      </c>
      <c r="D29" s="83" t="n">
        <v>199</v>
      </c>
      <c r="E29" s="69">
        <f>D29-C29</f>
        <v/>
      </c>
      <c r="F29" s="81" t="n"/>
      <c r="G29" s="81" t="n"/>
      <c r="H29" s="81" t="n"/>
      <c r="I29" s="82" t="n">
        <v>46137</v>
      </c>
      <c r="J29" s="81" t="inlineStr">
        <is>
          <t>Idel</t>
        </is>
      </c>
      <c r="K29" s="87">
        <f>L28</f>
        <v/>
      </c>
      <c r="L29" s="87" t="n">
        <v>53</v>
      </c>
      <c r="M29" s="85">
        <f>L29-K29</f>
        <v/>
      </c>
      <c r="N29" s="83" t="n"/>
      <c r="O29" s="83" t="n"/>
      <c r="P29" s="83" t="n"/>
      <c r="Q29" s="82" t="n">
        <v>46137</v>
      </c>
      <c r="R29" s="83" t="n"/>
      <c r="S29" s="88">
        <f>T28</f>
        <v/>
      </c>
      <c r="T29" s="88" t="n">
        <v>9</v>
      </c>
      <c r="U29" s="85">
        <f>T29-S29</f>
        <v/>
      </c>
      <c r="V29" s="83" t="n"/>
      <c r="W29" s="83" t="n"/>
      <c r="X29" s="83" t="n"/>
    </row>
    <row r="30">
      <c r="A30" s="80" t="n">
        <v>46138</v>
      </c>
      <c r="B30" s="81" t="inlineStr">
        <is>
          <t xml:space="preserve">Running </t>
        </is>
      </c>
      <c r="C30" s="83">
        <f>D29</f>
        <v/>
      </c>
      <c r="D30" s="83" t="n">
        <v>200</v>
      </c>
      <c r="E30" s="69">
        <f>D30-C30</f>
        <v/>
      </c>
      <c r="F30" s="81" t="n"/>
      <c r="G30" s="81" t="n"/>
      <c r="H30" s="81" t="n"/>
      <c r="I30" s="82" t="n">
        <v>46138</v>
      </c>
      <c r="J30" s="81" t="inlineStr">
        <is>
          <t>Idel</t>
        </is>
      </c>
      <c r="K30" s="87">
        <f>L29</f>
        <v/>
      </c>
      <c r="L30" s="87" t="n">
        <v>53</v>
      </c>
      <c r="M30" s="85">
        <f>L30-K30</f>
        <v/>
      </c>
      <c r="N30" s="83" t="n"/>
      <c r="O30" s="83" t="n"/>
      <c r="P30" s="83" t="n"/>
      <c r="Q30" s="82" t="n">
        <v>46138</v>
      </c>
      <c r="R30" s="83" t="n"/>
      <c r="S30" s="88">
        <f>T29</f>
        <v/>
      </c>
      <c r="T30" s="88" t="n">
        <v>9</v>
      </c>
      <c r="U30" s="85">
        <f>T30-S30</f>
        <v/>
      </c>
      <c r="V30" s="83" t="n"/>
      <c r="W30" s="83" t="n"/>
      <c r="X30" s="83" t="n"/>
    </row>
    <row r="31">
      <c r="A31" s="80" t="n">
        <v>46139</v>
      </c>
      <c r="B31" s="81" t="inlineStr">
        <is>
          <t>Idel</t>
        </is>
      </c>
      <c r="C31" s="83">
        <f>D30</f>
        <v/>
      </c>
      <c r="D31" s="83" t="n">
        <v>200</v>
      </c>
      <c r="E31" s="69">
        <f>D31-C31</f>
        <v/>
      </c>
      <c r="F31" s="81" t="n"/>
      <c r="G31" s="81" t="n"/>
      <c r="H31" s="81" t="n"/>
      <c r="I31" s="82" t="n">
        <v>46139</v>
      </c>
      <c r="J31" s="81" t="inlineStr">
        <is>
          <t>Idel</t>
        </is>
      </c>
      <c r="K31" s="87">
        <f>L30</f>
        <v/>
      </c>
      <c r="L31" s="87" t="n">
        <v>53</v>
      </c>
      <c r="M31" s="85">
        <f>L31-K31</f>
        <v/>
      </c>
      <c r="N31" s="83" t="n"/>
      <c r="O31" s="83" t="n"/>
      <c r="P31" s="83" t="n"/>
      <c r="Q31" s="82" t="n">
        <v>46139</v>
      </c>
      <c r="R31" s="83" t="n"/>
      <c r="S31" s="88">
        <f>T30</f>
        <v/>
      </c>
      <c r="T31" s="88" t="n">
        <v>9.800000000000001</v>
      </c>
      <c r="U31" s="85">
        <f>T31-S31</f>
        <v/>
      </c>
      <c r="V31" s="83" t="n"/>
      <c r="W31" s="83" t="n"/>
      <c r="X31" s="83" t="n"/>
    </row>
    <row r="32">
      <c r="A32" s="80" t="n">
        <v>46140</v>
      </c>
      <c r="B32" s="81" t="inlineStr">
        <is>
          <t>Idel</t>
        </is>
      </c>
      <c r="C32" s="83">
        <f>D31</f>
        <v/>
      </c>
      <c r="D32" s="83" t="n">
        <v>200</v>
      </c>
      <c r="E32" s="69">
        <f>D32-C32</f>
        <v/>
      </c>
      <c r="F32" s="81" t="n"/>
      <c r="G32" s="81" t="n"/>
      <c r="H32" s="81" t="n"/>
      <c r="I32" s="82" t="n">
        <v>46140</v>
      </c>
      <c r="J32" s="81" t="inlineStr">
        <is>
          <t xml:space="preserve">Running </t>
        </is>
      </c>
      <c r="K32" s="87">
        <f>L31</f>
        <v/>
      </c>
      <c r="L32" s="87" t="n">
        <v>54</v>
      </c>
      <c r="M32" s="85">
        <f>L32-K32</f>
        <v/>
      </c>
      <c r="N32" s="83" t="n"/>
      <c r="O32" s="83" t="n"/>
      <c r="P32" s="83" t="n"/>
      <c r="Q32" s="82" t="n">
        <v>46140</v>
      </c>
      <c r="R32" s="83" t="n"/>
      <c r="S32" s="88">
        <f>T31</f>
        <v/>
      </c>
      <c r="T32" s="88" t="n">
        <v>10.5</v>
      </c>
      <c r="U32" s="85">
        <f>T32-S32</f>
        <v/>
      </c>
      <c r="V32" s="83" t="n"/>
      <c r="W32" s="83" t="n"/>
      <c r="X32" s="83" t="n"/>
    </row>
    <row r="33">
      <c r="A33" s="80" t="n">
        <v>46141</v>
      </c>
      <c r="B33" s="81" t="inlineStr">
        <is>
          <t xml:space="preserve">Running </t>
        </is>
      </c>
      <c r="C33" s="83">
        <f>D32</f>
        <v/>
      </c>
      <c r="D33" s="83" t="n">
        <v>201</v>
      </c>
      <c r="E33" s="69">
        <f>D33-C33</f>
        <v/>
      </c>
      <c r="F33" s="81" t="n"/>
      <c r="G33" s="81" t="n"/>
      <c r="H33" s="81" t="n"/>
      <c r="I33" s="82" t="n">
        <v>46141</v>
      </c>
      <c r="J33" s="81" t="inlineStr">
        <is>
          <t xml:space="preserve">Running </t>
        </is>
      </c>
      <c r="K33" s="87">
        <f>L32</f>
        <v/>
      </c>
      <c r="L33" s="87" t="n">
        <v>59</v>
      </c>
      <c r="M33" s="85">
        <f>L33-K33</f>
        <v/>
      </c>
      <c r="N33" s="83" t="n"/>
      <c r="O33" s="83" t="n"/>
      <c r="P33" s="83" t="n"/>
      <c r="Q33" s="82" t="n">
        <v>46141</v>
      </c>
      <c r="R33" s="83" t="n"/>
      <c r="S33" s="88">
        <f>T32</f>
        <v/>
      </c>
      <c r="T33" s="88" t="n">
        <v>12</v>
      </c>
      <c r="U33" s="85">
        <f>T33-S33</f>
        <v/>
      </c>
      <c r="V33" s="83" t="n"/>
      <c r="W33" s="83" t="n"/>
      <c r="X33" s="83" t="n"/>
    </row>
    <row r="34">
      <c r="A34" s="80" t="n">
        <v>46142</v>
      </c>
      <c r="B34" s="81" t="inlineStr">
        <is>
          <t xml:space="preserve">Running </t>
        </is>
      </c>
      <c r="C34" s="83">
        <f>D33</f>
        <v/>
      </c>
      <c r="D34" s="87" t="n">
        <v>221</v>
      </c>
      <c r="E34" s="69">
        <f>D34-C34</f>
        <v/>
      </c>
      <c r="F34" s="81" t="n"/>
      <c r="G34" s="81" t="n"/>
      <c r="H34" s="81" t="n"/>
      <c r="I34" s="82" t="n">
        <v>46142</v>
      </c>
      <c r="J34" s="81" t="inlineStr">
        <is>
          <t xml:space="preserve">Running </t>
        </is>
      </c>
      <c r="K34" s="87">
        <f>L33</f>
        <v/>
      </c>
      <c r="L34" s="87" t="n">
        <v>61</v>
      </c>
      <c r="M34" s="85">
        <f>L34-K34</f>
        <v/>
      </c>
      <c r="N34" s="83" t="n"/>
      <c r="O34" s="83" t="n"/>
      <c r="P34" s="83" t="n"/>
      <c r="Q34" s="82" t="n">
        <v>46142</v>
      </c>
      <c r="R34" s="83" t="n"/>
      <c r="S34" s="88">
        <f>T33</f>
        <v/>
      </c>
      <c r="T34" s="88" t="n">
        <v>12</v>
      </c>
      <c r="U34" s="85">
        <f>T34-S34</f>
        <v/>
      </c>
      <c r="V34" s="83" t="n"/>
      <c r="W34" s="83" t="n"/>
      <c r="X34" s="83" t="n"/>
    </row>
    <row r="35" customFormat="1" s="95">
      <c r="A35" s="89" t="n"/>
      <c r="B35" s="89" t="inlineStr">
        <is>
          <t xml:space="preserve">Total </t>
        </is>
      </c>
      <c r="C35" s="89" t="n"/>
      <c r="D35" s="89" t="n"/>
      <c r="E35" s="90">
        <f>SUM(E5:E34)</f>
        <v/>
      </c>
      <c r="F35" s="91" t="n"/>
      <c r="G35" s="91" t="n"/>
      <c r="H35" s="91" t="n"/>
      <c r="I35" s="92" t="n"/>
      <c r="J35" s="92" t="inlineStr">
        <is>
          <t xml:space="preserve">Total </t>
        </is>
      </c>
      <c r="K35" s="92" t="n"/>
      <c r="L35" s="92" t="n"/>
      <c r="M35" s="93">
        <f>SUM(M5:M34)</f>
        <v/>
      </c>
      <c r="N35" s="94" t="n"/>
      <c r="O35" s="93">
        <f>SUM(O5:O34)</f>
        <v/>
      </c>
      <c r="P35" s="94" t="n"/>
      <c r="Q35" s="92" t="n"/>
      <c r="R35" s="92" t="inlineStr">
        <is>
          <t xml:space="preserve">Total </t>
        </is>
      </c>
      <c r="S35" s="92" t="n"/>
      <c r="T35" s="92" t="n"/>
      <c r="U35" s="93">
        <f>SUM(U5:U34)</f>
        <v/>
      </c>
      <c r="V35" s="94" t="n"/>
      <c r="W35" s="83" t="n">
        <v>300</v>
      </c>
      <c r="X35" s="94" t="n"/>
    </row>
    <row r="37">
      <c r="A37" t="inlineStr">
        <is>
          <t>Monthly Hiring Charges</t>
        </is>
      </c>
      <c r="C37" t="n">
        <v>720000</v>
      </c>
      <c r="I37" t="inlineStr">
        <is>
          <t>Monthly Hiring Charges</t>
        </is>
      </c>
      <c r="K37" t="n">
        <v>720000</v>
      </c>
      <c r="R37" t="inlineStr">
        <is>
          <t>Monthly Hiring Charges</t>
        </is>
      </c>
      <c r="T37" t="n">
        <v>500000</v>
      </c>
    </row>
    <row r="38">
      <c r="A38" t="inlineStr">
        <is>
          <t>Per Day Rate/30</t>
        </is>
      </c>
      <c r="C38" s="100">
        <f>C37/30</f>
        <v/>
      </c>
      <c r="I38" t="inlineStr">
        <is>
          <t>Per Day Rate/30</t>
        </is>
      </c>
      <c r="K38" s="100">
        <f>K37/30</f>
        <v/>
      </c>
      <c r="R38" t="inlineStr">
        <is>
          <t>Per Day Rate/30</t>
        </is>
      </c>
      <c r="T38" s="108">
        <f>T37/30</f>
        <v/>
      </c>
    </row>
    <row r="39">
      <c r="A39" t="inlineStr">
        <is>
          <t>Per Hours Rate</t>
        </is>
      </c>
      <c r="C39" s="100">
        <f>C38/24</f>
        <v/>
      </c>
      <c r="D39" s="41" t="inlineStr">
        <is>
          <t>Diesel Cap</t>
        </is>
      </c>
      <c r="E39" s="41" t="inlineStr">
        <is>
          <t>Disel Qty</t>
        </is>
      </c>
      <c r="F39" s="41" t="inlineStr">
        <is>
          <t>Diesel Rate</t>
        </is>
      </c>
      <c r="G39" s="41" t="inlineStr">
        <is>
          <t>Diesel Amount</t>
        </is>
      </c>
      <c r="I39" t="inlineStr">
        <is>
          <t>Per Hours Rate</t>
        </is>
      </c>
      <c r="K39" s="100">
        <f>K38/24</f>
        <v/>
      </c>
      <c r="L39" s="41" t="inlineStr">
        <is>
          <t>Diesel Cap</t>
        </is>
      </c>
      <c r="M39" s="41" t="inlineStr">
        <is>
          <t>Disel Qty</t>
        </is>
      </c>
      <c r="N39" s="41" t="inlineStr">
        <is>
          <t>Diesel Rate</t>
        </is>
      </c>
      <c r="O39" s="41" t="inlineStr">
        <is>
          <t>Diesel Amount</t>
        </is>
      </c>
      <c r="R39" t="inlineStr">
        <is>
          <t>Per Hours Rate</t>
        </is>
      </c>
      <c r="T39" s="100">
        <f>T38/24</f>
        <v/>
      </c>
      <c r="U39" s="41" t="inlineStr">
        <is>
          <t>Diesel Cap</t>
        </is>
      </c>
      <c r="V39" s="41" t="inlineStr">
        <is>
          <t>Disel Qty</t>
        </is>
      </c>
      <c r="W39" s="41" t="inlineStr">
        <is>
          <t>Diesel Rate</t>
        </is>
      </c>
      <c r="X39" s="41" t="inlineStr">
        <is>
          <t>Diesel Amount</t>
        </is>
      </c>
    </row>
    <row r="40">
      <c r="A40" t="inlineStr">
        <is>
          <t>16-30 Apr Running</t>
        </is>
      </c>
      <c r="C40" t="n">
        <v>45</v>
      </c>
      <c r="D40" s="41" t="n">
        <v>19</v>
      </c>
      <c r="E40" s="41">
        <f>C40*D40</f>
        <v/>
      </c>
      <c r="F40" s="41" t="n">
        <v>93.2</v>
      </c>
      <c r="G40" s="41">
        <f>E40*F40</f>
        <v/>
      </c>
      <c r="I40" t="inlineStr">
        <is>
          <t>Apr Running</t>
        </is>
      </c>
      <c r="K40" t="n">
        <v>32</v>
      </c>
      <c r="L40" s="41" t="n">
        <v>19</v>
      </c>
      <c r="M40" s="41">
        <f>K40*L40</f>
        <v/>
      </c>
      <c r="N40" s="41" t="n">
        <v>93.2</v>
      </c>
      <c r="O40" s="41">
        <f>M40*N40</f>
        <v/>
      </c>
      <c r="R40" t="inlineStr">
        <is>
          <t>16-30 Apr Running</t>
        </is>
      </c>
      <c r="T40" t="n">
        <v>3</v>
      </c>
      <c r="U40" s="41" t="n">
        <v>17</v>
      </c>
      <c r="V40" s="41">
        <f>T40*U40</f>
        <v/>
      </c>
      <c r="W40" s="41" t="n">
        <v>93.2</v>
      </c>
      <c r="X40" s="41">
        <f>V40*W40</f>
        <v/>
      </c>
    </row>
    <row r="41">
      <c r="A41" t="inlineStr">
        <is>
          <t>Monthly Hiring Charges 16 Days</t>
        </is>
      </c>
      <c r="C41">
        <f>C38*16</f>
        <v/>
      </c>
      <c r="K41" s="108" t="n"/>
      <c r="L41" s="41" t="n"/>
      <c r="M41" s="41" t="n"/>
      <c r="N41" s="41" t="n"/>
      <c r="O41" s="41" t="n"/>
      <c r="R41" t="inlineStr">
        <is>
          <t>Monthly Hiring Charges 16 Days</t>
        </is>
      </c>
      <c r="T41" s="108">
        <f>T38*16</f>
        <v/>
      </c>
      <c r="U41" s="41" t="n"/>
      <c r="V41" s="41" t="n"/>
      <c r="W41" s="41" t="n"/>
      <c r="X41" s="41" t="n"/>
    </row>
    <row r="42">
      <c r="U42" s="41" t="n"/>
      <c r="V42" s="41" t="n"/>
      <c r="W42" s="41" t="n"/>
      <c r="X42" s="41" t="n"/>
    </row>
  </sheetData>
  <mergeCells count="14">
    <mergeCell ref="A2:F2"/>
    <mergeCell ref="O2:P2"/>
    <mergeCell ref="A3:H3"/>
    <mergeCell ref="S19:U19"/>
    <mergeCell ref="Q2:V2"/>
    <mergeCell ref="W2:X2"/>
    <mergeCell ref="C19:E19"/>
    <mergeCell ref="Q1:X1"/>
    <mergeCell ref="Q3:X3"/>
    <mergeCell ref="I3:P3"/>
    <mergeCell ref="G2:H2"/>
    <mergeCell ref="I2:N2"/>
    <mergeCell ref="A1:H1"/>
    <mergeCell ref="I1:P1"/>
  </mergeCells>
  <pageMargins left="0.7" right="0.7" top="0.75" bottom="0.75" header="0.3" footer="0.3"/>
  <pageSetup orientation="portrait" scale="29"/>
</worksheet>
</file>

<file path=xl/worksheets/sheet3.xml><?xml version="1.0" encoding="utf-8"?>
<worksheet xmlns="http://schemas.openxmlformats.org/spreadsheetml/2006/main">
  <sheetPr codeName="Sheet3">
    <outlinePr summaryBelow="1" summaryRight="1"/>
    <pageSetUpPr/>
  </sheetPr>
  <dimension ref="A1:X47"/>
  <sheetViews>
    <sheetView topLeftCell="H25" workbookViewId="0">
      <selection activeCell="O51" sqref="O51"/>
    </sheetView>
  </sheetViews>
  <sheetFormatPr baseColWidth="8" defaultRowHeight="15"/>
  <cols>
    <col width="10" customWidth="1" min="1" max="1"/>
    <col width="13.7109375" bestFit="1" customWidth="1" min="2" max="2"/>
    <col width="14" bestFit="1" customWidth="1" min="3" max="3"/>
    <col width="13.7109375" bestFit="1" customWidth="1" min="4" max="4"/>
    <col width="14" bestFit="1" customWidth="1" min="5" max="5"/>
    <col width="11.5703125" customWidth="1" min="6" max="6"/>
    <col width="14.28515625" bestFit="1" customWidth="1" min="7" max="7"/>
    <col width="11.28515625" bestFit="1" customWidth="1" min="8" max="8"/>
    <col width="10" customWidth="1" min="9" max="9"/>
    <col width="17.7109375" customWidth="1" min="10" max="10"/>
    <col width="14" bestFit="1" customWidth="1" min="11" max="11"/>
    <col width="13.7109375" bestFit="1" customWidth="1" min="12" max="12"/>
    <col width="14" bestFit="1" customWidth="1" min="13" max="13"/>
    <col width="10.140625" bestFit="1" customWidth="1" min="14" max="14"/>
    <col width="14.28515625" bestFit="1" customWidth="1" min="15" max="15"/>
    <col width="11.28515625" bestFit="1" customWidth="1" min="16" max="16"/>
    <col width="10" customWidth="1" min="17" max="17"/>
    <col width="17.7109375" customWidth="1" min="18" max="18"/>
    <col width="14" bestFit="1" customWidth="1" min="19" max="19"/>
    <col width="13.7109375" bestFit="1" customWidth="1" min="20" max="20"/>
    <col width="18" customWidth="1" min="21" max="21"/>
    <col width="14" customWidth="1" min="22" max="22"/>
    <col width="12" customWidth="1" min="23" max="23"/>
    <col width="18" customWidth="1" min="24" max="24"/>
  </cols>
  <sheetData>
    <row r="1">
      <c r="A1" s="124" t="inlineStr">
        <is>
          <t>Ekta Enterprises</t>
        </is>
      </c>
      <c r="B1" s="125" t="n"/>
      <c r="C1" s="125" t="n"/>
      <c r="D1" s="125" t="n"/>
      <c r="E1" s="125" t="n"/>
      <c r="F1" s="125" t="n"/>
      <c r="G1" s="125" t="n"/>
      <c r="H1" s="126" t="n"/>
      <c r="I1" s="127" t="inlineStr">
        <is>
          <t>Ekta Enterprises</t>
        </is>
      </c>
      <c r="J1" s="125" t="n"/>
      <c r="K1" s="125" t="n"/>
      <c r="L1" s="125" t="n"/>
      <c r="M1" s="125" t="n"/>
      <c r="N1" s="125" t="n"/>
      <c r="O1" s="125" t="n"/>
      <c r="P1" s="126" t="n"/>
      <c r="Q1" s="127" t="inlineStr">
        <is>
          <t>Ekta Enterprises</t>
        </is>
      </c>
      <c r="R1" s="125" t="n"/>
      <c r="S1" s="125" t="n"/>
      <c r="T1" s="125" t="n"/>
      <c r="U1" s="125" t="n"/>
      <c r="V1" s="125" t="n"/>
      <c r="W1" s="125" t="n"/>
      <c r="X1" s="126" t="n"/>
    </row>
    <row r="2">
      <c r="A2" s="124" t="inlineStr">
        <is>
          <t>REACH STACKER NO. XCMG-2-Diesel Cap - 19 Liters Per Hour</t>
        </is>
      </c>
      <c r="B2" s="125" t="n"/>
      <c r="C2" s="125" t="n"/>
      <c r="D2" s="125" t="n"/>
      <c r="E2" s="125" t="n"/>
      <c r="F2" s="126" t="n"/>
      <c r="G2" s="128" t="n">
        <v>46143</v>
      </c>
      <c r="H2" s="126" t="n"/>
      <c r="I2" s="127" t="inlineStr">
        <is>
          <t>REACH STACKER NO. XCMG-1-Diesel Cap - 19 Liters Per Hour</t>
        </is>
      </c>
      <c r="J2" s="125" t="n"/>
      <c r="K2" s="125" t="n"/>
      <c r="L2" s="125" t="n"/>
      <c r="M2" s="125" t="n"/>
      <c r="N2" s="126" t="n"/>
      <c r="O2" s="128" t="n">
        <v>46143</v>
      </c>
      <c r="P2" s="126" t="n"/>
      <c r="Q2" s="127" t="inlineStr">
        <is>
          <t>REACH STACKER NO. Fork Lift 35 Ton-Diesel Cap - 17 Liters Per Hour</t>
        </is>
      </c>
      <c r="R2" s="125" t="n"/>
      <c r="S2" s="125" t="n"/>
      <c r="T2" s="125" t="n"/>
      <c r="U2" s="125" t="n"/>
      <c r="V2" s="126" t="n"/>
      <c r="W2" s="128" t="n">
        <v>46143</v>
      </c>
      <c r="X2" s="126" t="n"/>
    </row>
    <row r="3">
      <c r="A3" s="124" t="inlineStr">
        <is>
          <t>LOCATION : JSW AARKONAM</t>
        </is>
      </c>
      <c r="B3" s="125" t="n"/>
      <c r="C3" s="125" t="n"/>
      <c r="D3" s="125" t="n"/>
      <c r="E3" s="125" t="n"/>
      <c r="F3" s="125" t="n"/>
      <c r="G3" s="125" t="n"/>
      <c r="H3" s="126" t="n"/>
      <c r="I3" s="127" t="inlineStr">
        <is>
          <t>LOCATION : JSW AARKONAM</t>
        </is>
      </c>
      <c r="J3" s="125" t="n"/>
      <c r="K3" s="125" t="n"/>
      <c r="L3" s="125" t="n"/>
      <c r="M3" s="125" t="n"/>
      <c r="N3" s="125" t="n"/>
      <c r="O3" s="125" t="n"/>
      <c r="P3" s="126" t="n"/>
      <c r="Q3" s="127" t="inlineStr">
        <is>
          <t>LOCATION : JSW AARKONAM</t>
        </is>
      </c>
      <c r="R3" s="125" t="n"/>
      <c r="S3" s="125" t="n"/>
      <c r="T3" s="125" t="n"/>
      <c r="U3" s="125" t="n"/>
      <c r="V3" s="125" t="n"/>
      <c r="W3" s="125" t="n"/>
      <c r="X3" s="126" t="n"/>
    </row>
    <row r="4">
      <c r="A4" s="124" t="inlineStr">
        <is>
          <t>DATE</t>
        </is>
      </c>
      <c r="B4" s="124" t="inlineStr">
        <is>
          <t>ACTIVITY</t>
        </is>
      </c>
      <c r="C4" s="124" t="inlineStr">
        <is>
          <t>OPERING HMR</t>
        </is>
      </c>
      <c r="D4" s="124" t="inlineStr">
        <is>
          <t>CLOSING HMR</t>
        </is>
      </c>
      <c r="E4" s="124" t="inlineStr">
        <is>
          <t>Running Hours</t>
        </is>
      </c>
      <c r="F4" s="124" t="inlineStr">
        <is>
          <t>BD HOURS</t>
        </is>
      </c>
      <c r="G4" s="124" t="inlineStr">
        <is>
          <t>DIESEL</t>
        </is>
      </c>
      <c r="H4" s="124" t="inlineStr">
        <is>
          <t>SIGNATURE</t>
        </is>
      </c>
      <c r="I4" s="127" t="inlineStr">
        <is>
          <t>DATE</t>
        </is>
      </c>
      <c r="J4" s="127" t="inlineStr">
        <is>
          <t>ACTIVITY</t>
        </is>
      </c>
      <c r="K4" s="127" t="inlineStr">
        <is>
          <t>OPERING HMR</t>
        </is>
      </c>
      <c r="L4" s="127" t="inlineStr">
        <is>
          <t>CLOSING HMR</t>
        </is>
      </c>
      <c r="M4" s="127" t="inlineStr">
        <is>
          <t>Running Hours</t>
        </is>
      </c>
      <c r="N4" s="127" t="inlineStr">
        <is>
          <t>BD HOURS</t>
        </is>
      </c>
      <c r="O4" s="127" t="inlineStr">
        <is>
          <t>DIESEL</t>
        </is>
      </c>
      <c r="P4" s="127" t="inlineStr">
        <is>
          <t>SIGNATURE</t>
        </is>
      </c>
      <c r="Q4" s="127" t="inlineStr">
        <is>
          <t>DATE</t>
        </is>
      </c>
      <c r="R4" s="127" t="inlineStr">
        <is>
          <t>ACTIVITY</t>
        </is>
      </c>
      <c r="S4" s="127" t="inlineStr">
        <is>
          <t>OPERING HMR</t>
        </is>
      </c>
      <c r="T4" s="127" t="inlineStr">
        <is>
          <t>CLOSING HMR</t>
        </is>
      </c>
      <c r="U4" s="127" t="inlineStr">
        <is>
          <t>Running Hours</t>
        </is>
      </c>
      <c r="V4" s="127" t="inlineStr">
        <is>
          <t>BD HOURS</t>
        </is>
      </c>
      <c r="W4" s="127" t="inlineStr">
        <is>
          <t>DIESEL</t>
        </is>
      </c>
      <c r="X4" s="127" t="inlineStr">
        <is>
          <t>SIGNATURE</t>
        </is>
      </c>
    </row>
    <row r="5">
      <c r="A5" s="80" t="n">
        <v>46143</v>
      </c>
      <c r="B5" s="81" t="inlineStr">
        <is>
          <t xml:space="preserve">Running </t>
        </is>
      </c>
      <c r="C5" s="81" t="n">
        <v>221</v>
      </c>
      <c r="D5" s="81" t="n">
        <v>223</v>
      </c>
      <c r="E5" s="81">
        <f>D5-C5</f>
        <v/>
      </c>
      <c r="F5" s="81" t="n"/>
      <c r="G5" s="81" t="n"/>
      <c r="H5" s="81" t="n"/>
      <c r="I5" s="80" t="n">
        <v>46143</v>
      </c>
      <c r="J5" s="81" t="inlineStr">
        <is>
          <t xml:space="preserve">Running </t>
        </is>
      </c>
      <c r="K5" s="84" t="n">
        <v>61</v>
      </c>
      <c r="L5" s="84" t="n">
        <v>61</v>
      </c>
      <c r="M5" s="85">
        <f>L5-K5</f>
        <v/>
      </c>
      <c r="N5" s="83" t="n"/>
      <c r="O5" s="86" t="n"/>
      <c r="P5" s="83" t="n"/>
      <c r="Q5" s="80" t="n">
        <v>46143</v>
      </c>
      <c r="R5" s="83" t="inlineStr">
        <is>
          <t>Rake Handling</t>
        </is>
      </c>
      <c r="S5" s="101" t="n">
        <v>12</v>
      </c>
      <c r="T5" s="101" t="n">
        <v>12.07</v>
      </c>
      <c r="U5" s="103">
        <f>T5-S5</f>
        <v/>
      </c>
      <c r="V5" s="83" t="n"/>
      <c r="W5" s="86" t="n"/>
      <c r="X5" s="83" t="n"/>
    </row>
    <row r="6">
      <c r="A6" s="80" t="n">
        <v>46144</v>
      </c>
      <c r="B6" s="81" t="inlineStr">
        <is>
          <t xml:space="preserve">Running </t>
        </is>
      </c>
      <c r="C6" s="81">
        <f>D5</f>
        <v/>
      </c>
      <c r="D6" s="81" t="n">
        <v>224</v>
      </c>
      <c r="E6" s="81">
        <f>D6-C6</f>
        <v/>
      </c>
      <c r="F6" s="81" t="n"/>
      <c r="G6" s="81" t="n"/>
      <c r="H6" s="81" t="n"/>
      <c r="I6" s="80" t="n">
        <v>46144</v>
      </c>
      <c r="J6" s="81" t="inlineStr">
        <is>
          <t xml:space="preserve">Running </t>
        </is>
      </c>
      <c r="K6" s="87">
        <f>L5</f>
        <v/>
      </c>
      <c r="L6" s="84" t="n">
        <v>62</v>
      </c>
      <c r="M6" s="85">
        <f>L6-K6</f>
        <v/>
      </c>
      <c r="N6" s="83" t="n"/>
      <c r="O6" s="83" t="n"/>
      <c r="P6" s="83" t="n"/>
      <c r="Q6" s="80" t="n">
        <v>46144</v>
      </c>
      <c r="R6" s="83" t="n"/>
      <c r="S6" s="102">
        <f>T5</f>
        <v/>
      </c>
      <c r="T6" s="102" t="n">
        <v>12.07</v>
      </c>
      <c r="U6" s="103">
        <f>T6-S6</f>
        <v/>
      </c>
      <c r="V6" s="83" t="n"/>
      <c r="W6" s="83" t="n"/>
      <c r="X6" s="83" t="n"/>
    </row>
    <row r="7">
      <c r="A7" s="80" t="n">
        <v>46145</v>
      </c>
      <c r="B7" s="81" t="inlineStr">
        <is>
          <t xml:space="preserve">Running </t>
        </is>
      </c>
      <c r="C7" s="81">
        <f>D6</f>
        <v/>
      </c>
      <c r="D7" s="81" t="n">
        <v>226</v>
      </c>
      <c r="E7" s="81">
        <f>D7-C7</f>
        <v/>
      </c>
      <c r="F7" s="81" t="n"/>
      <c r="G7" s="81" t="n"/>
      <c r="H7" s="81" t="n"/>
      <c r="I7" s="80" t="n">
        <v>46145</v>
      </c>
      <c r="J7" s="81" t="inlineStr">
        <is>
          <t xml:space="preserve">Running </t>
        </is>
      </c>
      <c r="K7" s="87">
        <f>L6</f>
        <v/>
      </c>
      <c r="L7" s="84" t="n">
        <v>62</v>
      </c>
      <c r="M7" s="85">
        <f>L7-K7</f>
        <v/>
      </c>
      <c r="N7" s="83" t="n"/>
      <c r="O7" s="83" t="n"/>
      <c r="P7" s="83" t="n"/>
      <c r="Q7" s="80" t="n">
        <v>46145</v>
      </c>
      <c r="R7" s="83" t="n"/>
      <c r="S7" s="102">
        <f>T6</f>
        <v/>
      </c>
      <c r="T7" s="102" t="n">
        <v>12.07</v>
      </c>
      <c r="U7" s="103">
        <f>T7-S7</f>
        <v/>
      </c>
      <c r="V7" s="83" t="n"/>
      <c r="W7" s="83" t="n"/>
      <c r="X7" s="83" t="n"/>
    </row>
    <row r="8">
      <c r="A8" s="80" t="n">
        <v>46146</v>
      </c>
      <c r="B8" s="81" t="inlineStr">
        <is>
          <t xml:space="preserve">Running </t>
        </is>
      </c>
      <c r="C8" s="81">
        <f>D7</f>
        <v/>
      </c>
      <c r="D8" s="81" t="n">
        <v>227</v>
      </c>
      <c r="E8" s="81">
        <f>D8-C8</f>
        <v/>
      </c>
      <c r="F8" s="81" t="n"/>
      <c r="G8" s="81" t="n"/>
      <c r="H8" s="81" t="n"/>
      <c r="I8" s="80" t="n">
        <v>46146</v>
      </c>
      <c r="J8" s="81" t="inlineStr">
        <is>
          <t xml:space="preserve">Running </t>
        </is>
      </c>
      <c r="K8" s="87">
        <f>L7</f>
        <v/>
      </c>
      <c r="L8" s="84" t="n">
        <v>63</v>
      </c>
      <c r="M8" s="85">
        <f>L8-K8</f>
        <v/>
      </c>
      <c r="N8" s="83" t="n"/>
      <c r="O8" s="83" t="n"/>
      <c r="P8" s="83" t="n"/>
      <c r="Q8" s="80" t="n">
        <v>46146</v>
      </c>
      <c r="R8" s="83" t="n"/>
      <c r="S8" s="102">
        <f>T7</f>
        <v/>
      </c>
      <c r="T8" s="102" t="n">
        <v>12.07</v>
      </c>
      <c r="U8" s="103">
        <f>T8-S8</f>
        <v/>
      </c>
      <c r="V8" s="83" t="n"/>
      <c r="W8" s="83" t="n"/>
      <c r="X8" s="83" t="n"/>
    </row>
    <row r="9">
      <c r="A9" s="80" t="n">
        <v>46147</v>
      </c>
      <c r="B9" s="81" t="inlineStr">
        <is>
          <t xml:space="preserve">Running </t>
        </is>
      </c>
      <c r="C9" s="81">
        <f>D8</f>
        <v/>
      </c>
      <c r="D9" s="81" t="n">
        <v>229</v>
      </c>
      <c r="E9" s="81">
        <f>D9-C9</f>
        <v/>
      </c>
      <c r="F9" s="81" t="n"/>
      <c r="G9" s="81" t="n"/>
      <c r="H9" s="81" t="n"/>
      <c r="I9" s="80" t="n">
        <v>46147</v>
      </c>
      <c r="J9" s="81" t="inlineStr">
        <is>
          <t xml:space="preserve">Running </t>
        </is>
      </c>
      <c r="K9" s="87">
        <f>L8</f>
        <v/>
      </c>
      <c r="L9" s="84" t="n">
        <v>63</v>
      </c>
      <c r="M9" s="85">
        <f>L9-K9</f>
        <v/>
      </c>
      <c r="N9" s="83" t="n"/>
      <c r="O9" s="83" t="n"/>
      <c r="P9" s="83" t="n"/>
      <c r="Q9" s="80" t="n">
        <v>46147</v>
      </c>
      <c r="R9" s="83" t="n"/>
      <c r="S9" s="102">
        <f>T8</f>
        <v/>
      </c>
      <c r="T9" s="102" t="n">
        <v>12.07</v>
      </c>
      <c r="U9" s="103">
        <f>T9-S9</f>
        <v/>
      </c>
      <c r="V9" s="83" t="n"/>
      <c r="W9" s="83" t="n"/>
      <c r="X9" s="83" t="n"/>
    </row>
    <row r="10">
      <c r="A10" s="80" t="n">
        <v>46148</v>
      </c>
      <c r="B10" s="81" t="inlineStr">
        <is>
          <t xml:space="preserve">Running </t>
        </is>
      </c>
      <c r="C10" s="81">
        <f>D9</f>
        <v/>
      </c>
      <c r="D10" s="81" t="n">
        <v>231</v>
      </c>
      <c r="E10" s="81">
        <f>D10-C10</f>
        <v/>
      </c>
      <c r="F10" s="81" t="n"/>
      <c r="G10" s="81" t="n"/>
      <c r="H10" s="81" t="n"/>
      <c r="I10" s="80" t="n">
        <v>46148</v>
      </c>
      <c r="J10" s="81" t="inlineStr">
        <is>
          <t xml:space="preserve">Running </t>
        </is>
      </c>
      <c r="K10" s="87">
        <f>L9</f>
        <v/>
      </c>
      <c r="L10" s="84" t="n">
        <v>63</v>
      </c>
      <c r="M10" s="85">
        <f>L10-K10</f>
        <v/>
      </c>
      <c r="N10" s="83" t="n"/>
      <c r="O10" s="83" t="n"/>
      <c r="P10" s="83" t="n"/>
      <c r="Q10" s="80" t="n">
        <v>46148</v>
      </c>
      <c r="R10" s="83" t="n"/>
      <c r="S10" s="102">
        <f>T9</f>
        <v/>
      </c>
      <c r="T10" s="102" t="n">
        <v>12.07</v>
      </c>
      <c r="U10" s="103">
        <f>T10-S10</f>
        <v/>
      </c>
      <c r="V10" s="83" t="n"/>
      <c r="W10" s="83" t="n"/>
      <c r="X10" s="83" t="n"/>
    </row>
    <row r="11">
      <c r="A11" s="80" t="n">
        <v>46149</v>
      </c>
      <c r="B11" s="81" t="inlineStr">
        <is>
          <t xml:space="preserve">Running </t>
        </is>
      </c>
      <c r="C11" s="81">
        <f>D10</f>
        <v/>
      </c>
      <c r="D11" s="81" t="n">
        <v>232</v>
      </c>
      <c r="E11" s="81">
        <f>D11-C11</f>
        <v/>
      </c>
      <c r="F11" s="81" t="n"/>
      <c r="G11" s="81" t="n"/>
      <c r="H11" s="81" t="n"/>
      <c r="I11" s="80" t="n">
        <v>46149</v>
      </c>
      <c r="J11" s="81" t="inlineStr">
        <is>
          <t xml:space="preserve">Running </t>
        </is>
      </c>
      <c r="K11" s="87">
        <f>L10</f>
        <v/>
      </c>
      <c r="L11" s="84" t="n">
        <v>63</v>
      </c>
      <c r="M11" s="85">
        <f>L11-K11</f>
        <v/>
      </c>
      <c r="N11" s="83" t="n"/>
      <c r="O11" s="83" t="n"/>
      <c r="P11" s="83" t="n"/>
      <c r="Q11" s="80" t="n">
        <v>46149</v>
      </c>
      <c r="R11" s="83" t="n"/>
      <c r="S11" s="102">
        <f>T10</f>
        <v/>
      </c>
      <c r="T11" s="102" t="n">
        <v>12.07</v>
      </c>
      <c r="U11" s="103">
        <f>T11-S11</f>
        <v/>
      </c>
      <c r="V11" s="83" t="n"/>
      <c r="W11" s="83" t="n"/>
      <c r="X11" s="83" t="n"/>
    </row>
    <row r="12">
      <c r="A12" s="80" t="n">
        <v>46150</v>
      </c>
      <c r="B12" s="81" t="inlineStr">
        <is>
          <t xml:space="preserve">Running </t>
        </is>
      </c>
      <c r="C12" s="81">
        <f>D11</f>
        <v/>
      </c>
      <c r="D12" s="81" t="n">
        <v>234</v>
      </c>
      <c r="E12" s="81">
        <f>D12-C12</f>
        <v/>
      </c>
      <c r="F12" s="81" t="n"/>
      <c r="G12" s="81" t="n"/>
      <c r="H12" s="81" t="n"/>
      <c r="I12" s="80" t="n">
        <v>46150</v>
      </c>
      <c r="J12" s="81" t="inlineStr">
        <is>
          <t xml:space="preserve">Running </t>
        </is>
      </c>
      <c r="K12" s="87">
        <f>L11</f>
        <v/>
      </c>
      <c r="L12" s="84" t="n">
        <v>64</v>
      </c>
      <c r="M12" s="85">
        <f>L12-K12</f>
        <v/>
      </c>
      <c r="N12" s="83" t="n"/>
      <c r="O12" s="83" t="n"/>
      <c r="P12" s="83" t="n"/>
      <c r="Q12" s="80" t="n">
        <v>46150</v>
      </c>
      <c r="R12" s="83" t="n"/>
      <c r="S12" s="102">
        <f>T11</f>
        <v/>
      </c>
      <c r="T12" s="102" t="n">
        <v>12.07</v>
      </c>
      <c r="U12" s="103">
        <f>T12-S12</f>
        <v/>
      </c>
      <c r="V12" s="83" t="n"/>
      <c r="W12" s="83" t="n"/>
      <c r="X12" s="83" t="n"/>
    </row>
    <row r="13">
      <c r="A13" s="80" t="n">
        <v>46151</v>
      </c>
      <c r="B13" s="81" t="inlineStr">
        <is>
          <t xml:space="preserve">Running </t>
        </is>
      </c>
      <c r="C13" s="81">
        <f>D12</f>
        <v/>
      </c>
      <c r="D13" s="81" t="n">
        <v>236</v>
      </c>
      <c r="E13" s="81">
        <f>D13-C13</f>
        <v/>
      </c>
      <c r="F13" s="81" t="n"/>
      <c r="G13" s="81" t="n"/>
      <c r="H13" s="81" t="n"/>
      <c r="I13" s="80" t="n">
        <v>46151</v>
      </c>
      <c r="J13" s="81" t="inlineStr">
        <is>
          <t xml:space="preserve">Running </t>
        </is>
      </c>
      <c r="K13" s="87">
        <f>L12</f>
        <v/>
      </c>
      <c r="L13" s="84" t="n">
        <v>64</v>
      </c>
      <c r="M13" s="85">
        <f>L13-K13</f>
        <v/>
      </c>
      <c r="N13" s="83" t="n"/>
      <c r="O13" s="83" t="n"/>
      <c r="P13" s="83" t="n"/>
      <c r="Q13" s="80" t="n">
        <v>46151</v>
      </c>
      <c r="R13" s="83" t="n"/>
      <c r="S13" s="102">
        <f>T12</f>
        <v/>
      </c>
      <c r="T13" s="102" t="n">
        <v>12.07</v>
      </c>
      <c r="U13" s="103">
        <f>T13-S13</f>
        <v/>
      </c>
      <c r="V13" s="83" t="n"/>
      <c r="W13" s="83" t="n"/>
      <c r="X13" s="83" t="n"/>
    </row>
    <row r="14">
      <c r="A14" s="80" t="n">
        <v>46152</v>
      </c>
      <c r="B14" s="81" t="inlineStr">
        <is>
          <t xml:space="preserve">Running </t>
        </is>
      </c>
      <c r="C14" s="81">
        <f>D13</f>
        <v/>
      </c>
      <c r="D14" s="81" t="n">
        <v>237</v>
      </c>
      <c r="E14" s="81">
        <f>D14-C14</f>
        <v/>
      </c>
      <c r="F14" s="81" t="n"/>
      <c r="G14" s="81" t="n"/>
      <c r="H14" s="81" t="n"/>
      <c r="I14" s="80" t="n">
        <v>46152</v>
      </c>
      <c r="J14" s="81" t="inlineStr">
        <is>
          <t xml:space="preserve">Running </t>
        </is>
      </c>
      <c r="K14" s="87">
        <f>L13</f>
        <v/>
      </c>
      <c r="L14" s="84" t="n">
        <v>64</v>
      </c>
      <c r="M14" s="85">
        <f>L14-K14</f>
        <v/>
      </c>
      <c r="N14" s="83" t="n"/>
      <c r="O14" s="83" t="n"/>
      <c r="P14" s="83" t="n"/>
      <c r="Q14" s="80" t="n">
        <v>46152</v>
      </c>
      <c r="R14" s="83" t="n"/>
      <c r="S14" s="102">
        <f>T13</f>
        <v/>
      </c>
      <c r="T14" s="102" t="n">
        <v>12.07</v>
      </c>
      <c r="U14" s="103">
        <f>T14-S14</f>
        <v/>
      </c>
      <c r="V14" s="83" t="n"/>
      <c r="W14" s="83" t="n"/>
      <c r="X14" s="83" t="n"/>
    </row>
    <row r="15">
      <c r="A15" s="80" t="n">
        <v>46153</v>
      </c>
      <c r="B15" s="81" t="inlineStr">
        <is>
          <t xml:space="preserve">Running </t>
        </is>
      </c>
      <c r="C15" s="81">
        <f>D14</f>
        <v/>
      </c>
      <c r="D15" s="81" t="n">
        <v>240</v>
      </c>
      <c r="E15" s="81">
        <f>D15-C15</f>
        <v/>
      </c>
      <c r="F15" s="81" t="n"/>
      <c r="G15" s="81" t="n"/>
      <c r="H15" s="81" t="n"/>
      <c r="I15" s="80" t="n">
        <v>46153</v>
      </c>
      <c r="J15" s="81" t="inlineStr">
        <is>
          <t xml:space="preserve">Running </t>
        </is>
      </c>
      <c r="K15" s="87">
        <f>L14</f>
        <v/>
      </c>
      <c r="L15" s="84" t="n">
        <v>65</v>
      </c>
      <c r="M15" s="85">
        <f>L15-K15</f>
        <v/>
      </c>
      <c r="N15" s="83" t="n"/>
      <c r="O15" s="83" t="n"/>
      <c r="P15" s="83" t="n"/>
      <c r="Q15" s="80" t="n">
        <v>46153</v>
      </c>
      <c r="R15" s="83" t="n"/>
      <c r="S15" s="102">
        <f>T14</f>
        <v/>
      </c>
      <c r="T15" s="102" t="n">
        <v>12.07</v>
      </c>
      <c r="U15" s="103">
        <f>T15-S15</f>
        <v/>
      </c>
      <c r="V15" s="83" t="n"/>
      <c r="W15" s="83" t="n"/>
      <c r="X15" s="83" t="n"/>
    </row>
    <row r="16">
      <c r="A16" s="80" t="n">
        <v>46154</v>
      </c>
      <c r="B16" s="81" t="inlineStr">
        <is>
          <t xml:space="preserve">Running </t>
        </is>
      </c>
      <c r="C16" s="81">
        <f>D15</f>
        <v/>
      </c>
      <c r="D16" s="81" t="n">
        <v>245</v>
      </c>
      <c r="E16" s="81">
        <f>D16-C16</f>
        <v/>
      </c>
      <c r="F16" s="81" t="n"/>
      <c r="G16" s="81" t="n"/>
      <c r="H16" s="81" t="n"/>
      <c r="I16" s="80" t="n">
        <v>46154</v>
      </c>
      <c r="J16" s="81" t="inlineStr">
        <is>
          <t xml:space="preserve">Running </t>
        </is>
      </c>
      <c r="K16" s="87">
        <f>L15</f>
        <v/>
      </c>
      <c r="L16" s="87" t="n">
        <v>75</v>
      </c>
      <c r="M16" s="85">
        <f>L16-K16</f>
        <v/>
      </c>
      <c r="N16" s="83" t="n"/>
      <c r="O16" s="83" t="n"/>
      <c r="P16" s="83" t="n"/>
      <c r="Q16" s="80" t="n">
        <v>46154</v>
      </c>
      <c r="R16" s="83" t="n"/>
      <c r="S16" s="102">
        <f>T15</f>
        <v/>
      </c>
      <c r="T16" s="102" t="n">
        <v>12.07</v>
      </c>
      <c r="U16" s="103">
        <f>T16-S16</f>
        <v/>
      </c>
      <c r="V16" s="83" t="n"/>
      <c r="W16" s="83" t="n"/>
      <c r="X16" s="83" t="n"/>
    </row>
    <row r="17">
      <c r="A17" s="80" t="n">
        <v>46155</v>
      </c>
      <c r="B17" s="81" t="inlineStr">
        <is>
          <t xml:space="preserve">Running </t>
        </is>
      </c>
      <c r="C17" s="81">
        <f>D16</f>
        <v/>
      </c>
      <c r="D17" s="81" t="n">
        <v>247</v>
      </c>
      <c r="E17" s="81">
        <f>D17-C17</f>
        <v/>
      </c>
      <c r="F17" s="81" t="n"/>
      <c r="G17" s="81" t="n"/>
      <c r="H17" s="81" t="n"/>
      <c r="I17" s="80" t="n">
        <v>46155</v>
      </c>
      <c r="J17" s="81" t="inlineStr">
        <is>
          <t xml:space="preserve">Running </t>
        </is>
      </c>
      <c r="K17" s="87">
        <f>L16</f>
        <v/>
      </c>
      <c r="L17" s="87" t="n">
        <v>76</v>
      </c>
      <c r="M17" s="85">
        <f>L17-K17</f>
        <v/>
      </c>
      <c r="N17" s="83" t="n"/>
      <c r="O17" s="83" t="n"/>
      <c r="P17" s="83" t="n"/>
      <c r="Q17" s="80" t="n">
        <v>46155</v>
      </c>
      <c r="R17" s="83" t="n"/>
      <c r="S17" s="102">
        <f>T16</f>
        <v/>
      </c>
      <c r="T17" s="102" t="n">
        <v>12.07</v>
      </c>
      <c r="U17" s="103">
        <f>T17-S17</f>
        <v/>
      </c>
      <c r="V17" s="83" t="n"/>
      <c r="W17" s="83" t="n"/>
      <c r="X17" s="83" t="n"/>
    </row>
    <row r="18">
      <c r="A18" s="80" t="n">
        <v>46156</v>
      </c>
      <c r="B18" s="81" t="inlineStr">
        <is>
          <t xml:space="preserve">Running </t>
        </is>
      </c>
      <c r="C18" s="81">
        <f>D17</f>
        <v/>
      </c>
      <c r="D18" s="81" t="n">
        <v>249</v>
      </c>
      <c r="E18" s="81">
        <f>D18-C18</f>
        <v/>
      </c>
      <c r="F18" s="81" t="n"/>
      <c r="G18" s="81" t="n"/>
      <c r="H18" s="81" t="n"/>
      <c r="I18" s="80" t="n">
        <v>46156</v>
      </c>
      <c r="J18" s="81" t="inlineStr">
        <is>
          <t>Idel</t>
        </is>
      </c>
      <c r="K18" s="87">
        <f>L17</f>
        <v/>
      </c>
      <c r="L18" s="87" t="n">
        <v>76</v>
      </c>
      <c r="M18" s="85">
        <f>L18-K18</f>
        <v/>
      </c>
      <c r="N18" s="83" t="n"/>
      <c r="O18" s="83" t="n"/>
      <c r="P18" s="83" t="n"/>
      <c r="Q18" s="80" t="n">
        <v>46156</v>
      </c>
      <c r="R18" s="83" t="n"/>
      <c r="S18" s="102">
        <f>T17</f>
        <v/>
      </c>
      <c r="T18" s="102" t="n">
        <v>12.07</v>
      </c>
      <c r="U18" s="103">
        <f>T18-S18</f>
        <v/>
      </c>
      <c r="V18" s="83" t="n"/>
      <c r="W18" s="83" t="n"/>
      <c r="X18" s="83" t="n"/>
    </row>
    <row r="19">
      <c r="A19" s="80" t="n">
        <v>46157</v>
      </c>
      <c r="B19" s="81" t="inlineStr">
        <is>
          <t xml:space="preserve">Running </t>
        </is>
      </c>
      <c r="C19" s="81">
        <f>D18</f>
        <v/>
      </c>
      <c r="D19" s="81" t="n">
        <v>252</v>
      </c>
      <c r="E19" s="81">
        <f>D19-C19</f>
        <v/>
      </c>
      <c r="F19" s="81" t="n"/>
      <c r="G19" s="81" t="n"/>
      <c r="H19" s="81" t="n"/>
      <c r="I19" s="80" t="n">
        <v>46157</v>
      </c>
      <c r="J19" s="81" t="inlineStr">
        <is>
          <t>Idel</t>
        </is>
      </c>
      <c r="K19" s="87">
        <f>L18</f>
        <v/>
      </c>
      <c r="L19" s="87" t="n">
        <v>76</v>
      </c>
      <c r="M19" s="85">
        <f>L19-K19</f>
        <v/>
      </c>
      <c r="N19" s="83" t="n"/>
      <c r="O19" s="83" t="n"/>
      <c r="P19" s="83" t="n"/>
      <c r="Q19" s="80" t="n">
        <v>46157</v>
      </c>
      <c r="R19" s="83" t="n"/>
      <c r="S19" s="102">
        <f>T18</f>
        <v/>
      </c>
      <c r="T19" s="102" t="n">
        <v>12.07</v>
      </c>
      <c r="U19" s="103">
        <f>T19-S19</f>
        <v/>
      </c>
      <c r="V19" s="83" t="n"/>
      <c r="W19" s="83" t="n"/>
      <c r="X19" s="83" t="n"/>
    </row>
    <row r="20">
      <c r="A20" s="80" t="n">
        <v>46158</v>
      </c>
      <c r="B20" s="81" t="inlineStr">
        <is>
          <t xml:space="preserve">Running </t>
        </is>
      </c>
      <c r="C20" s="81">
        <f>D19</f>
        <v/>
      </c>
      <c r="D20" s="81" t="n">
        <v>253</v>
      </c>
      <c r="E20" s="81">
        <f>D20-C20</f>
        <v/>
      </c>
      <c r="F20" s="81" t="n"/>
      <c r="G20" s="81" t="n"/>
      <c r="H20" s="81" t="n"/>
      <c r="I20" s="80" t="n">
        <v>46158</v>
      </c>
      <c r="J20" s="81" t="inlineStr">
        <is>
          <t>Idel</t>
        </is>
      </c>
      <c r="K20" s="87">
        <f>L19</f>
        <v/>
      </c>
      <c r="L20" s="87" t="n">
        <v>76</v>
      </c>
      <c r="M20" s="85">
        <f>L20-K20</f>
        <v/>
      </c>
      <c r="N20" s="83" t="n"/>
      <c r="O20" s="83" t="n"/>
      <c r="P20" s="83" t="n"/>
      <c r="Q20" s="80" t="n">
        <v>46158</v>
      </c>
      <c r="R20" s="83" t="n"/>
      <c r="S20" s="102">
        <f>T19</f>
        <v/>
      </c>
      <c r="T20" s="88" t="n">
        <v>12.07</v>
      </c>
      <c r="U20" s="103">
        <f>T20-S20</f>
        <v/>
      </c>
      <c r="V20" s="83" t="n"/>
      <c r="W20" s="83" t="n"/>
      <c r="X20" s="83" t="n"/>
    </row>
    <row r="21">
      <c r="A21" s="80" t="n">
        <v>46159</v>
      </c>
      <c r="B21" s="81" t="inlineStr">
        <is>
          <t xml:space="preserve">Running </t>
        </is>
      </c>
      <c r="C21" s="81">
        <f>D20</f>
        <v/>
      </c>
      <c r="D21" s="81" t="n">
        <v>255</v>
      </c>
      <c r="E21" s="81">
        <f>D21-C21</f>
        <v/>
      </c>
      <c r="F21" s="81" t="n"/>
      <c r="G21" s="81" t="n"/>
      <c r="H21" s="81" t="n"/>
      <c r="I21" s="80" t="n">
        <v>46159</v>
      </c>
      <c r="J21" s="81" t="inlineStr">
        <is>
          <t>Idel</t>
        </is>
      </c>
      <c r="K21" s="87">
        <f>L20</f>
        <v/>
      </c>
      <c r="L21" s="87" t="n">
        <v>76</v>
      </c>
      <c r="M21" s="85">
        <f>L21-K21</f>
        <v/>
      </c>
      <c r="N21" s="83" t="n"/>
      <c r="O21" s="83" t="n"/>
      <c r="P21" s="83" t="n"/>
      <c r="Q21" s="80" t="n">
        <v>46159</v>
      </c>
      <c r="R21" s="83" t="n"/>
      <c r="S21" s="102">
        <f>T20</f>
        <v/>
      </c>
      <c r="T21" s="88" t="n">
        <v>12.07</v>
      </c>
      <c r="U21" s="103">
        <f>T21-S21</f>
        <v/>
      </c>
      <c r="V21" s="83" t="n"/>
      <c r="W21" s="83" t="n"/>
      <c r="X21" s="83" t="n"/>
    </row>
    <row r="22">
      <c r="A22" s="80" t="n">
        <v>46160</v>
      </c>
      <c r="B22" s="81" t="inlineStr">
        <is>
          <t xml:space="preserve">Running </t>
        </is>
      </c>
      <c r="C22" s="81">
        <f>D21</f>
        <v/>
      </c>
      <c r="D22" s="81" t="n">
        <v>257</v>
      </c>
      <c r="E22" s="81">
        <f>D22-C22</f>
        <v/>
      </c>
      <c r="F22" s="81" t="n"/>
      <c r="G22" s="81" t="n"/>
      <c r="H22" s="81" t="n"/>
      <c r="I22" s="80" t="n">
        <v>46160</v>
      </c>
      <c r="J22" s="81" t="inlineStr">
        <is>
          <t>Idel</t>
        </is>
      </c>
      <c r="K22" s="87">
        <f>L21</f>
        <v/>
      </c>
      <c r="L22" s="87" t="n">
        <v>76</v>
      </c>
      <c r="M22" s="85">
        <f>L22-K22</f>
        <v/>
      </c>
      <c r="N22" s="83" t="n"/>
      <c r="O22" s="83" t="n"/>
      <c r="P22" s="83" t="n"/>
      <c r="Q22" s="80" t="n">
        <v>46160</v>
      </c>
      <c r="R22" s="83" t="n"/>
      <c r="S22" s="102">
        <f>T21</f>
        <v/>
      </c>
      <c r="T22" s="88" t="n">
        <v>12.07</v>
      </c>
      <c r="U22" s="103">
        <f>T22-S22</f>
        <v/>
      </c>
      <c r="V22" s="83" t="n"/>
      <c r="W22" s="83" t="n"/>
      <c r="X22" s="83" t="n"/>
    </row>
    <row r="23">
      <c r="A23" s="80" t="n">
        <v>46161</v>
      </c>
      <c r="B23" s="81" t="inlineStr">
        <is>
          <t xml:space="preserve">Running </t>
        </is>
      </c>
      <c r="C23" s="81">
        <f>D22</f>
        <v/>
      </c>
      <c r="D23" s="81" t="n">
        <v>260</v>
      </c>
      <c r="E23" s="81">
        <f>D23-C23</f>
        <v/>
      </c>
      <c r="F23" s="81" t="n"/>
      <c r="G23" s="81" t="n"/>
      <c r="H23" s="81" t="n"/>
      <c r="I23" s="80" t="n">
        <v>46161</v>
      </c>
      <c r="J23" s="81" t="inlineStr">
        <is>
          <t>Idel</t>
        </is>
      </c>
      <c r="K23" s="87">
        <f>L22</f>
        <v/>
      </c>
      <c r="L23" s="87" t="n">
        <v>76</v>
      </c>
      <c r="M23" s="85">
        <f>L23-K23</f>
        <v/>
      </c>
      <c r="N23" s="83" t="n"/>
      <c r="O23" s="83" t="n"/>
      <c r="P23" s="83" t="n"/>
      <c r="Q23" s="80" t="n">
        <v>46161</v>
      </c>
      <c r="R23" s="83" t="n"/>
      <c r="S23" s="102">
        <f>T22</f>
        <v/>
      </c>
      <c r="T23" s="88" t="n">
        <v>12.07</v>
      </c>
      <c r="U23" s="103">
        <f>T23-S23</f>
        <v/>
      </c>
      <c r="V23" s="83" t="n"/>
      <c r="W23" s="83" t="n"/>
      <c r="X23" s="83" t="n"/>
    </row>
    <row r="24">
      <c r="A24" s="80" t="n">
        <v>46162</v>
      </c>
      <c r="B24" s="81" t="inlineStr">
        <is>
          <t xml:space="preserve">Running </t>
        </is>
      </c>
      <c r="C24" s="81">
        <f>D23</f>
        <v/>
      </c>
      <c r="D24" s="81" t="n">
        <v>262</v>
      </c>
      <c r="E24" s="81">
        <f>D24-C24</f>
        <v/>
      </c>
      <c r="F24" s="81" t="n"/>
      <c r="G24" s="81" t="n"/>
      <c r="H24" s="81" t="n"/>
      <c r="I24" s="80" t="n">
        <v>46162</v>
      </c>
      <c r="J24" s="81" t="inlineStr">
        <is>
          <t>Idel</t>
        </is>
      </c>
      <c r="K24" s="87">
        <f>L23</f>
        <v/>
      </c>
      <c r="L24" s="87" t="n">
        <v>76</v>
      </c>
      <c r="M24" s="85">
        <f>L24-K24</f>
        <v/>
      </c>
      <c r="N24" s="83" t="n"/>
      <c r="O24" s="83" t="n"/>
      <c r="P24" s="83" t="n"/>
      <c r="Q24" s="80" t="n">
        <v>46162</v>
      </c>
      <c r="R24" s="83" t="n"/>
      <c r="S24" s="102">
        <f>T23</f>
        <v/>
      </c>
      <c r="T24" s="88" t="n">
        <v>12.07</v>
      </c>
      <c r="U24" s="103">
        <f>T24-S24</f>
        <v/>
      </c>
      <c r="V24" s="83" t="n"/>
      <c r="W24" s="83" t="n"/>
      <c r="X24" s="83" t="n"/>
    </row>
    <row r="25">
      <c r="A25" s="80" t="n">
        <v>46163</v>
      </c>
      <c r="B25" s="81" t="inlineStr">
        <is>
          <t xml:space="preserve">Running </t>
        </is>
      </c>
      <c r="C25" s="81">
        <f>D24</f>
        <v/>
      </c>
      <c r="D25" s="81" t="n">
        <v>265</v>
      </c>
      <c r="E25" s="81">
        <f>D25-C25</f>
        <v/>
      </c>
      <c r="F25" s="81" t="n"/>
      <c r="G25" s="81" t="n"/>
      <c r="H25" s="81" t="n"/>
      <c r="I25" s="80" t="n">
        <v>46163</v>
      </c>
      <c r="J25" s="81" t="inlineStr">
        <is>
          <t>Idel</t>
        </is>
      </c>
      <c r="K25" s="87">
        <f>L24</f>
        <v/>
      </c>
      <c r="L25" s="87" t="n">
        <v>76</v>
      </c>
      <c r="M25" s="85">
        <f>L25-K25</f>
        <v/>
      </c>
      <c r="N25" s="83" t="n"/>
      <c r="O25" s="83" t="n"/>
      <c r="P25" s="83" t="n"/>
      <c r="Q25" s="80" t="n">
        <v>46163</v>
      </c>
      <c r="R25" s="83" t="inlineStr">
        <is>
          <t>Rake Handling</t>
        </is>
      </c>
      <c r="S25" s="102">
        <f>T24</f>
        <v/>
      </c>
      <c r="T25" s="88" t="n">
        <v>13.09</v>
      </c>
      <c r="U25" s="103">
        <f>T25-S25</f>
        <v/>
      </c>
      <c r="V25" s="83" t="n"/>
      <c r="W25" s="83" t="n"/>
      <c r="X25" s="83" t="n"/>
    </row>
    <row r="26">
      <c r="A26" s="80" t="n">
        <v>46164</v>
      </c>
      <c r="B26" s="81" t="inlineStr">
        <is>
          <t xml:space="preserve">Running </t>
        </is>
      </c>
      <c r="C26" s="81">
        <f>D25</f>
        <v/>
      </c>
      <c r="D26" s="81" t="n">
        <v>268</v>
      </c>
      <c r="E26" s="81">
        <f>D26-C26</f>
        <v/>
      </c>
      <c r="F26" s="81" t="n"/>
      <c r="G26" s="81" t="n"/>
      <c r="H26" s="81" t="n"/>
      <c r="I26" s="80" t="n">
        <v>46164</v>
      </c>
      <c r="J26" s="81" t="inlineStr">
        <is>
          <t>Idel</t>
        </is>
      </c>
      <c r="K26" s="87">
        <f>L25</f>
        <v/>
      </c>
      <c r="L26" s="87" t="n">
        <v>76</v>
      </c>
      <c r="M26" s="85">
        <f>L26-K26</f>
        <v/>
      </c>
      <c r="N26" s="83" t="n"/>
      <c r="O26" s="83" t="n"/>
      <c r="P26" s="83" t="n"/>
      <c r="Q26" s="80" t="n">
        <v>46164</v>
      </c>
      <c r="R26" s="83" t="n"/>
      <c r="S26" s="102">
        <f>T25</f>
        <v/>
      </c>
      <c r="T26" s="88" t="n">
        <v>13.09</v>
      </c>
      <c r="U26" s="103">
        <f>T26-S26</f>
        <v/>
      </c>
      <c r="V26" s="83" t="n"/>
      <c r="W26" s="83" t="n"/>
      <c r="X26" s="83" t="n"/>
    </row>
    <row r="27">
      <c r="A27" s="80" t="n">
        <v>46165</v>
      </c>
      <c r="B27" s="81" t="inlineStr">
        <is>
          <t xml:space="preserve">Running </t>
        </is>
      </c>
      <c r="C27" s="81">
        <f>D26</f>
        <v/>
      </c>
      <c r="D27" s="81" t="n">
        <v>269</v>
      </c>
      <c r="E27" s="81">
        <f>D27-C27</f>
        <v/>
      </c>
      <c r="F27" s="81" t="n"/>
      <c r="G27" s="81" t="n"/>
      <c r="H27" s="81" t="n"/>
      <c r="I27" s="80" t="n">
        <v>46165</v>
      </c>
      <c r="J27" s="81" t="inlineStr">
        <is>
          <t>Idel</t>
        </is>
      </c>
      <c r="K27" s="87">
        <f>L26</f>
        <v/>
      </c>
      <c r="L27" s="87" t="n">
        <v>76</v>
      </c>
      <c r="M27" s="85">
        <f>L27-K27</f>
        <v/>
      </c>
      <c r="N27" s="83" t="n"/>
      <c r="O27" s="83" t="n"/>
      <c r="P27" s="83" t="n"/>
      <c r="Q27" s="80" t="n">
        <v>46165</v>
      </c>
      <c r="R27" s="83" t="n"/>
      <c r="S27" s="102">
        <f>T26</f>
        <v/>
      </c>
      <c r="T27" s="88" t="n">
        <v>13.09</v>
      </c>
      <c r="U27" s="103">
        <f>T27-S27</f>
        <v/>
      </c>
      <c r="V27" s="83" t="n"/>
      <c r="W27" s="83" t="n"/>
      <c r="X27" s="83" t="n"/>
    </row>
    <row r="28">
      <c r="A28" s="80" t="n">
        <v>46166</v>
      </c>
      <c r="B28" s="81" t="inlineStr">
        <is>
          <t xml:space="preserve">Running </t>
        </is>
      </c>
      <c r="C28" s="81">
        <f>D27</f>
        <v/>
      </c>
      <c r="D28" s="81" t="n">
        <v>271</v>
      </c>
      <c r="E28" s="81">
        <f>D28-C28</f>
        <v/>
      </c>
      <c r="F28" s="81" t="n"/>
      <c r="G28" s="81" t="n"/>
      <c r="H28" s="81" t="n"/>
      <c r="I28" s="80" t="n">
        <v>46166</v>
      </c>
      <c r="J28" s="81" t="inlineStr">
        <is>
          <t>Idel</t>
        </is>
      </c>
      <c r="K28" s="87">
        <f>L27</f>
        <v/>
      </c>
      <c r="L28" s="87" t="n">
        <v>76</v>
      </c>
      <c r="M28" s="85">
        <f>L28-K28</f>
        <v/>
      </c>
      <c r="N28" s="83" t="n"/>
      <c r="O28" s="83" t="n"/>
      <c r="P28" s="83" t="n"/>
      <c r="Q28" s="80" t="n">
        <v>46166</v>
      </c>
      <c r="R28" s="83" t="n"/>
      <c r="S28" s="102">
        <f>T27</f>
        <v/>
      </c>
      <c r="T28" s="88" t="n">
        <v>13.09</v>
      </c>
      <c r="U28" s="103">
        <f>T28-S28</f>
        <v/>
      </c>
      <c r="V28" s="83" t="n"/>
      <c r="W28" s="83" t="n"/>
      <c r="X28" s="83" t="n"/>
    </row>
    <row r="29">
      <c r="A29" s="80" t="n">
        <v>46167</v>
      </c>
      <c r="B29" s="81" t="inlineStr">
        <is>
          <t xml:space="preserve">Running </t>
        </is>
      </c>
      <c r="C29" s="81">
        <f>D28</f>
        <v/>
      </c>
      <c r="D29" s="81" t="n">
        <v>272</v>
      </c>
      <c r="E29" s="81">
        <f>D29-C29</f>
        <v/>
      </c>
      <c r="F29" s="81" t="n"/>
      <c r="G29" s="81" t="n"/>
      <c r="H29" s="81" t="n"/>
      <c r="I29" s="80" t="n">
        <v>46167</v>
      </c>
      <c r="J29" s="81" t="inlineStr">
        <is>
          <t>Idel</t>
        </is>
      </c>
      <c r="K29" s="87">
        <f>L28</f>
        <v/>
      </c>
      <c r="L29" s="87" t="n">
        <v>76</v>
      </c>
      <c r="M29" s="85">
        <f>L29-K29</f>
        <v/>
      </c>
      <c r="N29" s="83" t="n"/>
      <c r="O29" s="83" t="n"/>
      <c r="P29" s="83" t="n"/>
      <c r="Q29" s="80" t="n">
        <v>46167</v>
      </c>
      <c r="R29" s="83" t="n"/>
      <c r="S29" s="102">
        <f>T28</f>
        <v/>
      </c>
      <c r="T29" s="88" t="n">
        <v>13.09</v>
      </c>
      <c r="U29" s="103">
        <f>T29-S29</f>
        <v/>
      </c>
      <c r="V29" s="83" t="n"/>
      <c r="W29" s="83" t="n"/>
      <c r="X29" s="83" t="n"/>
    </row>
    <row r="30">
      <c r="A30" s="80" t="n">
        <v>46168</v>
      </c>
      <c r="B30" s="81" t="inlineStr">
        <is>
          <t xml:space="preserve">Running </t>
        </is>
      </c>
      <c r="C30" s="81">
        <f>D29</f>
        <v/>
      </c>
      <c r="D30" s="81" t="n">
        <v>274</v>
      </c>
      <c r="E30" s="81">
        <f>D30-C30</f>
        <v/>
      </c>
      <c r="F30" s="81" t="n"/>
      <c r="G30" s="81" t="n"/>
      <c r="H30" s="81" t="n"/>
      <c r="I30" s="80" t="n">
        <v>46168</v>
      </c>
      <c r="J30" s="81" t="inlineStr">
        <is>
          <t>Idel</t>
        </is>
      </c>
      <c r="K30" s="87">
        <f>L29</f>
        <v/>
      </c>
      <c r="L30" s="87" t="n">
        <v>76</v>
      </c>
      <c r="M30" s="85">
        <f>L30-K30</f>
        <v/>
      </c>
      <c r="N30" s="83" t="n"/>
      <c r="O30" s="83" t="n"/>
      <c r="P30" s="83" t="n"/>
      <c r="Q30" s="80" t="n">
        <v>46168</v>
      </c>
      <c r="R30" s="83" t="n"/>
      <c r="S30" s="102">
        <f>T29</f>
        <v/>
      </c>
      <c r="T30" s="88" t="n">
        <v>13.09</v>
      </c>
      <c r="U30" s="103">
        <f>T30-S30</f>
        <v/>
      </c>
      <c r="V30" s="83" t="n"/>
      <c r="W30" s="83" t="n"/>
      <c r="X30" s="83" t="n"/>
    </row>
    <row r="31">
      <c r="A31" s="80" t="n">
        <v>46169</v>
      </c>
      <c r="B31" s="81" t="inlineStr">
        <is>
          <t xml:space="preserve">Running </t>
        </is>
      </c>
      <c r="C31" s="81">
        <f>D30</f>
        <v/>
      </c>
      <c r="D31" s="81" t="n">
        <v>276</v>
      </c>
      <c r="E31" s="81">
        <f>D31-C31</f>
        <v/>
      </c>
      <c r="F31" s="81" t="n"/>
      <c r="G31" s="81" t="n"/>
      <c r="H31" s="81" t="n"/>
      <c r="I31" s="80" t="n">
        <v>46169</v>
      </c>
      <c r="J31" s="81" t="inlineStr">
        <is>
          <t>Idel</t>
        </is>
      </c>
      <c r="K31" s="87">
        <f>L30</f>
        <v/>
      </c>
      <c r="L31" s="87" t="n">
        <v>76</v>
      </c>
      <c r="M31" s="85">
        <f>L31-K31</f>
        <v/>
      </c>
      <c r="N31" s="83" t="n"/>
      <c r="O31" s="83" t="n"/>
      <c r="P31" s="83" t="n"/>
      <c r="Q31" s="80" t="n">
        <v>46169</v>
      </c>
      <c r="R31" s="83" t="n"/>
      <c r="S31" s="102">
        <f>T30</f>
        <v/>
      </c>
      <c r="T31" s="88" t="n">
        <v>13.09</v>
      </c>
      <c r="U31" s="103">
        <f>T31-S31</f>
        <v/>
      </c>
      <c r="V31" s="83" t="n"/>
      <c r="W31" s="83" t="n"/>
      <c r="X31" s="83" t="n"/>
    </row>
    <row r="32">
      <c r="A32" s="80" t="n">
        <v>46170</v>
      </c>
      <c r="B32" s="81" t="inlineStr">
        <is>
          <t xml:space="preserve">Running </t>
        </is>
      </c>
      <c r="C32" s="81">
        <f>D31</f>
        <v/>
      </c>
      <c r="D32" s="81" t="n">
        <v>277</v>
      </c>
      <c r="E32" s="81">
        <f>D32-C32</f>
        <v/>
      </c>
      <c r="F32" s="81" t="n"/>
      <c r="G32" s="81" t="n"/>
      <c r="H32" s="81" t="n"/>
      <c r="I32" s="80" t="n">
        <v>46170</v>
      </c>
      <c r="J32" s="81" t="inlineStr">
        <is>
          <t>Idel</t>
        </is>
      </c>
      <c r="K32" s="87">
        <f>L31</f>
        <v/>
      </c>
      <c r="L32" s="87" t="n">
        <v>76</v>
      </c>
      <c r="M32" s="85">
        <f>L32-K32</f>
        <v/>
      </c>
      <c r="N32" s="83" t="n"/>
      <c r="O32" s="83" t="n"/>
      <c r="P32" s="83" t="n"/>
      <c r="Q32" s="80" t="n">
        <v>46170</v>
      </c>
      <c r="R32" s="83" t="n"/>
      <c r="S32" s="102">
        <f>T31</f>
        <v/>
      </c>
      <c r="T32" s="88" t="n">
        <v>13.09</v>
      </c>
      <c r="U32" s="103">
        <f>T32-S32</f>
        <v/>
      </c>
      <c r="V32" s="83" t="n"/>
      <c r="W32" s="83" t="n"/>
      <c r="X32" s="83" t="n"/>
    </row>
    <row r="33">
      <c r="A33" s="80" t="n">
        <v>46171</v>
      </c>
      <c r="B33" s="81" t="inlineStr">
        <is>
          <t xml:space="preserve">Running </t>
        </is>
      </c>
      <c r="C33" s="81">
        <f>D32</f>
        <v/>
      </c>
      <c r="D33" s="81" t="n">
        <v>279</v>
      </c>
      <c r="E33" s="81">
        <f>D33-C33</f>
        <v/>
      </c>
      <c r="F33" s="81" t="n"/>
      <c r="G33" s="81" t="n"/>
      <c r="H33" s="81" t="n"/>
      <c r="I33" s="80" t="n">
        <v>46171</v>
      </c>
      <c r="J33" s="81" t="inlineStr">
        <is>
          <t>Idel</t>
        </is>
      </c>
      <c r="K33" s="87">
        <f>L32</f>
        <v/>
      </c>
      <c r="L33" s="87" t="n">
        <v>76</v>
      </c>
      <c r="M33" s="85">
        <f>L33-K33</f>
        <v/>
      </c>
      <c r="N33" s="83" t="n"/>
      <c r="O33" s="83" t="n"/>
      <c r="P33" s="83" t="n"/>
      <c r="Q33" s="80" t="n">
        <v>46171</v>
      </c>
      <c r="R33" s="83" t="n"/>
      <c r="S33" s="102">
        <f>T32</f>
        <v/>
      </c>
      <c r="T33" s="88" t="n">
        <v>13.09</v>
      </c>
      <c r="U33" s="103">
        <f>T33-S33</f>
        <v/>
      </c>
      <c r="V33" s="83" t="n"/>
      <c r="W33" s="83" t="n"/>
      <c r="X33" s="83" t="n"/>
    </row>
    <row r="34">
      <c r="A34" s="80" t="n">
        <v>46172</v>
      </c>
      <c r="B34" s="81" t="inlineStr">
        <is>
          <t xml:space="preserve">Running </t>
        </is>
      </c>
      <c r="C34" s="81">
        <f>D33</f>
        <v/>
      </c>
      <c r="D34" s="81" t="n">
        <v>280</v>
      </c>
      <c r="E34" s="81">
        <f>D34-C34</f>
        <v/>
      </c>
      <c r="F34" s="81" t="n"/>
      <c r="G34" s="81" t="n"/>
      <c r="H34" s="81" t="n"/>
      <c r="I34" s="80" t="n">
        <v>46172</v>
      </c>
      <c r="J34" s="81" t="inlineStr">
        <is>
          <t>Idel</t>
        </is>
      </c>
      <c r="K34" s="87">
        <f>L33</f>
        <v/>
      </c>
      <c r="L34" s="87" t="n">
        <v>76</v>
      </c>
      <c r="M34" s="85">
        <f>L34-K34</f>
        <v/>
      </c>
      <c r="N34" s="83" t="n"/>
      <c r="O34" s="83" t="n"/>
      <c r="P34" s="83" t="n"/>
      <c r="Q34" s="80" t="n">
        <v>46172</v>
      </c>
      <c r="R34" s="83" t="n"/>
      <c r="S34" s="102">
        <f>T33</f>
        <v/>
      </c>
      <c r="T34" s="88" t="n">
        <v>13.09</v>
      </c>
      <c r="U34" s="103">
        <f>T34-S34</f>
        <v/>
      </c>
      <c r="V34" s="83" t="n"/>
      <c r="W34" s="83" t="n"/>
      <c r="X34" s="83" t="n"/>
    </row>
    <row r="35">
      <c r="A35" s="80" t="n">
        <v>46173</v>
      </c>
      <c r="B35" s="81" t="inlineStr">
        <is>
          <t xml:space="preserve">Running </t>
        </is>
      </c>
      <c r="C35" s="81">
        <f>D34</f>
        <v/>
      </c>
      <c r="D35" s="81" t="n">
        <v>281</v>
      </c>
      <c r="E35" s="81">
        <f>D35-C35</f>
        <v/>
      </c>
      <c r="F35" s="81" t="n"/>
      <c r="G35" s="81" t="n"/>
      <c r="H35" s="81" t="n"/>
      <c r="I35" s="80" t="n">
        <v>46173</v>
      </c>
      <c r="J35" s="81" t="inlineStr">
        <is>
          <t>Idel</t>
        </is>
      </c>
      <c r="K35" s="87">
        <f>L34</f>
        <v/>
      </c>
      <c r="L35" s="87" t="n">
        <v>76</v>
      </c>
      <c r="M35" s="85">
        <f>L35-K35</f>
        <v/>
      </c>
      <c r="N35" s="83" t="n"/>
      <c r="O35" s="83" t="n"/>
      <c r="P35" s="83" t="n"/>
      <c r="Q35" s="80" t="n">
        <v>46173</v>
      </c>
      <c r="R35" s="83" t="n"/>
      <c r="S35" s="102">
        <f>T34</f>
        <v/>
      </c>
      <c r="T35" s="88" t="n">
        <v>13.09</v>
      </c>
      <c r="U35" s="103">
        <f>T35-S35</f>
        <v/>
      </c>
      <c r="V35" s="83" t="n"/>
      <c r="W35" s="83" t="n"/>
      <c r="X35" s="83" t="n"/>
    </row>
    <row r="36" customFormat="1" s="95">
      <c r="A36" s="89" t="n"/>
      <c r="B36" s="89" t="inlineStr">
        <is>
          <t xml:space="preserve">Total </t>
        </is>
      </c>
      <c r="C36" s="89" t="n"/>
      <c r="D36" s="89" t="n"/>
      <c r="E36" s="90">
        <f>SUM(E5:E35)</f>
        <v/>
      </c>
      <c r="F36" s="91" t="n"/>
      <c r="G36" s="91" t="n"/>
      <c r="H36" s="91" t="n"/>
      <c r="I36" s="92" t="n"/>
      <c r="J36" s="92" t="inlineStr">
        <is>
          <t xml:space="preserve">Total </t>
        </is>
      </c>
      <c r="K36" s="92" t="n"/>
      <c r="L36" s="92" t="n"/>
      <c r="M36" s="90">
        <f>SUM(M5:M35)</f>
        <v/>
      </c>
      <c r="N36" s="94" t="n"/>
      <c r="O36" s="93">
        <f>SUM(O5:O34)</f>
        <v/>
      </c>
      <c r="P36" s="94" t="n"/>
      <c r="Q36" s="92" t="n"/>
      <c r="R36" s="92" t="inlineStr">
        <is>
          <t xml:space="preserve">Total </t>
        </is>
      </c>
      <c r="S36" s="92" t="n"/>
      <c r="T36" s="92" t="n"/>
      <c r="U36" s="104">
        <f>SUM(U5:U34)</f>
        <v/>
      </c>
      <c r="V36" s="94" t="n"/>
      <c r="W36" s="83" t="n"/>
      <c r="X36" s="94" t="n"/>
    </row>
    <row r="37">
      <c r="M37" s="100" t="n"/>
    </row>
    <row r="38">
      <c r="A38" t="inlineStr">
        <is>
          <t>Monthly Hiring Charges</t>
        </is>
      </c>
      <c r="C38" t="n">
        <v>720000</v>
      </c>
      <c r="I38" t="inlineStr">
        <is>
          <t>Monthly Hiring Charges</t>
        </is>
      </c>
      <c r="K38" t="n">
        <v>720000</v>
      </c>
      <c r="R38" t="inlineStr">
        <is>
          <t>Monthly Hiring Charges</t>
        </is>
      </c>
      <c r="T38" t="n">
        <v>500000</v>
      </c>
    </row>
    <row r="39">
      <c r="A39" t="inlineStr">
        <is>
          <t>Per Day Rate/31</t>
        </is>
      </c>
      <c r="C39" s="108">
        <f>C38/31</f>
        <v/>
      </c>
      <c r="I39" t="inlineStr">
        <is>
          <t>Per Day Rate/31</t>
        </is>
      </c>
      <c r="K39" s="108">
        <f>K38/31</f>
        <v/>
      </c>
      <c r="R39" t="inlineStr">
        <is>
          <t>Per Day Rate/31</t>
        </is>
      </c>
      <c r="T39" s="108">
        <f>T38/31</f>
        <v/>
      </c>
    </row>
    <row r="40">
      <c r="A40" t="inlineStr">
        <is>
          <t>Per Hours Rate</t>
        </is>
      </c>
      <c r="C40" s="100">
        <f>C39/24</f>
        <v/>
      </c>
      <c r="D40" s="41" t="inlineStr">
        <is>
          <t>Diesel Cap</t>
        </is>
      </c>
      <c r="E40" s="41" t="inlineStr">
        <is>
          <t>Disel Qty</t>
        </is>
      </c>
      <c r="F40" s="41" t="inlineStr">
        <is>
          <t>Diesel Rate</t>
        </is>
      </c>
      <c r="G40" s="41" t="inlineStr">
        <is>
          <t>Diesel Amount</t>
        </is>
      </c>
      <c r="I40" t="inlineStr">
        <is>
          <t>Per Hours Rate</t>
        </is>
      </c>
      <c r="K40" s="100">
        <f>K39/24</f>
        <v/>
      </c>
      <c r="L40" s="41" t="inlineStr">
        <is>
          <t>Diesel Cap</t>
        </is>
      </c>
      <c r="M40" s="41" t="inlineStr">
        <is>
          <t>Disel Qty</t>
        </is>
      </c>
      <c r="N40" s="41" t="inlineStr">
        <is>
          <t>Diesel Rate</t>
        </is>
      </c>
      <c r="O40" s="41" t="inlineStr">
        <is>
          <t>Diesel Amount</t>
        </is>
      </c>
      <c r="R40" t="inlineStr">
        <is>
          <t>Per Hours Rate</t>
        </is>
      </c>
      <c r="T40" s="100">
        <f>T39/24</f>
        <v/>
      </c>
      <c r="U40" s="41" t="inlineStr">
        <is>
          <t>Diesel Cap</t>
        </is>
      </c>
      <c r="V40" s="41" t="inlineStr">
        <is>
          <t>Disel Qty</t>
        </is>
      </c>
      <c r="W40" s="41" t="inlineStr">
        <is>
          <t>Diesel Rate</t>
        </is>
      </c>
      <c r="X40" s="41" t="inlineStr">
        <is>
          <t>Diesel Amount</t>
        </is>
      </c>
    </row>
    <row r="41">
      <c r="A41" t="inlineStr">
        <is>
          <t>1-15 May Running</t>
        </is>
      </c>
      <c r="C41" t="n">
        <v>31</v>
      </c>
      <c r="D41" s="41" t="n">
        <v>19</v>
      </c>
      <c r="E41" s="41">
        <f>C41*D41</f>
        <v/>
      </c>
      <c r="F41" s="41" t="n">
        <v>93.2</v>
      </c>
      <c r="G41" s="41">
        <f>E41*F41</f>
        <v/>
      </c>
      <c r="I41" t="inlineStr">
        <is>
          <t>1-15 May Running</t>
        </is>
      </c>
      <c r="K41" t="n">
        <v>15</v>
      </c>
      <c r="L41" s="41" t="n">
        <v>19</v>
      </c>
      <c r="M41" s="41">
        <f>K41*L41</f>
        <v/>
      </c>
      <c r="N41" s="41" t="n">
        <v>93.2</v>
      </c>
      <c r="O41" s="41">
        <f>M41*N41</f>
        <v/>
      </c>
      <c r="R41" t="inlineStr">
        <is>
          <t>1-15 May Running</t>
        </is>
      </c>
      <c r="T41" t="n">
        <v>0.07000000000000001</v>
      </c>
      <c r="U41" s="41" t="n">
        <v>17</v>
      </c>
      <c r="V41" s="41">
        <f>T41*U41</f>
        <v/>
      </c>
      <c r="W41" s="41" t="n">
        <v>93.2</v>
      </c>
      <c r="X41" s="110">
        <f>V41*W41</f>
        <v/>
      </c>
    </row>
    <row r="42">
      <c r="A42" t="inlineStr">
        <is>
          <t>15-31 May Reading</t>
        </is>
      </c>
      <c r="C42" t="n">
        <v>29</v>
      </c>
      <c r="D42" s="41" t="n">
        <v>19</v>
      </c>
      <c r="E42" s="41">
        <f>C42*D42</f>
        <v/>
      </c>
      <c r="F42" s="41" t="n">
        <v>96.06</v>
      </c>
      <c r="G42" s="41">
        <f>E42*F42</f>
        <v/>
      </c>
      <c r="L42" s="41" t="n"/>
      <c r="M42" s="41" t="n"/>
      <c r="N42" s="41" t="n"/>
      <c r="O42" s="41" t="n"/>
      <c r="R42" t="inlineStr">
        <is>
          <t>16-31 May Running</t>
        </is>
      </c>
      <c r="T42" t="n">
        <v>1.02</v>
      </c>
      <c r="U42" s="41" t="n">
        <v>17</v>
      </c>
      <c r="V42" s="41">
        <f>T42*U42</f>
        <v/>
      </c>
      <c r="W42" s="41" t="n">
        <v>96.06</v>
      </c>
      <c r="X42" s="110">
        <f>V42*W42</f>
        <v/>
      </c>
    </row>
    <row r="43">
      <c r="C43">
        <f>SUM(C41:C42)</f>
        <v/>
      </c>
      <c r="D43" s="41" t="n"/>
      <c r="E43" s="41">
        <f>SUM(E41:E42)</f>
        <v/>
      </c>
      <c r="F43" s="41" t="n"/>
      <c r="G43" s="41">
        <f>SUM(G41:G42)</f>
        <v/>
      </c>
      <c r="L43" s="41" t="n"/>
      <c r="M43" s="41" t="n"/>
      <c r="N43" s="41" t="n"/>
      <c r="O43" s="41" t="n"/>
      <c r="T43">
        <f>SUM(T41:T42)</f>
        <v/>
      </c>
      <c r="V43" s="41">
        <f>SUM(V41:V42)</f>
        <v/>
      </c>
      <c r="X43" s="110">
        <f>SUM(X41:X42)</f>
        <v/>
      </c>
    </row>
    <row r="44">
      <c r="A44" t="inlineStr">
        <is>
          <t>Raise tax invoice with full hiring charges for machine</t>
        </is>
      </c>
      <c r="I44" t="inlineStr">
        <is>
          <t>Raise tax invoice with full hiring charges for machine</t>
        </is>
      </c>
      <c r="R44" t="inlineStr">
        <is>
          <t>Raise tax invoice with full hiring charges for machine</t>
        </is>
      </c>
    </row>
    <row r="45">
      <c r="A45" t="inlineStr">
        <is>
          <t>Raise Diesel bill as per mentioned calculation</t>
        </is>
      </c>
      <c r="I45" t="inlineStr">
        <is>
          <t>Raise Diesel bill as per mentioned calculation</t>
        </is>
      </c>
      <c r="R45" t="inlineStr">
        <is>
          <t>Raise Diesel bill as per mentioned calculation</t>
        </is>
      </c>
    </row>
    <row r="46">
      <c r="A46" t="inlineStr">
        <is>
          <t>Poonam Goswami</t>
        </is>
      </c>
      <c r="I46" t="inlineStr">
        <is>
          <t>Poonam Goswami</t>
        </is>
      </c>
      <c r="R46" t="inlineStr">
        <is>
          <t>Poonam Goswami</t>
        </is>
      </c>
    </row>
    <row r="47">
      <c r="A47" s="109" t="n">
        <v>46181</v>
      </c>
      <c r="I47" s="109" t="n">
        <v>46181</v>
      </c>
      <c r="R47" s="109" t="n">
        <v>46181</v>
      </c>
    </row>
  </sheetData>
  <mergeCells count="12">
    <mergeCell ref="A2:F2"/>
    <mergeCell ref="O2:P2"/>
    <mergeCell ref="A3:H3"/>
    <mergeCell ref="Q2:V2"/>
    <mergeCell ref="W2:X2"/>
    <mergeCell ref="I3:P3"/>
    <mergeCell ref="Q1:X1"/>
    <mergeCell ref="G2:H2"/>
    <mergeCell ref="I2:N2"/>
    <mergeCell ref="Q3:X3"/>
    <mergeCell ref="A1:H1"/>
    <mergeCell ref="I1:P1"/>
  </mergeCells>
  <pageMargins left="0.7" right="0.7" top="0.75" bottom="0.75" header="0.3" footer="0.3"/>
</worksheet>
</file>

<file path=xl/worksheets/sheet4.xml><?xml version="1.0" encoding="utf-8"?>
<worksheet xmlns="http://schemas.openxmlformats.org/spreadsheetml/2006/main">
  <sheetPr codeName="Sheet4">
    <outlinePr summaryBelow="1" summaryRight="1"/>
    <pageSetUpPr/>
  </sheetPr>
  <dimension ref="A1:AC35"/>
  <sheetViews>
    <sheetView workbookViewId="0">
      <pane xSplit="2" ySplit="3" topLeftCell="C31" activePane="bottomRight" state="frozen"/>
      <selection pane="topRight" activeCell="C1" sqref="C1"/>
      <selection pane="bottomLeft" activeCell="A4" sqref="A4"/>
      <selection pane="bottomRight" activeCell="I19" sqref="I19"/>
    </sheetView>
  </sheetViews>
  <sheetFormatPr baseColWidth="8" defaultRowHeight="15"/>
  <cols>
    <col width="11.140625" bestFit="1" customWidth="1" min="1" max="1"/>
    <col width="10" customWidth="1" style="41" min="2" max="2"/>
    <col width="16.28515625" bestFit="1" customWidth="1" min="8" max="8"/>
    <col width="12" customWidth="1" min="9" max="9"/>
    <col width="11.140625" bestFit="1" customWidth="1" min="13" max="13"/>
    <col width="16.28515625" bestFit="1" customWidth="1" min="18" max="18"/>
    <col width="11.140625" bestFit="1" customWidth="1" min="23" max="23"/>
    <col width="16.28515625" bestFit="1" customWidth="1" min="29" max="29"/>
  </cols>
  <sheetData>
    <row r="1" ht="18.75" customHeight="1">
      <c r="A1" s="140" t="inlineStr">
        <is>
          <t>Diesel Cap - 19 Liters Per Hour</t>
        </is>
      </c>
      <c r="B1" s="125" t="n"/>
      <c r="C1" s="125" t="n"/>
      <c r="D1" s="125" t="n"/>
      <c r="E1" s="125" t="n"/>
      <c r="F1" s="125" t="n"/>
      <c r="G1" s="125" t="n"/>
      <c r="H1" s="125" t="n"/>
      <c r="I1" s="125" t="n"/>
      <c r="J1" s="125" t="n"/>
      <c r="K1" s="125" t="n"/>
      <c r="L1" s="126" t="n"/>
      <c r="M1" s="140" t="inlineStr">
        <is>
          <t>Diesel Cap - 19 Liters Per Hour</t>
        </is>
      </c>
      <c r="N1" s="125" t="n"/>
      <c r="O1" s="125" t="n"/>
      <c r="P1" s="125" t="n"/>
      <c r="Q1" s="125" t="n"/>
      <c r="R1" s="125" t="n"/>
      <c r="S1" s="125" t="n"/>
      <c r="T1" s="125" t="n"/>
      <c r="U1" s="125" t="n"/>
      <c r="V1" s="126" t="n"/>
      <c r="W1" s="138" t="inlineStr">
        <is>
          <t>Fork Lift - 35Ton</t>
        </is>
      </c>
      <c r="X1" s="125" t="n"/>
      <c r="Y1" s="125" t="n"/>
      <c r="Z1" s="126" t="n"/>
      <c r="AA1" s="138" t="inlineStr">
        <is>
          <t>Diesel Cap - 16 Liters Per Hour</t>
        </is>
      </c>
      <c r="AB1" s="125" t="n"/>
      <c r="AC1" s="126" t="n"/>
    </row>
    <row r="2" ht="47.25" customHeight="1">
      <c r="A2" s="1" t="inlineStr">
        <is>
          <t>S.NO.</t>
        </is>
      </c>
      <c r="B2" s="1" t="inlineStr">
        <is>
          <t>DATE</t>
        </is>
      </c>
      <c r="C2" s="139" t="inlineStr">
        <is>
          <t>XCMG-1</t>
        </is>
      </c>
      <c r="D2" s="126" t="n"/>
      <c r="E2" s="1" t="inlineStr">
        <is>
          <t>Daily Running Hours</t>
        </is>
      </c>
      <c r="F2" s="1" t="inlineStr">
        <is>
          <t>Breakdown start time</t>
        </is>
      </c>
      <c r="G2" s="1" t="inlineStr">
        <is>
          <t>Breakdown end time</t>
        </is>
      </c>
      <c r="H2" s="1" t="inlineStr">
        <is>
          <t>Total B/D</t>
        </is>
      </c>
      <c r="I2" s="2" t="inlineStr">
        <is>
          <t>DIESEL Consumed</t>
        </is>
      </c>
      <c r="J2" s="2" t="inlineStr">
        <is>
          <t>HMR</t>
        </is>
      </c>
      <c r="K2" s="2" t="inlineStr">
        <is>
          <t>HOURS</t>
        </is>
      </c>
      <c r="L2" s="3" t="inlineStr">
        <is>
          <t>AVERAGE</t>
        </is>
      </c>
      <c r="M2" s="137" t="inlineStr">
        <is>
          <t>XCMG-2</t>
        </is>
      </c>
      <c r="N2" s="126" t="n"/>
      <c r="O2" s="36" t="inlineStr">
        <is>
          <t>Daily Running Hours</t>
        </is>
      </c>
      <c r="P2" s="36" t="inlineStr">
        <is>
          <t>Breakdown start time</t>
        </is>
      </c>
      <c r="Q2" s="36" t="inlineStr">
        <is>
          <t>Breakdown end time</t>
        </is>
      </c>
      <c r="R2" s="36" t="inlineStr">
        <is>
          <t>Total B/D</t>
        </is>
      </c>
      <c r="S2" s="37" t="inlineStr">
        <is>
          <t>DIESEL Consumed</t>
        </is>
      </c>
      <c r="T2" s="37" t="inlineStr">
        <is>
          <t>HMR</t>
        </is>
      </c>
      <c r="U2" s="37" t="inlineStr">
        <is>
          <t>HOURS</t>
        </is>
      </c>
      <c r="V2" s="3" t="inlineStr">
        <is>
          <t>AVERAGE</t>
        </is>
      </c>
      <c r="W2" s="49" t="inlineStr">
        <is>
          <t>OPENING 
HMR</t>
        </is>
      </c>
      <c r="X2" s="49" t="inlineStr">
        <is>
          <t>CLOSING
 HMR</t>
        </is>
      </c>
      <c r="Y2" s="49" t="inlineStr">
        <is>
          <t>TOTAL 
HMR</t>
        </is>
      </c>
      <c r="Z2" s="50" t="inlineStr">
        <is>
          <t>DIESEL</t>
        </is>
      </c>
      <c r="AA2" s="50" t="inlineStr">
        <is>
          <t>HMR</t>
        </is>
      </c>
      <c r="AB2" s="50" t="inlineStr">
        <is>
          <t>AVERAGE</t>
        </is>
      </c>
      <c r="AC2" s="49" t="inlineStr">
        <is>
          <t>BREAK DOWN</t>
        </is>
      </c>
    </row>
    <row r="3" ht="15.75" customHeight="1">
      <c r="A3" s="33" t="inlineStr">
        <is>
          <t>PREV  Stock</t>
        </is>
      </c>
      <c r="B3" s="34" t="n"/>
      <c r="C3" s="35" t="n"/>
      <c r="D3" s="35" t="n"/>
      <c r="E3" s="34" t="n"/>
      <c r="F3" s="34" t="n"/>
      <c r="G3" s="34" t="n"/>
      <c r="H3" s="34" t="n"/>
      <c r="I3" s="35" t="n">
        <v>590</v>
      </c>
      <c r="J3" s="35" t="n">
        <v>30</v>
      </c>
      <c r="K3" s="35" t="n"/>
      <c r="L3" s="35" t="n"/>
      <c r="M3" s="33" t="inlineStr">
        <is>
          <t>PREV  Stock</t>
        </is>
      </c>
      <c r="N3" s="35" t="n"/>
      <c r="O3" s="34" t="n"/>
      <c r="P3" s="34" t="n"/>
      <c r="Q3" s="34" t="n"/>
      <c r="R3" s="34" t="n"/>
      <c r="S3" s="35" t="n"/>
      <c r="T3" s="35" t="n">
        <v>221</v>
      </c>
      <c r="U3" s="35" t="n"/>
      <c r="V3" s="35" t="n"/>
      <c r="W3" s="33" t="inlineStr">
        <is>
          <t>PREV  Stock</t>
        </is>
      </c>
      <c r="X3" s="51" t="n"/>
      <c r="Y3" s="52" t="n"/>
      <c r="Z3" s="51" t="n"/>
      <c r="AA3" s="51" t="n"/>
      <c r="AB3" s="51" t="n"/>
      <c r="AC3" s="51" t="n"/>
    </row>
    <row r="4">
      <c r="A4" s="40" t="n">
        <v>1</v>
      </c>
      <c r="B4" s="106" t="n">
        <v>46143</v>
      </c>
      <c r="C4" s="61" t="n">
        <v>61</v>
      </c>
      <c r="D4" s="60" t="n">
        <v>64</v>
      </c>
      <c r="E4" s="4">
        <f>D4-C4</f>
        <v/>
      </c>
      <c r="F4" s="4" t="n"/>
      <c r="G4" s="4" t="n"/>
      <c r="H4" s="4" t="n"/>
      <c r="I4" s="4" t="n"/>
      <c r="J4" s="4" t="n"/>
      <c r="K4" s="4" t="n"/>
      <c r="L4" s="4" t="n"/>
      <c r="M4" s="59" t="n">
        <v>221</v>
      </c>
      <c r="N4" s="38" t="n">
        <v>223</v>
      </c>
      <c r="O4" s="63">
        <f>N4-M4</f>
        <v/>
      </c>
      <c r="P4" s="38" t="n"/>
      <c r="Q4" s="38" t="n"/>
      <c r="R4" s="38" t="n"/>
      <c r="S4" s="38" t="n"/>
      <c r="T4" s="38" t="n"/>
      <c r="U4" s="38" t="n"/>
      <c r="V4" s="38" t="n"/>
      <c r="W4" s="53" t="n">
        <v>12</v>
      </c>
      <c r="X4" s="53" t="n">
        <v>12.07</v>
      </c>
      <c r="Y4" s="54">
        <f>X4-W4</f>
        <v/>
      </c>
      <c r="Z4" s="53" t="n"/>
      <c r="AA4" s="53" t="n"/>
      <c r="AB4" s="53" t="n"/>
      <c r="AC4" s="53" t="n"/>
    </row>
    <row r="5">
      <c r="A5" s="40" t="n">
        <v>2</v>
      </c>
      <c r="B5" s="106">
        <f>B4+1</f>
        <v/>
      </c>
      <c r="C5" s="61">
        <f>D4</f>
        <v/>
      </c>
      <c r="D5" s="60" t="n">
        <v>64</v>
      </c>
      <c r="E5" s="4">
        <f>D5-C5</f>
        <v/>
      </c>
      <c r="F5" s="5" t="n"/>
      <c r="G5" s="5" t="n"/>
      <c r="H5" s="5" t="n"/>
      <c r="I5" s="5" t="n"/>
      <c r="J5" s="5" t="n"/>
      <c r="K5" s="5" t="n"/>
      <c r="L5" s="5" t="n"/>
      <c r="M5" s="59">
        <f>N4</f>
        <v/>
      </c>
      <c r="N5" s="59" t="n">
        <v>224</v>
      </c>
      <c r="O5" s="63">
        <f>N5-M5</f>
        <v/>
      </c>
      <c r="P5" s="134" t="n"/>
      <c r="Q5" s="134" t="n"/>
      <c r="R5" s="134" t="n"/>
      <c r="S5" s="134" t="n"/>
      <c r="T5" s="134" t="n"/>
      <c r="U5" s="134" t="n"/>
      <c r="V5" s="134" t="n"/>
      <c r="W5" s="53">
        <f>X4</f>
        <v/>
      </c>
      <c r="X5" s="53" t="n">
        <v>12.07</v>
      </c>
      <c r="Y5" s="54">
        <f>X5-W5</f>
        <v/>
      </c>
      <c r="Z5" s="53" t="n"/>
      <c r="AA5" s="53" t="n"/>
      <c r="AB5" s="53" t="n"/>
      <c r="AC5" s="53" t="n"/>
    </row>
    <row r="6">
      <c r="A6" s="40" t="n">
        <v>3</v>
      </c>
      <c r="B6" s="106">
        <f>B5+1</f>
        <v/>
      </c>
      <c r="C6" s="61">
        <f>D5</f>
        <v/>
      </c>
      <c r="D6" s="60" t="n">
        <v>64</v>
      </c>
      <c r="E6" s="4">
        <f>D6-C6</f>
        <v/>
      </c>
      <c r="F6" s="5" t="n"/>
      <c r="G6" s="5" t="n"/>
      <c r="H6" s="5" t="n"/>
      <c r="I6" s="5" t="n"/>
      <c r="J6" s="5" t="n"/>
      <c r="K6" s="5" t="n"/>
      <c r="L6" s="5" t="n"/>
      <c r="M6" s="59">
        <f>N5</f>
        <v/>
      </c>
      <c r="N6" s="59" t="n">
        <v>226</v>
      </c>
      <c r="O6" s="63">
        <f>N6-M6</f>
        <v/>
      </c>
      <c r="P6" s="134" t="n"/>
      <c r="Q6" s="134" t="n"/>
      <c r="R6" s="134" t="n"/>
      <c r="S6" s="134" t="n"/>
      <c r="T6" s="134" t="n"/>
      <c r="U6" s="134" t="n"/>
      <c r="V6" s="134" t="n"/>
      <c r="W6" s="53">
        <f>X5</f>
        <v/>
      </c>
      <c r="X6" s="53" t="n">
        <v>12.07</v>
      </c>
      <c r="Y6" s="54">
        <f>X6-W6</f>
        <v/>
      </c>
      <c r="Z6" s="53" t="n"/>
      <c r="AA6" s="53" t="n"/>
      <c r="AB6" s="53" t="n"/>
      <c r="AC6" s="53" t="n"/>
    </row>
    <row r="7">
      <c r="A7" s="40" t="n">
        <v>4</v>
      </c>
      <c r="B7" s="106">
        <f>B6+1</f>
        <v/>
      </c>
      <c r="C7" s="61">
        <f>D6</f>
        <v/>
      </c>
      <c r="D7" s="60" t="n">
        <v>64</v>
      </c>
      <c r="E7" s="4">
        <f>D7-C7</f>
        <v/>
      </c>
      <c r="F7" s="5" t="n"/>
      <c r="G7" s="5" t="n"/>
      <c r="H7" s="5" t="n"/>
      <c r="I7" s="5" t="n"/>
      <c r="J7" s="5" t="n"/>
      <c r="K7" s="5" t="n"/>
      <c r="L7" s="5" t="n"/>
      <c r="M7" s="59">
        <f>N6</f>
        <v/>
      </c>
      <c r="N7" s="59" t="n">
        <v>227</v>
      </c>
      <c r="O7" s="63">
        <f>N7-M7</f>
        <v/>
      </c>
      <c r="P7" s="134" t="n"/>
      <c r="Q7" s="134" t="n"/>
      <c r="R7" s="134" t="n"/>
      <c r="S7" s="134" t="n"/>
      <c r="T7" s="134" t="n"/>
      <c r="U7" s="134" t="n"/>
      <c r="V7" s="134" t="n"/>
      <c r="W7" s="53">
        <f>X6</f>
        <v/>
      </c>
      <c r="X7" s="53" t="n">
        <v>12.07</v>
      </c>
      <c r="Y7" s="54">
        <f>X7-W7</f>
        <v/>
      </c>
      <c r="Z7" s="53" t="n"/>
      <c r="AA7" s="53" t="n"/>
      <c r="AB7" s="53" t="n"/>
      <c r="AC7" s="53" t="n"/>
    </row>
    <row r="8">
      <c r="A8" s="40" t="n">
        <v>5</v>
      </c>
      <c r="B8" s="106">
        <f>B7+1</f>
        <v/>
      </c>
      <c r="C8" s="61">
        <f>D7</f>
        <v/>
      </c>
      <c r="D8" s="61" t="n">
        <v>65</v>
      </c>
      <c r="E8" s="4">
        <f>D8-C8</f>
        <v/>
      </c>
      <c r="F8" s="5" t="n"/>
      <c r="G8" s="5" t="n"/>
      <c r="H8" s="5" t="n"/>
      <c r="I8" s="5" t="n"/>
      <c r="J8" s="5" t="n"/>
      <c r="K8" s="5" t="n"/>
      <c r="L8" s="5" t="n"/>
      <c r="M8" s="59">
        <f>N7</f>
        <v/>
      </c>
      <c r="N8" s="59" t="n">
        <v>229</v>
      </c>
      <c r="O8" s="59">
        <f>N8-M8</f>
        <v/>
      </c>
      <c r="P8" s="134" t="n"/>
      <c r="Q8" s="134" t="n"/>
      <c r="R8" s="134" t="n"/>
      <c r="S8" s="134" t="n"/>
      <c r="T8" s="134" t="n"/>
      <c r="U8" s="134" t="n"/>
      <c r="V8" s="134" t="n"/>
      <c r="W8" s="53">
        <f>X7</f>
        <v/>
      </c>
      <c r="X8" s="53" t="n">
        <v>12.07</v>
      </c>
      <c r="Y8" s="54">
        <f>X8-W8</f>
        <v/>
      </c>
      <c r="Z8" s="53" t="n"/>
      <c r="AA8" s="53" t="n"/>
      <c r="AB8" s="53" t="n"/>
      <c r="AC8" s="53" t="n"/>
    </row>
    <row r="9">
      <c r="A9" s="40" t="n">
        <v>6</v>
      </c>
      <c r="B9" s="106">
        <f>B8+1</f>
        <v/>
      </c>
      <c r="C9" s="61">
        <f>D8</f>
        <v/>
      </c>
      <c r="D9" s="61" t="n">
        <v>67</v>
      </c>
      <c r="E9" s="4">
        <f>D9-C9</f>
        <v/>
      </c>
      <c r="F9" s="5" t="n"/>
      <c r="G9" s="5" t="n"/>
      <c r="H9" s="5" t="n"/>
      <c r="I9" s="5" t="n"/>
      <c r="J9" s="5" t="n"/>
      <c r="K9" s="5" t="n"/>
      <c r="L9" s="5" t="n"/>
      <c r="M9" s="59">
        <f>N8</f>
        <v/>
      </c>
      <c r="N9" s="59" t="n">
        <v>231</v>
      </c>
      <c r="O9" s="59">
        <f>N9-M9</f>
        <v/>
      </c>
      <c r="P9" s="134" t="n"/>
      <c r="Q9" s="134" t="n"/>
      <c r="R9" s="134" t="n"/>
      <c r="S9" s="134" t="n"/>
      <c r="T9" s="134" t="n"/>
      <c r="U9" s="134" t="n"/>
      <c r="V9" s="134" t="n"/>
      <c r="W9" s="53">
        <f>X8</f>
        <v/>
      </c>
      <c r="X9" s="53" t="n">
        <v>12.07</v>
      </c>
      <c r="Y9" s="54">
        <f>X9-W9</f>
        <v/>
      </c>
      <c r="Z9" s="53" t="n"/>
      <c r="AA9" s="53" t="n"/>
      <c r="AB9" s="53" t="n"/>
      <c r="AC9" s="53" t="n"/>
    </row>
    <row r="10">
      <c r="A10" s="40" t="n">
        <v>7</v>
      </c>
      <c r="B10" s="106">
        <f>B9+1</f>
        <v/>
      </c>
      <c r="C10" s="61">
        <f>D9</f>
        <v/>
      </c>
      <c r="D10" s="61" t="n">
        <v>67</v>
      </c>
      <c r="E10" s="4">
        <f>D10-C10</f>
        <v/>
      </c>
      <c r="F10" s="5" t="n"/>
      <c r="G10" s="5" t="n"/>
      <c r="H10" s="5" t="n"/>
      <c r="I10" s="5" t="n"/>
      <c r="J10" s="5" t="n"/>
      <c r="K10" s="5" t="n"/>
      <c r="L10" s="5" t="n"/>
      <c r="M10" s="59">
        <f>N9</f>
        <v/>
      </c>
      <c r="N10" s="59" t="n">
        <v>234</v>
      </c>
      <c r="O10" s="59">
        <f>N10-M10</f>
        <v/>
      </c>
      <c r="P10" s="134" t="n"/>
      <c r="Q10" s="134" t="n"/>
      <c r="R10" s="134" t="n"/>
      <c r="S10" s="134" t="n"/>
      <c r="T10" s="134" t="n"/>
      <c r="U10" s="134" t="n"/>
      <c r="V10" s="134" t="n"/>
      <c r="W10" s="53">
        <f>X9</f>
        <v/>
      </c>
      <c r="X10" s="53" t="n">
        <v>12.07</v>
      </c>
      <c r="Y10" s="54">
        <f>X10-W10</f>
        <v/>
      </c>
      <c r="Z10" s="53" t="n"/>
      <c r="AA10" s="53" t="n"/>
      <c r="AB10" s="53" t="n"/>
      <c r="AC10" s="53" t="n"/>
    </row>
    <row r="11">
      <c r="A11" s="40" t="n">
        <v>8</v>
      </c>
      <c r="B11" s="106">
        <f>B10+1</f>
        <v/>
      </c>
      <c r="C11" s="61">
        <f>D10</f>
        <v/>
      </c>
      <c r="D11" s="61" t="n">
        <v>69</v>
      </c>
      <c r="E11" s="4">
        <f>D11-C11</f>
        <v/>
      </c>
      <c r="F11" s="5" t="n"/>
      <c r="G11" s="5" t="n"/>
      <c r="H11" s="5" t="n"/>
      <c r="I11" s="5" t="n"/>
      <c r="J11" s="5" t="n"/>
      <c r="K11" s="5" t="n"/>
      <c r="L11" s="5" t="n"/>
      <c r="M11" s="59">
        <f>N10</f>
        <v/>
      </c>
      <c r="N11" s="59" t="n">
        <v>236</v>
      </c>
      <c r="O11" s="59">
        <f>N11-M11</f>
        <v/>
      </c>
      <c r="P11" s="134" t="n"/>
      <c r="Q11" s="134" t="n"/>
      <c r="R11" s="134" t="n"/>
      <c r="S11" s="134" t="n"/>
      <c r="T11" s="134" t="n"/>
      <c r="U11" s="134" t="n"/>
      <c r="V11" s="134" t="n"/>
      <c r="W11" s="53">
        <f>X10</f>
        <v/>
      </c>
      <c r="X11" s="53" t="n">
        <v>12.07</v>
      </c>
      <c r="Y11" s="54">
        <f>X11-W11</f>
        <v/>
      </c>
      <c r="Z11" s="53" t="n"/>
      <c r="AA11" s="53" t="n"/>
      <c r="AB11" s="53" t="n"/>
      <c r="AC11" s="53" t="n"/>
    </row>
    <row r="12">
      <c r="A12" s="40" t="n">
        <v>9</v>
      </c>
      <c r="B12" s="106">
        <f>B11+1</f>
        <v/>
      </c>
      <c r="C12" s="61">
        <f>D11</f>
        <v/>
      </c>
      <c r="D12" s="61" t="n">
        <v>69</v>
      </c>
      <c r="E12" s="4">
        <f>D12-C12</f>
        <v/>
      </c>
      <c r="F12" s="5" t="n"/>
      <c r="G12" s="5" t="n"/>
      <c r="H12" s="5" t="n"/>
      <c r="I12" s="5" t="n"/>
      <c r="J12" s="5" t="n"/>
      <c r="K12" s="5" t="n"/>
      <c r="L12" s="5" t="n"/>
      <c r="M12" s="59">
        <f>N11</f>
        <v/>
      </c>
      <c r="N12" s="59" t="n">
        <v>236</v>
      </c>
      <c r="O12" s="59">
        <f>N12-M12</f>
        <v/>
      </c>
      <c r="P12" s="134" t="n"/>
      <c r="Q12" s="134" t="n"/>
      <c r="R12" s="134" t="n"/>
      <c r="S12" s="134" t="n"/>
      <c r="T12" s="134" t="n"/>
      <c r="U12" s="134" t="n"/>
      <c r="V12" s="134" t="n"/>
      <c r="W12" s="53">
        <f>X11</f>
        <v/>
      </c>
      <c r="X12" s="53" t="n">
        <v>12.07</v>
      </c>
      <c r="Y12" s="54">
        <f>X12-W12</f>
        <v/>
      </c>
      <c r="Z12" s="53" t="n"/>
      <c r="AA12" s="53" t="n"/>
      <c r="AB12" s="53" t="n"/>
      <c r="AC12" s="53" t="n"/>
    </row>
    <row r="13">
      <c r="A13" s="40" t="n">
        <v>10</v>
      </c>
      <c r="B13" s="106">
        <f>B12+1</f>
        <v/>
      </c>
      <c r="C13" s="61">
        <f>D12</f>
        <v/>
      </c>
      <c r="D13" s="61" t="n">
        <v>69</v>
      </c>
      <c r="E13" s="4">
        <f>D13-C13</f>
        <v/>
      </c>
      <c r="F13" s="5" t="n"/>
      <c r="G13" s="5" t="n"/>
      <c r="H13" s="5" t="n"/>
      <c r="I13" s="5" t="n"/>
      <c r="J13" s="5" t="n"/>
      <c r="K13" s="5" t="n"/>
      <c r="L13" s="5" t="n"/>
      <c r="M13" s="59">
        <f>N12</f>
        <v/>
      </c>
      <c r="N13" s="59" t="n">
        <v>237</v>
      </c>
      <c r="O13" s="59">
        <f>N13-M13</f>
        <v/>
      </c>
      <c r="P13" s="134" t="n"/>
      <c r="Q13" s="134" t="n"/>
      <c r="R13" s="134" t="n"/>
      <c r="S13" s="134" t="n"/>
      <c r="T13" s="134" t="n"/>
      <c r="U13" s="134" t="n"/>
      <c r="V13" s="134" t="n"/>
      <c r="W13" s="53">
        <f>X12</f>
        <v/>
      </c>
      <c r="X13" s="53" t="n">
        <v>12.07</v>
      </c>
      <c r="Y13" s="54">
        <f>X13-W13</f>
        <v/>
      </c>
      <c r="Z13" s="53" t="n"/>
      <c r="AA13" s="53" t="n"/>
      <c r="AB13" s="53" t="n"/>
      <c r="AC13" s="53" t="n"/>
    </row>
    <row r="14">
      <c r="A14" s="40" t="n">
        <v>11</v>
      </c>
      <c r="B14" s="106">
        <f>B13+1</f>
        <v/>
      </c>
      <c r="C14" s="61">
        <f>D13</f>
        <v/>
      </c>
      <c r="D14" s="61" t="n">
        <v>69</v>
      </c>
      <c r="E14" s="4">
        <f>D14-C14</f>
        <v/>
      </c>
      <c r="F14" s="5" t="n"/>
      <c r="G14" s="5" t="n"/>
      <c r="H14" s="5" t="n"/>
      <c r="I14" s="5" t="n"/>
      <c r="J14" s="5" t="n"/>
      <c r="K14" s="5" t="n"/>
      <c r="L14" s="5" t="n"/>
      <c r="M14" s="59">
        <f>N13</f>
        <v/>
      </c>
      <c r="N14" s="59" t="n">
        <v>251</v>
      </c>
      <c r="O14" s="59">
        <f>N14-M14</f>
        <v/>
      </c>
      <c r="P14" s="134" t="n"/>
      <c r="Q14" s="134" t="n"/>
      <c r="R14" s="134" t="n"/>
      <c r="S14" s="134" t="n"/>
      <c r="T14" s="134" t="n"/>
      <c r="U14" s="134" t="n"/>
      <c r="V14" s="134" t="n"/>
      <c r="W14" s="53">
        <f>X13</f>
        <v/>
      </c>
      <c r="X14" s="53" t="n">
        <v>12.07</v>
      </c>
      <c r="Y14" s="54">
        <f>X14-W14</f>
        <v/>
      </c>
      <c r="Z14" s="53" t="n"/>
      <c r="AA14" s="53" t="n"/>
      <c r="AB14" s="53" t="n"/>
      <c r="AC14" s="53" t="n"/>
    </row>
    <row r="15">
      <c r="A15" s="40" t="n">
        <v>12</v>
      </c>
      <c r="B15" s="106">
        <f>B14+1</f>
        <v/>
      </c>
      <c r="C15" s="61">
        <f>D14</f>
        <v/>
      </c>
      <c r="D15" s="61" t="n">
        <v>79</v>
      </c>
      <c r="E15" s="4">
        <f>D15-C15</f>
        <v/>
      </c>
      <c r="F15" s="5" t="n"/>
      <c r="G15" s="5" t="n"/>
      <c r="H15" s="5" t="n"/>
      <c r="I15" s="5" t="n"/>
      <c r="J15" s="5" t="n"/>
      <c r="K15" s="5" t="n"/>
      <c r="L15" s="5" t="n"/>
      <c r="M15" s="59">
        <f>N14</f>
        <v/>
      </c>
      <c r="N15" s="59" t="n">
        <v>253</v>
      </c>
      <c r="O15" s="59">
        <f>N15-M15</f>
        <v/>
      </c>
      <c r="P15" s="134" t="n"/>
      <c r="Q15" s="134" t="n"/>
      <c r="R15" s="134" t="n"/>
      <c r="S15" s="134" t="n"/>
      <c r="T15" s="134" t="n"/>
      <c r="U15" s="134" t="n"/>
      <c r="V15" s="134" t="n"/>
      <c r="W15" s="53">
        <f>X14</f>
        <v/>
      </c>
      <c r="X15" s="53" t="n">
        <v>12.07</v>
      </c>
      <c r="Y15" s="54">
        <f>X15-W15</f>
        <v/>
      </c>
      <c r="Z15" s="53" t="n"/>
      <c r="AA15" s="53" t="n"/>
      <c r="AB15" s="53" t="n"/>
      <c r="AC15" s="53" t="n"/>
    </row>
    <row r="16">
      <c r="A16" s="40" t="n">
        <v>13</v>
      </c>
      <c r="B16" s="106">
        <f>B15+1</f>
        <v/>
      </c>
      <c r="C16" s="61">
        <f>D15</f>
        <v/>
      </c>
      <c r="D16" s="61" t="n">
        <v>79</v>
      </c>
      <c r="E16" s="4">
        <f>D16-C16</f>
        <v/>
      </c>
      <c r="F16" s="5" t="n"/>
      <c r="G16" s="5" t="n"/>
      <c r="H16" s="5" t="n"/>
      <c r="I16" s="5" t="n"/>
      <c r="J16" s="5" t="n"/>
      <c r="K16" s="5" t="n"/>
      <c r="L16" s="5" t="n"/>
      <c r="M16" s="59">
        <f>N15</f>
        <v/>
      </c>
      <c r="N16" s="59" t="n">
        <v>254</v>
      </c>
      <c r="O16" s="59">
        <f>N16-M16</f>
        <v/>
      </c>
      <c r="P16" s="134" t="n"/>
      <c r="Q16" s="134" t="n"/>
      <c r="R16" s="134" t="n"/>
      <c r="S16" s="134" t="n"/>
      <c r="T16" s="134" t="n"/>
      <c r="U16" s="134" t="n"/>
      <c r="V16" s="134" t="n"/>
      <c r="W16" s="53">
        <f>X15</f>
        <v/>
      </c>
      <c r="X16" s="53" t="n">
        <v>12.07</v>
      </c>
      <c r="Y16" s="54">
        <f>X16-W16</f>
        <v/>
      </c>
      <c r="Z16" s="53" t="n"/>
      <c r="AA16" s="53" t="n"/>
      <c r="AB16" s="53" t="n"/>
      <c r="AC16" s="53" t="n"/>
    </row>
    <row r="17">
      <c r="A17" s="40" t="n">
        <v>14</v>
      </c>
      <c r="B17" s="106">
        <f>B16+1</f>
        <v/>
      </c>
      <c r="C17" s="61">
        <f>D16</f>
        <v/>
      </c>
      <c r="D17" s="61" t="n">
        <v>79</v>
      </c>
      <c r="E17" s="4">
        <f>D17-C17</f>
        <v/>
      </c>
      <c r="F17" s="5" t="n"/>
      <c r="G17" s="5" t="n"/>
      <c r="H17" s="5" t="n"/>
      <c r="I17" s="5" t="n"/>
      <c r="J17" s="5" t="n"/>
      <c r="K17" s="5" t="n"/>
      <c r="L17" s="5" t="n"/>
      <c r="M17" s="59">
        <f>N16</f>
        <v/>
      </c>
      <c r="N17" s="59" t="n">
        <v>255</v>
      </c>
      <c r="O17" s="59">
        <f>N17-M17</f>
        <v/>
      </c>
      <c r="P17" s="134" t="n"/>
      <c r="Q17" s="134" t="n"/>
      <c r="R17" s="134" t="n"/>
      <c r="S17" s="134" t="n"/>
      <c r="T17" s="134" t="n"/>
      <c r="U17" s="134" t="n"/>
      <c r="V17" s="134" t="n"/>
      <c r="W17" s="53">
        <f>X16</f>
        <v/>
      </c>
      <c r="X17" s="53" t="n">
        <v>12.07</v>
      </c>
      <c r="Y17" s="54">
        <f>X17-W17</f>
        <v/>
      </c>
      <c r="Z17" s="53" t="n"/>
      <c r="AA17" s="53" t="n"/>
      <c r="AB17" s="53" t="n"/>
      <c r="AC17" s="53" t="n"/>
    </row>
    <row r="18">
      <c r="A18" s="40" t="n">
        <v>15</v>
      </c>
      <c r="B18" s="106">
        <f>B17+1</f>
        <v/>
      </c>
      <c r="C18" s="61">
        <f>D17</f>
        <v/>
      </c>
      <c r="D18" s="61" t="n">
        <v>81</v>
      </c>
      <c r="E18" s="4">
        <f>D18-C18</f>
        <v/>
      </c>
      <c r="F18" s="5" t="n"/>
      <c r="G18" s="5" t="n"/>
      <c r="H18" s="5" t="n"/>
      <c r="I18" s="5" t="n"/>
      <c r="J18" s="5" t="n"/>
      <c r="K18" s="5" t="n"/>
      <c r="L18" s="5" t="n"/>
      <c r="M18" s="59">
        <f>N17</f>
        <v/>
      </c>
      <c r="N18" s="59" t="n">
        <v>263</v>
      </c>
      <c r="O18" s="59">
        <f>N18-M18</f>
        <v/>
      </c>
      <c r="P18" s="134" t="n"/>
      <c r="Q18" s="134" t="n"/>
      <c r="R18" s="134" t="n"/>
      <c r="S18" s="134" t="n"/>
      <c r="T18" s="134" t="n"/>
      <c r="U18" s="134" t="n"/>
      <c r="V18" s="134" t="n"/>
      <c r="W18" s="53">
        <f>X17</f>
        <v/>
      </c>
      <c r="X18" s="53" t="n">
        <v>12.07</v>
      </c>
      <c r="Y18" s="54">
        <f>X18-W18</f>
        <v/>
      </c>
      <c r="Z18" s="53" t="n"/>
      <c r="AA18" s="53" t="n"/>
      <c r="AB18" s="53" t="n"/>
      <c r="AC18" s="53" t="n"/>
    </row>
    <row r="19">
      <c r="A19" s="40" t="n">
        <v>16</v>
      </c>
      <c r="B19" s="106">
        <f>B18+1</f>
        <v/>
      </c>
      <c r="C19" s="61">
        <f>D18</f>
        <v/>
      </c>
      <c r="D19" s="61" t="n">
        <v>81</v>
      </c>
      <c r="E19" s="4">
        <f>D19-C19</f>
        <v/>
      </c>
      <c r="F19" s="5" t="n"/>
      <c r="G19" s="5" t="n"/>
      <c r="H19" s="5" t="n"/>
      <c r="I19" s="5" t="n">
        <v>560</v>
      </c>
      <c r="J19" s="5" t="n">
        <v>81</v>
      </c>
      <c r="K19" s="5">
        <f>J19-J3</f>
        <v/>
      </c>
      <c r="L19" s="5">
        <f>(I19+I3)/K19</f>
        <v/>
      </c>
      <c r="M19" s="59">
        <f>N18</f>
        <v/>
      </c>
      <c r="N19" s="59" t="n">
        <v>263</v>
      </c>
      <c r="O19" s="59">
        <f>N19-M19</f>
        <v/>
      </c>
      <c r="P19" s="134" t="n"/>
      <c r="Q19" s="134" t="n"/>
      <c r="R19" s="134" t="n"/>
      <c r="S19" s="134" t="n"/>
      <c r="T19" s="134" t="n"/>
      <c r="U19" s="134" t="n"/>
      <c r="V19" s="134" t="n"/>
      <c r="W19" s="53">
        <f>X18</f>
        <v/>
      </c>
      <c r="X19" s="53" t="n">
        <v>12.07</v>
      </c>
      <c r="Y19" s="54">
        <f>X19-W19</f>
        <v/>
      </c>
      <c r="Z19" s="53" t="n"/>
      <c r="AA19" s="53" t="n"/>
      <c r="AB19" s="53" t="n"/>
      <c r="AC19" s="53" t="n"/>
    </row>
    <row r="20">
      <c r="A20" s="40" t="n">
        <v>17</v>
      </c>
      <c r="B20" s="106">
        <f>B19+1</f>
        <v/>
      </c>
      <c r="C20" s="61">
        <f>D19</f>
        <v/>
      </c>
      <c r="D20" s="61" t="n">
        <v>81</v>
      </c>
      <c r="E20" s="4">
        <f>D20-C20</f>
        <v/>
      </c>
      <c r="F20" s="5" t="n"/>
      <c r="G20" s="5" t="n"/>
      <c r="H20" s="5" t="n"/>
      <c r="I20" s="5" t="n"/>
      <c r="J20" s="5" t="n"/>
      <c r="K20" s="5" t="n"/>
      <c r="L20" s="5" t="n"/>
      <c r="M20" s="59">
        <f>N19</f>
        <v/>
      </c>
      <c r="N20" s="59" t="n">
        <v>266</v>
      </c>
      <c r="O20" s="59">
        <f>N20-M20</f>
        <v/>
      </c>
      <c r="P20" s="134" t="n"/>
      <c r="Q20" s="134" t="n"/>
      <c r="R20" s="134" t="n"/>
      <c r="S20" s="134" t="n">
        <v>520</v>
      </c>
      <c r="T20" s="134" t="n">
        <v>263</v>
      </c>
      <c r="U20" s="134">
        <f>T20-T3</f>
        <v/>
      </c>
      <c r="V20" s="134">
        <f>S20/U20</f>
        <v/>
      </c>
      <c r="W20" s="53">
        <f>X19</f>
        <v/>
      </c>
      <c r="X20" s="53" t="n">
        <v>12.07</v>
      </c>
      <c r="Y20" s="54">
        <f>X20-W20</f>
        <v/>
      </c>
      <c r="Z20" s="53" t="n"/>
      <c r="AA20" s="53" t="n"/>
      <c r="AB20" s="53" t="n"/>
      <c r="AC20" s="53" t="n"/>
    </row>
    <row r="21">
      <c r="A21" s="40" t="n">
        <v>18</v>
      </c>
      <c r="B21" s="106">
        <f>B20+1</f>
        <v/>
      </c>
      <c r="C21" s="61">
        <f>D20</f>
        <v/>
      </c>
      <c r="D21" s="61" t="n">
        <v>83</v>
      </c>
      <c r="E21" s="4">
        <f>D21-C21</f>
        <v/>
      </c>
      <c r="F21" s="5" t="n"/>
      <c r="G21" s="5" t="n"/>
      <c r="H21" s="5" t="n"/>
      <c r="I21" s="5" t="n"/>
      <c r="J21" s="5" t="n"/>
      <c r="K21" s="5" t="n"/>
      <c r="L21" s="5" t="n"/>
      <c r="M21" s="59">
        <f>N20</f>
        <v/>
      </c>
      <c r="N21" s="59" t="n">
        <v>267</v>
      </c>
      <c r="O21" s="59">
        <f>N21-M21</f>
        <v/>
      </c>
      <c r="P21" s="134" t="n"/>
      <c r="Q21" s="134" t="n"/>
      <c r="R21" s="134" t="n"/>
      <c r="S21" s="134" t="n"/>
      <c r="T21" s="134" t="n"/>
      <c r="U21" s="134" t="n"/>
      <c r="V21" s="134" t="n"/>
      <c r="W21" s="53">
        <f>X20</f>
        <v/>
      </c>
      <c r="X21" s="53" t="n">
        <v>12.07</v>
      </c>
      <c r="Y21" s="54">
        <f>X21-W21</f>
        <v/>
      </c>
      <c r="Z21" s="53" t="n"/>
      <c r="AA21" s="53" t="n"/>
      <c r="AB21" s="53" t="n"/>
      <c r="AC21" s="53" t="n"/>
    </row>
    <row r="22">
      <c r="A22" s="40" t="n">
        <v>19</v>
      </c>
      <c r="B22" s="106">
        <f>B21+1</f>
        <v/>
      </c>
      <c r="C22" s="61">
        <f>D21</f>
        <v/>
      </c>
      <c r="D22" s="61" t="n">
        <v>86</v>
      </c>
      <c r="E22" s="4">
        <f>D22-C22</f>
        <v/>
      </c>
      <c r="F22" s="5" t="n"/>
      <c r="G22" s="5" t="n"/>
      <c r="H22" s="5" t="n"/>
      <c r="I22" s="5" t="n"/>
      <c r="J22" s="5" t="n"/>
      <c r="K22" s="5" t="n"/>
      <c r="L22" s="5" t="n"/>
      <c r="M22" s="59">
        <f>N21</f>
        <v/>
      </c>
      <c r="N22" s="59" t="n">
        <v>268</v>
      </c>
      <c r="O22" s="59">
        <f>N22-M22</f>
        <v/>
      </c>
      <c r="P22" s="134" t="n"/>
      <c r="Q22" s="134" t="n"/>
      <c r="R22" s="134" t="n"/>
      <c r="S22" s="134" t="n"/>
      <c r="T22" s="134" t="n"/>
      <c r="U22" s="134" t="n"/>
      <c r="V22" s="134" t="n"/>
      <c r="W22" s="53">
        <f>X21</f>
        <v/>
      </c>
      <c r="X22" s="53" t="n">
        <v>12.07</v>
      </c>
      <c r="Y22" s="54">
        <f>X22-W22</f>
        <v/>
      </c>
      <c r="Z22" s="53" t="n"/>
      <c r="AA22" s="53" t="n"/>
      <c r="AB22" s="53" t="n"/>
      <c r="AC22" s="53" t="n"/>
    </row>
    <row r="23">
      <c r="A23" s="40" t="n">
        <v>20</v>
      </c>
      <c r="B23" s="106">
        <f>B22+1</f>
        <v/>
      </c>
      <c r="C23" s="61">
        <f>D22</f>
        <v/>
      </c>
      <c r="D23" s="61" t="n">
        <v>87</v>
      </c>
      <c r="E23" s="4">
        <f>D23-C23</f>
        <v/>
      </c>
      <c r="F23" s="5" t="n"/>
      <c r="G23" s="5" t="n"/>
      <c r="H23" s="5" t="n"/>
      <c r="I23" s="5" t="n"/>
      <c r="J23" s="5" t="n"/>
      <c r="K23" s="5" t="n"/>
      <c r="L23" s="5" t="n"/>
      <c r="M23" s="59">
        <f>N22</f>
        <v/>
      </c>
      <c r="N23" s="59" t="n">
        <v>269</v>
      </c>
      <c r="O23" s="59">
        <f>N23-M23</f>
        <v/>
      </c>
      <c r="P23" s="134" t="n"/>
      <c r="Q23" s="134" t="n"/>
      <c r="R23" s="134" t="n"/>
      <c r="S23" s="134" t="n"/>
      <c r="T23" s="134" t="n"/>
      <c r="U23" s="134" t="n"/>
      <c r="V23" s="134" t="n"/>
      <c r="W23" s="53">
        <f>X22</f>
        <v/>
      </c>
      <c r="X23" s="53" t="n">
        <v>12.07</v>
      </c>
      <c r="Y23" s="54">
        <f>X23-W23</f>
        <v/>
      </c>
      <c r="Z23" s="53" t="n"/>
      <c r="AA23" s="53" t="n"/>
      <c r="AB23" s="53" t="n"/>
      <c r="AC23" s="53" t="n"/>
    </row>
    <row r="24">
      <c r="A24" s="40" t="n">
        <v>21</v>
      </c>
      <c r="B24" s="106">
        <f>B23+1</f>
        <v/>
      </c>
      <c r="C24" s="61">
        <f>D23</f>
        <v/>
      </c>
      <c r="D24" s="61" t="n">
        <v>88</v>
      </c>
      <c r="E24" s="4">
        <f>D24-C24</f>
        <v/>
      </c>
      <c r="F24" s="5" t="n"/>
      <c r="G24" s="5" t="n"/>
      <c r="H24" s="5" t="n"/>
      <c r="I24" s="5" t="n"/>
      <c r="J24" s="5" t="n"/>
      <c r="K24" s="5" t="n"/>
      <c r="L24" s="5" t="n"/>
      <c r="M24" s="59">
        <f>N23</f>
        <v/>
      </c>
      <c r="N24" s="59" t="n">
        <v>271</v>
      </c>
      <c r="O24" s="59">
        <f>N24-M24</f>
        <v/>
      </c>
      <c r="P24" s="134" t="n"/>
      <c r="Q24" s="134" t="n"/>
      <c r="R24" s="134" t="n"/>
      <c r="S24" s="134" t="n"/>
      <c r="T24" s="134" t="n"/>
      <c r="U24" s="134" t="n"/>
      <c r="V24" s="134" t="n"/>
      <c r="W24" s="53">
        <f>X23</f>
        <v/>
      </c>
      <c r="X24" s="53" t="n">
        <v>13.09</v>
      </c>
      <c r="Y24" s="54">
        <f>X24-W24</f>
        <v/>
      </c>
      <c r="Z24" s="53" t="n"/>
      <c r="AA24" s="53" t="n"/>
      <c r="AB24" s="53" t="n"/>
      <c r="AC24" s="53" t="n"/>
    </row>
    <row r="25">
      <c r="A25" s="40" t="n">
        <v>22</v>
      </c>
      <c r="B25" s="106">
        <f>B24+1</f>
        <v/>
      </c>
      <c r="C25" s="61">
        <f>D24</f>
        <v/>
      </c>
      <c r="D25" s="61" t="n">
        <v>90</v>
      </c>
      <c r="E25" s="4">
        <f>D25-C25</f>
        <v/>
      </c>
      <c r="F25" s="5" t="n"/>
      <c r="G25" s="5" t="n"/>
      <c r="H25" s="5" t="n"/>
      <c r="I25" s="5" t="n"/>
      <c r="J25" s="5" t="n"/>
      <c r="K25" s="5" t="n"/>
      <c r="L25" s="5" t="n"/>
      <c r="M25" s="59">
        <f>N24</f>
        <v/>
      </c>
      <c r="N25" s="59" t="n">
        <v>273</v>
      </c>
      <c r="O25" s="59">
        <f>N25-M25</f>
        <v/>
      </c>
      <c r="P25" s="134" t="n"/>
      <c r="Q25" s="134" t="n"/>
      <c r="R25" s="134" t="n"/>
      <c r="S25" s="134" t="n"/>
      <c r="T25" s="134" t="n"/>
      <c r="U25" s="134" t="n"/>
      <c r="V25" s="134" t="n"/>
      <c r="W25" s="53">
        <f>X24</f>
        <v/>
      </c>
      <c r="X25" s="53" t="n">
        <v>13.09</v>
      </c>
      <c r="Y25" s="54">
        <f>X25-W25</f>
        <v/>
      </c>
      <c r="Z25" s="53" t="n"/>
      <c r="AA25" s="53" t="n"/>
      <c r="AB25" s="53" t="n"/>
      <c r="AC25" s="53" t="n"/>
    </row>
    <row r="26">
      <c r="A26" s="40" t="n">
        <v>23</v>
      </c>
      <c r="B26" s="106">
        <f>B25+1</f>
        <v/>
      </c>
      <c r="C26" s="61">
        <f>D25</f>
        <v/>
      </c>
      <c r="D26" s="61" t="n">
        <v>90</v>
      </c>
      <c r="E26" s="4">
        <f>D26-C26</f>
        <v/>
      </c>
      <c r="F26" s="5" t="n"/>
      <c r="G26" s="5" t="n"/>
      <c r="H26" s="5" t="n"/>
      <c r="I26" s="5" t="n"/>
      <c r="J26" s="5" t="n"/>
      <c r="K26" s="5" t="n"/>
      <c r="L26" s="5" t="n"/>
      <c r="M26" s="59">
        <f>N25</f>
        <v/>
      </c>
      <c r="N26" s="59" t="n">
        <v>279</v>
      </c>
      <c r="O26" s="59">
        <f>N26-M26</f>
        <v/>
      </c>
      <c r="P26" s="134" t="n"/>
      <c r="Q26" s="134" t="n"/>
      <c r="R26" s="134" t="n"/>
      <c r="S26" s="134" t="n"/>
      <c r="T26" s="134" t="n"/>
      <c r="U26" s="134" t="n"/>
      <c r="V26" s="134" t="n"/>
      <c r="W26" s="53">
        <f>X25</f>
        <v/>
      </c>
      <c r="X26" s="53" t="n">
        <v>13.09</v>
      </c>
      <c r="Y26" s="54">
        <f>X26-W26</f>
        <v/>
      </c>
      <c r="Z26" s="53" t="n"/>
      <c r="AA26" s="53" t="n"/>
      <c r="AB26" s="53" t="n"/>
      <c r="AC26" s="53" t="n"/>
    </row>
    <row r="27">
      <c r="A27" s="40" t="n">
        <v>24</v>
      </c>
      <c r="B27" s="106">
        <f>B26+1</f>
        <v/>
      </c>
      <c r="C27" s="61">
        <f>D26</f>
        <v/>
      </c>
      <c r="D27" s="61" t="n">
        <v>91</v>
      </c>
      <c r="E27" s="4">
        <f>D27-C27</f>
        <v/>
      </c>
      <c r="F27" s="5" t="n"/>
      <c r="G27" s="5" t="n"/>
      <c r="H27" s="5" t="n"/>
      <c r="I27" s="5" t="n"/>
      <c r="J27" s="5" t="n"/>
      <c r="K27" s="5" t="n"/>
      <c r="L27" s="5" t="n"/>
      <c r="M27" s="59">
        <f>N26</f>
        <v/>
      </c>
      <c r="N27" s="59" t="n">
        <v>280</v>
      </c>
      <c r="O27" s="59">
        <f>N27-M27</f>
        <v/>
      </c>
      <c r="P27" s="134" t="n"/>
      <c r="Q27" s="134" t="n"/>
      <c r="R27" s="134" t="n"/>
      <c r="S27" s="134" t="n"/>
      <c r="T27" s="134" t="n"/>
      <c r="U27" s="134" t="n"/>
      <c r="V27" s="134" t="n"/>
      <c r="W27" s="53">
        <f>X26</f>
        <v/>
      </c>
      <c r="X27" s="53" t="n">
        <v>13.09</v>
      </c>
      <c r="Y27" s="54">
        <f>X27-W27</f>
        <v/>
      </c>
      <c r="Z27" s="53" t="n"/>
      <c r="AA27" s="53" t="n"/>
      <c r="AB27" s="53" t="n"/>
      <c r="AC27" s="53" t="n"/>
    </row>
    <row r="28">
      <c r="A28" s="40" t="n">
        <v>25</v>
      </c>
      <c r="B28" s="106">
        <f>B27+1</f>
        <v/>
      </c>
      <c r="C28" s="61">
        <f>D27</f>
        <v/>
      </c>
      <c r="D28" s="61" t="n">
        <v>91</v>
      </c>
      <c r="E28" s="4">
        <f>D28-C28</f>
        <v/>
      </c>
      <c r="F28" s="5" t="n"/>
      <c r="G28" s="5" t="n"/>
      <c r="H28" s="5" t="n"/>
      <c r="I28" s="5" t="n"/>
      <c r="J28" s="5" t="n"/>
      <c r="K28" s="5" t="n"/>
      <c r="L28" s="5" t="n"/>
      <c r="M28" s="59">
        <f>N27</f>
        <v/>
      </c>
      <c r="N28" s="59" t="n">
        <v>282</v>
      </c>
      <c r="O28" s="59">
        <f>N28-M28</f>
        <v/>
      </c>
      <c r="P28" s="134" t="n"/>
      <c r="Q28" s="134" t="n"/>
      <c r="R28" s="134" t="n"/>
      <c r="S28" s="134" t="n"/>
      <c r="T28" s="134" t="n"/>
      <c r="U28" s="134" t="n"/>
      <c r="V28" s="134" t="n"/>
      <c r="W28" s="53">
        <f>X27</f>
        <v/>
      </c>
      <c r="X28" s="53" t="n">
        <v>13.09</v>
      </c>
      <c r="Y28" s="54">
        <f>X28-W28</f>
        <v/>
      </c>
      <c r="Z28" s="53" t="n"/>
      <c r="AA28" s="53" t="n"/>
      <c r="AB28" s="53" t="n"/>
      <c r="AC28" s="53" t="n"/>
    </row>
    <row r="29">
      <c r="A29" s="40" t="n">
        <v>26</v>
      </c>
      <c r="B29" s="106">
        <f>B28+1</f>
        <v/>
      </c>
      <c r="C29" s="61">
        <f>D28</f>
        <v/>
      </c>
      <c r="D29" s="61" t="n">
        <v>93</v>
      </c>
      <c r="E29" s="4">
        <f>D29-C29</f>
        <v/>
      </c>
      <c r="F29" s="5" t="n"/>
      <c r="G29" s="5" t="n"/>
      <c r="H29" s="5" t="n"/>
      <c r="I29" s="5" t="n"/>
      <c r="J29" s="5" t="n"/>
      <c r="K29" s="5" t="n"/>
      <c r="L29" s="5" t="n"/>
      <c r="M29" s="59">
        <f>N28</f>
        <v/>
      </c>
      <c r="N29" s="59" t="n">
        <v>283</v>
      </c>
      <c r="O29" s="59">
        <f>N29-M29</f>
        <v/>
      </c>
      <c r="P29" s="134" t="n"/>
      <c r="Q29" s="134" t="n"/>
      <c r="R29" s="134" t="n"/>
      <c r="S29" s="134" t="n"/>
      <c r="T29" s="134" t="n"/>
      <c r="U29" s="134" t="n"/>
      <c r="V29" s="134" t="n"/>
      <c r="W29" s="53">
        <f>X28</f>
        <v/>
      </c>
      <c r="X29" s="53" t="n">
        <v>13.09</v>
      </c>
      <c r="Y29" s="54">
        <f>X29-W29</f>
        <v/>
      </c>
      <c r="Z29" s="53" t="n"/>
      <c r="AA29" s="53" t="n"/>
      <c r="AB29" s="53" t="n"/>
      <c r="AC29" s="53" t="n"/>
    </row>
    <row r="30">
      <c r="A30" s="40" t="n">
        <v>27</v>
      </c>
      <c r="B30" s="106">
        <f>B29+1</f>
        <v/>
      </c>
      <c r="C30" s="61">
        <f>D29</f>
        <v/>
      </c>
      <c r="D30" s="61" t="n">
        <v>93</v>
      </c>
      <c r="E30" s="4">
        <f>D30-C30</f>
        <v/>
      </c>
      <c r="F30" s="5" t="n"/>
      <c r="G30" s="5" t="n"/>
      <c r="H30" s="5" t="n"/>
      <c r="I30" s="5" t="n"/>
      <c r="J30" s="5" t="n"/>
      <c r="K30" s="5" t="n"/>
      <c r="L30" s="5" t="n"/>
      <c r="M30" s="59">
        <f>N29</f>
        <v/>
      </c>
      <c r="N30" s="59" t="n">
        <v>283</v>
      </c>
      <c r="O30" s="59">
        <f>N30-M30</f>
        <v/>
      </c>
      <c r="P30" s="134" t="n"/>
      <c r="Q30" s="134" t="n"/>
      <c r="R30" s="134" t="n"/>
      <c r="S30" s="134" t="n"/>
      <c r="T30" s="134" t="n"/>
      <c r="U30" s="134" t="n"/>
      <c r="V30" s="134" t="n"/>
      <c r="W30" s="53">
        <f>X29</f>
        <v/>
      </c>
      <c r="X30" s="53" t="n">
        <v>13.09</v>
      </c>
      <c r="Y30" s="54">
        <f>X30-W30</f>
        <v/>
      </c>
      <c r="Z30" s="53" t="n"/>
      <c r="AA30" s="53" t="n"/>
      <c r="AB30" s="53" t="n"/>
      <c r="AC30" s="53" t="n"/>
    </row>
    <row r="31">
      <c r="A31" s="40" t="n">
        <v>28</v>
      </c>
      <c r="B31" s="106">
        <f>B30+1</f>
        <v/>
      </c>
      <c r="C31" s="61">
        <f>D30</f>
        <v/>
      </c>
      <c r="D31" s="61" t="n">
        <v>93</v>
      </c>
      <c r="E31" s="4">
        <f>D31-C31</f>
        <v/>
      </c>
      <c r="F31" s="5" t="n"/>
      <c r="G31" s="5" t="n"/>
      <c r="H31" s="5" t="n"/>
      <c r="I31" s="5" t="n"/>
      <c r="J31" s="5" t="n"/>
      <c r="K31" s="5" t="n"/>
      <c r="L31" s="5" t="n"/>
      <c r="M31" s="59">
        <f>N30</f>
        <v/>
      </c>
      <c r="N31" s="59" t="n">
        <v>284</v>
      </c>
      <c r="O31" s="59">
        <f>N31-M31</f>
        <v/>
      </c>
      <c r="P31" s="134" t="n"/>
      <c r="Q31" s="134" t="n"/>
      <c r="R31" s="134" t="n"/>
      <c r="S31" s="134" t="n"/>
      <c r="T31" s="134" t="n"/>
      <c r="U31" s="134" t="n"/>
      <c r="V31" s="134" t="n"/>
      <c r="W31" s="53">
        <f>X30</f>
        <v/>
      </c>
      <c r="X31" s="53" t="n">
        <v>13.09</v>
      </c>
      <c r="Y31" s="54">
        <f>X31-W31</f>
        <v/>
      </c>
      <c r="Z31" s="53" t="n"/>
      <c r="AA31" s="53" t="n"/>
      <c r="AB31" s="53" t="n"/>
      <c r="AC31" s="53" t="n"/>
    </row>
    <row r="32">
      <c r="A32" s="40" t="n">
        <v>29</v>
      </c>
      <c r="B32" s="106">
        <f>B31+1</f>
        <v/>
      </c>
      <c r="C32" s="61">
        <f>D31</f>
        <v/>
      </c>
      <c r="D32" s="61" t="n">
        <v>93</v>
      </c>
      <c r="E32" s="4">
        <f>D32-C32</f>
        <v/>
      </c>
      <c r="F32" s="5" t="n"/>
      <c r="G32" s="5" t="n"/>
      <c r="H32" s="5" t="n"/>
      <c r="I32" s="5" t="n"/>
      <c r="J32" s="5" t="n"/>
      <c r="K32" s="5" t="n"/>
      <c r="L32" s="5" t="n"/>
      <c r="M32" s="59">
        <f>N31</f>
        <v/>
      </c>
      <c r="N32" s="59" t="n">
        <v>285</v>
      </c>
      <c r="O32" s="59">
        <f>N32-M32</f>
        <v/>
      </c>
      <c r="P32" s="134" t="n"/>
      <c r="Q32" s="134" t="n"/>
      <c r="R32" s="134" t="n"/>
      <c r="S32" s="134" t="n"/>
      <c r="T32" s="134" t="n"/>
      <c r="U32" s="134" t="n"/>
      <c r="V32" s="134" t="n"/>
      <c r="W32" s="53">
        <f>X31</f>
        <v/>
      </c>
      <c r="X32" s="53" t="n">
        <v>13.09</v>
      </c>
      <c r="Y32" s="54">
        <f>X32-W32</f>
        <v/>
      </c>
      <c r="Z32" s="53" t="n"/>
      <c r="AA32" s="53" t="n"/>
      <c r="AB32" s="53" t="n"/>
      <c r="AC32" s="53" t="n"/>
    </row>
    <row r="33">
      <c r="A33" s="40" t="n">
        <v>30</v>
      </c>
      <c r="B33" s="106">
        <f>B32+1</f>
        <v/>
      </c>
      <c r="C33" s="61">
        <f>D32</f>
        <v/>
      </c>
      <c r="D33" s="61" t="n">
        <v>93</v>
      </c>
      <c r="E33" s="4">
        <f>D33-C33</f>
        <v/>
      </c>
      <c r="F33" s="5" t="n"/>
      <c r="G33" s="5" t="n"/>
      <c r="H33" s="5" t="n"/>
      <c r="I33" s="5" t="n"/>
      <c r="J33" s="5" t="n"/>
      <c r="K33" s="5" t="n"/>
      <c r="L33" s="5" t="n"/>
      <c r="M33" s="59">
        <f>N32</f>
        <v/>
      </c>
      <c r="N33" s="59" t="n">
        <v>285</v>
      </c>
      <c r="O33" s="59">
        <f>N33-M33</f>
        <v/>
      </c>
      <c r="P33" s="134" t="n"/>
      <c r="Q33" s="134" t="n"/>
      <c r="R33" s="134" t="n"/>
      <c r="S33" s="134" t="n"/>
      <c r="T33" s="134" t="n"/>
      <c r="U33" s="134" t="n"/>
      <c r="V33" s="134" t="n"/>
      <c r="W33" s="53">
        <f>X32</f>
        <v/>
      </c>
      <c r="X33" s="53" t="n">
        <v>13.09</v>
      </c>
      <c r="Y33" s="54">
        <f>X33-W33</f>
        <v/>
      </c>
      <c r="Z33" s="55" t="n"/>
      <c r="AA33" s="55" t="n"/>
      <c r="AB33" s="55" t="n"/>
      <c r="AC33" s="56" t="n"/>
    </row>
    <row r="34">
      <c r="A34" s="40" t="n">
        <v>31</v>
      </c>
      <c r="B34" s="106">
        <f>B33+1</f>
        <v/>
      </c>
      <c r="C34" s="61">
        <f>D33</f>
        <v/>
      </c>
      <c r="D34" s="61" t="n">
        <v>94</v>
      </c>
      <c r="E34" s="4">
        <f>D34-C34</f>
        <v/>
      </c>
      <c r="F34" s="5" t="n"/>
      <c r="G34" s="5" t="n"/>
      <c r="H34" s="5" t="n"/>
      <c r="I34" s="5" t="n"/>
      <c r="J34" s="5" t="n"/>
      <c r="K34" s="5" t="n"/>
      <c r="L34" s="5" t="n"/>
      <c r="M34" s="59">
        <f>N33</f>
        <v/>
      </c>
      <c r="N34" s="59" t="n">
        <v>285</v>
      </c>
      <c r="O34" s="59">
        <f>N34-M34</f>
        <v/>
      </c>
      <c r="P34" s="134" t="n"/>
      <c r="Q34" s="134" t="n"/>
      <c r="R34" s="134" t="n"/>
      <c r="S34" s="134" t="n"/>
      <c r="T34" s="134" t="n"/>
      <c r="U34" s="134" t="n"/>
      <c r="V34" s="134" t="n"/>
      <c r="W34" s="53">
        <f>X33</f>
        <v/>
      </c>
      <c r="X34" s="53" t="n">
        <v>13.09</v>
      </c>
      <c r="Y34" s="54">
        <f>X34-W34</f>
        <v/>
      </c>
      <c r="Z34" s="55" t="n"/>
      <c r="AA34" s="55" t="n"/>
      <c r="AB34" s="55" t="n"/>
      <c r="AC34" s="56" t="n"/>
    </row>
    <row r="35" ht="15.75" customHeight="1">
      <c r="A35" s="136" t="inlineStr">
        <is>
          <t>TOTAL</t>
        </is>
      </c>
      <c r="B35" s="126" t="n"/>
      <c r="C35" s="32" t="n"/>
      <c r="D35" s="32" t="n"/>
      <c r="E35" s="32">
        <f>SUBTOTAL(9,E4:E34)</f>
        <v/>
      </c>
      <c r="F35" s="32" t="n"/>
      <c r="G35" s="32" t="n"/>
      <c r="H35" s="32" t="inlineStr">
        <is>
          <t>No break down</t>
        </is>
      </c>
      <c r="I35" s="62">
        <f>SUBTOTAL(9,I3:I34)</f>
        <v/>
      </c>
      <c r="J35" s="32" t="n"/>
      <c r="K35" s="62">
        <f>SUBTOTAL(9,K4:K34)</f>
        <v/>
      </c>
      <c r="L35" s="32">
        <f>I35/K35</f>
        <v/>
      </c>
      <c r="M35" s="32" t="n"/>
      <c r="N35" s="32" t="n"/>
      <c r="O35" s="62">
        <f>SUBTOTAL(9,O4:O34)</f>
        <v/>
      </c>
      <c r="P35" s="32" t="n"/>
      <c r="Q35" s="32" t="n"/>
      <c r="R35" s="32" t="inlineStr">
        <is>
          <t>No break down</t>
        </is>
      </c>
      <c r="S35" s="62">
        <f>SUBTOTAL(9,S4:S34)</f>
        <v/>
      </c>
      <c r="T35" s="32" t="n"/>
      <c r="U35" s="62">
        <f>SUBTOTAL(9,U4:U34)</f>
        <v/>
      </c>
      <c r="V35" s="32">
        <f>S35/U35</f>
        <v/>
      </c>
      <c r="W35" s="57" t="n"/>
      <c r="X35" s="57" t="n"/>
      <c r="Y35" s="62">
        <f>SUBTOTAL(9,Y4:Y34)</f>
        <v/>
      </c>
      <c r="Z35" s="62">
        <f>SUBTOTAL(9,Z4:Z34)</f>
        <v/>
      </c>
      <c r="AA35" s="32" t="n"/>
      <c r="AB35" s="57" t="n"/>
      <c r="AC35" s="32" t="inlineStr">
        <is>
          <t>No break down</t>
        </is>
      </c>
    </row>
  </sheetData>
  <mergeCells count="7">
    <mergeCell ref="M2:N2"/>
    <mergeCell ref="AA1:AC1"/>
    <mergeCell ref="C2:D2"/>
    <mergeCell ref="M1:V1"/>
    <mergeCell ref="A1:L1"/>
    <mergeCell ref="W1:Z1"/>
    <mergeCell ref="A35:B35"/>
  </mergeCells>
  <conditionalFormatting sqref="A35">
    <cfRule type="duplicateValues" priority="1"/>
  </conditionalFormatting>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AF40"/>
  <sheetViews>
    <sheetView topLeftCell="K19" workbookViewId="0">
      <selection activeCell="AE36" sqref="AE36"/>
    </sheetView>
  </sheetViews>
  <sheetFormatPr baseColWidth="8" defaultRowHeight="15"/>
  <cols>
    <col width="11.140625" bestFit="1" customWidth="1" min="1" max="1"/>
    <col width="11.28515625" customWidth="1" min="3" max="3"/>
    <col width="16" customWidth="1" min="7" max="7"/>
    <col width="10.28515625" customWidth="1" min="13" max="13"/>
    <col width="11.140625" bestFit="1" customWidth="1" min="14" max="14"/>
    <col width="15" customWidth="1" min="17" max="17"/>
    <col width="11" customWidth="1" min="23" max="23"/>
    <col width="11.140625" bestFit="1" customWidth="1" min="24" max="24"/>
    <col width="12.7109375" customWidth="1" min="28" max="28"/>
    <col width="15.7109375" customWidth="1" min="30" max="30"/>
    <col width="14" bestFit="1" customWidth="1" min="31" max="31"/>
  </cols>
  <sheetData>
    <row r="1" ht="18.75" customHeight="1">
      <c r="A1" s="140" t="inlineStr">
        <is>
          <t>Diesel Cap - 19 Liters Per Hour</t>
        </is>
      </c>
      <c r="B1" s="125" t="n"/>
      <c r="C1" s="125" t="n"/>
      <c r="D1" s="125" t="n"/>
      <c r="E1" s="125" t="n"/>
      <c r="F1" s="125" t="n"/>
      <c r="G1" s="125" t="n"/>
      <c r="H1" s="125" t="n"/>
      <c r="I1" s="125" t="n"/>
      <c r="J1" s="125" t="n"/>
      <c r="K1" s="125" t="n"/>
      <c r="L1" s="125" t="n"/>
      <c r="M1" s="126" t="n"/>
      <c r="N1" s="140" t="inlineStr">
        <is>
          <t>Diesel Cap - 19 Liters Per Hour</t>
        </is>
      </c>
      <c r="O1" s="125" t="n"/>
      <c r="P1" s="125" t="n"/>
      <c r="Q1" s="125" t="n"/>
      <c r="R1" s="125" t="n"/>
      <c r="S1" s="125" t="n"/>
      <c r="T1" s="125" t="n"/>
      <c r="U1" s="125" t="n"/>
      <c r="V1" s="125" t="n"/>
      <c r="W1" s="126" t="n"/>
      <c r="X1" s="138" t="inlineStr">
        <is>
          <t>Fork Lift - 35Ton</t>
        </is>
      </c>
      <c r="Y1" s="125" t="n"/>
      <c r="Z1" s="125" t="n"/>
      <c r="AA1" s="126" t="n"/>
      <c r="AB1" s="138" t="inlineStr">
        <is>
          <t>Diesel Cap - 17 Liters Per Hour</t>
        </is>
      </c>
      <c r="AC1" s="125" t="n"/>
      <c r="AD1" s="126" t="n"/>
    </row>
    <row r="2" ht="47.25" customHeight="1">
      <c r="A2" s="1" t="inlineStr">
        <is>
          <t>S.NO.</t>
        </is>
      </c>
      <c r="B2" s="1" t="inlineStr">
        <is>
          <t>DATE</t>
        </is>
      </c>
      <c r="C2" s="1" t="inlineStr">
        <is>
          <t>Diesel Purchased</t>
        </is>
      </c>
      <c r="D2" s="139" t="inlineStr">
        <is>
          <t>XCMG-1 (2026)</t>
        </is>
      </c>
      <c r="E2" s="126" t="n"/>
      <c r="F2" s="1" t="inlineStr">
        <is>
          <t>Daily Running Hours</t>
        </is>
      </c>
      <c r="G2" s="1" t="inlineStr">
        <is>
          <t>Breakdown start time</t>
        </is>
      </c>
      <c r="H2" s="1" t="inlineStr">
        <is>
          <t>Breakdown end time</t>
        </is>
      </c>
      <c r="I2" s="1" t="inlineStr">
        <is>
          <t>Total B/D</t>
        </is>
      </c>
      <c r="J2" s="2" t="inlineStr">
        <is>
          <t>DIESEL Consumed</t>
        </is>
      </c>
      <c r="K2" s="2" t="inlineStr">
        <is>
          <t>HMR</t>
        </is>
      </c>
      <c r="L2" s="2" t="inlineStr">
        <is>
          <t>HOURS</t>
        </is>
      </c>
      <c r="M2" s="3" t="inlineStr">
        <is>
          <t>AVERAGE</t>
        </is>
      </c>
      <c r="N2" s="137" t="inlineStr">
        <is>
          <t>XCMG-2 (2023)</t>
        </is>
      </c>
      <c r="O2" s="126" t="n"/>
      <c r="P2" s="36" t="inlineStr">
        <is>
          <t>Daily Running Hours</t>
        </is>
      </c>
      <c r="Q2" s="36" t="inlineStr">
        <is>
          <t>Breakdown start time</t>
        </is>
      </c>
      <c r="R2" s="36" t="inlineStr">
        <is>
          <t>Breakdown end time</t>
        </is>
      </c>
      <c r="S2" s="36" t="inlineStr">
        <is>
          <t>Total B/D</t>
        </is>
      </c>
      <c r="T2" s="37" t="inlineStr">
        <is>
          <t>DIESEL Consumed</t>
        </is>
      </c>
      <c r="U2" s="37" t="inlineStr">
        <is>
          <t>HMR</t>
        </is>
      </c>
      <c r="V2" s="37" t="inlineStr">
        <is>
          <t>HOURS</t>
        </is>
      </c>
      <c r="W2" s="3" t="inlineStr">
        <is>
          <t>AVERAGE</t>
        </is>
      </c>
      <c r="X2" s="49" t="inlineStr">
        <is>
          <t>OPENING 
HMR</t>
        </is>
      </c>
      <c r="Y2" s="49" t="inlineStr">
        <is>
          <t>CLOSING
 HMR</t>
        </is>
      </c>
      <c r="Z2" s="49" t="inlineStr">
        <is>
          <t>TOTAL 
HMR</t>
        </is>
      </c>
      <c r="AA2" s="50" t="inlineStr">
        <is>
          <t>DIESEL</t>
        </is>
      </c>
      <c r="AB2" s="50" t="inlineStr">
        <is>
          <t>HMR</t>
        </is>
      </c>
      <c r="AC2" s="50" t="inlineStr">
        <is>
          <t>AVERAGE</t>
        </is>
      </c>
      <c r="AD2" s="49" t="inlineStr">
        <is>
          <t>BREAK DOWN</t>
        </is>
      </c>
      <c r="AE2" s="50" t="inlineStr">
        <is>
          <t>Diesel Balance</t>
        </is>
      </c>
    </row>
    <row r="3" ht="15.75" customHeight="1">
      <c r="A3" s="33" t="n"/>
      <c r="B3" s="34" t="n"/>
      <c r="C3" s="34" t="n"/>
      <c r="D3" s="35" t="n"/>
      <c r="E3" s="35" t="n"/>
      <c r="F3" s="34" t="n"/>
      <c r="G3" s="34" t="n"/>
      <c r="H3" s="34" t="n"/>
      <c r="I3" s="34" t="n"/>
      <c r="J3" s="35" t="n"/>
      <c r="K3" s="35" t="n">
        <v>81</v>
      </c>
      <c r="L3" s="35" t="n"/>
      <c r="M3" s="35" t="n"/>
      <c r="N3" s="33" t="n"/>
      <c r="O3" s="35" t="n"/>
      <c r="P3" s="34" t="n"/>
      <c r="Q3" s="34" t="n"/>
      <c r="R3" s="34" t="n"/>
      <c r="S3" s="34" t="n"/>
      <c r="T3" s="35" t="n"/>
      <c r="U3" s="35" t="n">
        <v>263</v>
      </c>
      <c r="V3" s="35" t="n"/>
      <c r="W3" s="35" t="n"/>
      <c r="X3" s="33" t="n"/>
      <c r="Y3" s="51" t="n"/>
      <c r="Z3" s="52" t="n"/>
      <c r="AA3" s="51" t="n"/>
      <c r="AB3" s="51" t="n"/>
      <c r="AC3" s="51" t="n"/>
      <c r="AD3" s="51" t="n"/>
      <c r="AE3" s="57" t="n">
        <v>2330</v>
      </c>
    </row>
    <row r="4">
      <c r="A4" s="40" t="n">
        <v>1</v>
      </c>
      <c r="B4" s="31" t="n">
        <v>46174</v>
      </c>
      <c r="C4" s="111" t="n"/>
      <c r="D4" s="61" t="n">
        <v>94</v>
      </c>
      <c r="E4" s="60" t="n">
        <v>94</v>
      </c>
      <c r="F4" s="105">
        <f>E4-D4</f>
        <v/>
      </c>
      <c r="G4" s="4" t="n"/>
      <c r="H4" s="4" t="n"/>
      <c r="I4" s="4" t="n"/>
      <c r="J4" s="4" t="n"/>
      <c r="K4" s="4" t="n"/>
      <c r="L4" s="4" t="n"/>
      <c r="M4" s="4" t="n"/>
      <c r="N4" s="59" t="n">
        <v>285</v>
      </c>
      <c r="O4" s="38" t="n">
        <v>286</v>
      </c>
      <c r="P4" s="63">
        <f>O4-N4</f>
        <v/>
      </c>
      <c r="Q4" s="38" t="n"/>
      <c r="R4" s="38" t="n"/>
      <c r="S4" s="38" t="n"/>
      <c r="T4" s="38" t="n"/>
      <c r="U4" s="38" t="n"/>
      <c r="V4" s="38" t="n"/>
      <c r="W4" s="38" t="n"/>
      <c r="X4" s="53" t="n">
        <v>13</v>
      </c>
      <c r="Y4" s="53" t="n">
        <v>13</v>
      </c>
      <c r="Z4" s="54">
        <f>Y4-X4</f>
        <v/>
      </c>
      <c r="AA4" s="53" t="n"/>
      <c r="AB4" s="53" t="n"/>
      <c r="AC4" s="53" t="n"/>
      <c r="AD4" s="53" t="n"/>
      <c r="AE4" s="111">
        <f>AE3+C4-J4-T4-AA4</f>
        <v/>
      </c>
    </row>
    <row r="5">
      <c r="A5" s="40" t="n">
        <v>2</v>
      </c>
      <c r="B5" s="31">
        <f>B4+1</f>
        <v/>
      </c>
      <c r="C5" s="111" t="n"/>
      <c r="D5" s="61">
        <f>E4</f>
        <v/>
      </c>
      <c r="E5" s="60" t="n">
        <v>95</v>
      </c>
      <c r="F5" s="105">
        <f>E5-D5</f>
        <v/>
      </c>
      <c r="G5" s="5" t="n"/>
      <c r="H5" s="5" t="n"/>
      <c r="I5" s="5" t="n"/>
      <c r="J5" s="5" t="n"/>
      <c r="K5" s="5" t="n"/>
      <c r="L5" s="5" t="n"/>
      <c r="M5" s="5" t="n"/>
      <c r="N5" s="59">
        <f>O4</f>
        <v/>
      </c>
      <c r="O5" s="38" t="n">
        <v>286</v>
      </c>
      <c r="P5" s="63">
        <f>O5-N5</f>
        <v/>
      </c>
      <c r="Q5" s="134" t="n"/>
      <c r="R5" s="134" t="n"/>
      <c r="S5" s="134" t="n"/>
      <c r="T5" s="134" t="n"/>
      <c r="U5" s="134" t="n"/>
      <c r="V5" s="134" t="n"/>
      <c r="W5" s="134" t="n"/>
      <c r="X5" s="53">
        <f>Y4</f>
        <v/>
      </c>
      <c r="Y5" s="53" t="n">
        <v>13</v>
      </c>
      <c r="Z5" s="54">
        <f>Y5-X5</f>
        <v/>
      </c>
      <c r="AA5" s="53" t="n"/>
      <c r="AB5" s="53" t="n"/>
      <c r="AC5" s="53" t="n"/>
      <c r="AD5" s="53" t="n"/>
      <c r="AE5" s="111">
        <f>AE4+C5-J5-T5-AA5</f>
        <v/>
      </c>
    </row>
    <row r="6">
      <c r="A6" s="40" t="n">
        <v>3</v>
      </c>
      <c r="B6" s="31">
        <f>B5+1</f>
        <v/>
      </c>
      <c r="C6" s="111" t="n"/>
      <c r="D6" s="61">
        <f>E5</f>
        <v/>
      </c>
      <c r="E6" s="60" t="n">
        <v>96</v>
      </c>
      <c r="F6" s="105">
        <f>E6-D6</f>
        <v/>
      </c>
      <c r="G6" s="5" t="n"/>
      <c r="H6" s="5" t="n"/>
      <c r="I6" s="5" t="n"/>
      <c r="J6" s="5" t="n"/>
      <c r="K6" s="5" t="n"/>
      <c r="L6" s="5" t="n"/>
      <c r="M6" s="5" t="n"/>
      <c r="N6" s="59">
        <f>O5</f>
        <v/>
      </c>
      <c r="O6" s="59" t="n">
        <v>287</v>
      </c>
      <c r="P6" s="63">
        <f>O6-N6</f>
        <v/>
      </c>
      <c r="Q6" s="134" t="n"/>
      <c r="R6" s="134" t="n"/>
      <c r="S6" s="134" t="n"/>
      <c r="T6" s="134" t="n"/>
      <c r="U6" s="134" t="n"/>
      <c r="V6" s="134" t="n"/>
      <c r="W6" s="134" t="n"/>
      <c r="X6" s="53">
        <f>Y5</f>
        <v/>
      </c>
      <c r="Y6" s="53" t="n">
        <v>14</v>
      </c>
      <c r="Z6" s="54">
        <f>Y6-X6</f>
        <v/>
      </c>
      <c r="AA6" s="53" t="n"/>
      <c r="AB6" s="53" t="n"/>
      <c r="AC6" s="53" t="n"/>
      <c r="AD6" s="53" t="n"/>
      <c r="AE6" s="111">
        <f>AE5+C6-J6-T6-AA6</f>
        <v/>
      </c>
    </row>
    <row r="7">
      <c r="A7" s="40" t="n">
        <v>4</v>
      </c>
      <c r="B7" s="31">
        <f>B6+1</f>
        <v/>
      </c>
      <c r="C7" s="111" t="n"/>
      <c r="D7" s="61">
        <f>E6</f>
        <v/>
      </c>
      <c r="E7" s="60" t="n">
        <v>97</v>
      </c>
      <c r="F7" s="105">
        <f>E7-D7</f>
        <v/>
      </c>
      <c r="G7" s="5" t="n"/>
      <c r="H7" s="5" t="n"/>
      <c r="I7" s="5" t="n"/>
      <c r="J7" s="5" t="n"/>
      <c r="K7" s="5" t="n"/>
      <c r="L7" s="5" t="n"/>
      <c r="M7" s="5" t="n"/>
      <c r="N7" s="59">
        <f>O6</f>
        <v/>
      </c>
      <c r="O7" s="59" t="n">
        <v>288</v>
      </c>
      <c r="P7" s="63">
        <f>O7-N7</f>
        <v/>
      </c>
      <c r="Q7" s="134" t="n"/>
      <c r="R7" s="134" t="n"/>
      <c r="S7" s="134" t="n"/>
      <c r="T7" s="134" t="n"/>
      <c r="U7" s="134" t="n"/>
      <c r="V7" s="134" t="n"/>
      <c r="W7" s="134" t="n"/>
      <c r="X7" s="53">
        <f>Y6</f>
        <v/>
      </c>
      <c r="Y7" s="53" t="n">
        <v>14</v>
      </c>
      <c r="Z7" s="54">
        <f>Y7-X7</f>
        <v/>
      </c>
      <c r="AA7" s="53" t="n"/>
      <c r="AB7" s="53" t="n"/>
      <c r="AC7" s="53" t="n"/>
      <c r="AD7" s="53" t="n"/>
      <c r="AE7" s="111">
        <f>AE6+C7-J7-T7-AA7</f>
        <v/>
      </c>
    </row>
    <row r="8">
      <c r="A8" s="40" t="n">
        <v>5</v>
      </c>
      <c r="B8" s="31">
        <f>B7+1</f>
        <v/>
      </c>
      <c r="C8" s="111" t="n"/>
      <c r="D8" s="61">
        <f>E7</f>
        <v/>
      </c>
      <c r="E8" s="61" t="n">
        <v>99</v>
      </c>
      <c r="F8" s="4">
        <f>E8-D8</f>
        <v/>
      </c>
      <c r="G8" s="5" t="n"/>
      <c r="H8" s="5" t="n"/>
      <c r="I8" s="5" t="n"/>
      <c r="J8" s="5" t="n"/>
      <c r="K8" s="5" t="n"/>
      <c r="L8" s="5" t="n"/>
      <c r="M8" s="5" t="n"/>
      <c r="N8" s="59">
        <f>O7</f>
        <v/>
      </c>
      <c r="O8" s="59" t="n">
        <v>288</v>
      </c>
      <c r="P8" s="63">
        <f>O8-N8</f>
        <v/>
      </c>
      <c r="Q8" s="134" t="n"/>
      <c r="R8" s="134" t="n"/>
      <c r="S8" s="134" t="n"/>
      <c r="T8" s="134" t="n"/>
      <c r="U8" s="134" t="n"/>
      <c r="V8" s="134" t="n"/>
      <c r="W8" s="134" t="n"/>
      <c r="X8" s="53">
        <f>Y7</f>
        <v/>
      </c>
      <c r="Y8" s="53" t="n">
        <v>14</v>
      </c>
      <c r="Z8" s="54">
        <f>Y8-X8</f>
        <v/>
      </c>
      <c r="AA8" s="53" t="n"/>
      <c r="AB8" s="53" t="n"/>
      <c r="AC8" s="53" t="n"/>
      <c r="AD8" s="53" t="n"/>
      <c r="AE8" s="111">
        <f>AE7+C8-J8-T8-AA8</f>
        <v/>
      </c>
    </row>
    <row r="9">
      <c r="A9" s="40" t="n">
        <v>6</v>
      </c>
      <c r="B9" s="31">
        <f>B8+1</f>
        <v/>
      </c>
      <c r="C9" s="111" t="n"/>
      <c r="D9" s="61">
        <f>E8</f>
        <v/>
      </c>
      <c r="E9" s="61" t="n">
        <v>100</v>
      </c>
      <c r="F9" s="4">
        <f>E9-D9</f>
        <v/>
      </c>
      <c r="G9" s="5" t="n"/>
      <c r="H9" s="5" t="n"/>
      <c r="I9" s="5" t="n"/>
      <c r="J9" s="5" t="n"/>
      <c r="K9" s="5" t="n"/>
      <c r="L9" s="5" t="n"/>
      <c r="M9" s="5" t="n"/>
      <c r="N9" s="59">
        <f>O8</f>
        <v/>
      </c>
      <c r="O9" s="59" t="n">
        <v>289</v>
      </c>
      <c r="P9" s="59">
        <f>O9-N9</f>
        <v/>
      </c>
      <c r="Q9" s="134" t="n"/>
      <c r="R9" s="134" t="n"/>
      <c r="S9" s="134" t="n"/>
      <c r="T9" s="134" t="n"/>
      <c r="U9" s="134" t="n"/>
      <c r="V9" s="134" t="n"/>
      <c r="W9" s="134" t="n"/>
      <c r="X9" s="53">
        <f>Y8</f>
        <v/>
      </c>
      <c r="Y9" s="53" t="n">
        <v>14</v>
      </c>
      <c r="Z9" s="54">
        <f>Y9-X9</f>
        <v/>
      </c>
      <c r="AA9" s="53" t="n"/>
      <c r="AB9" s="53" t="n"/>
      <c r="AC9" s="53" t="n"/>
      <c r="AD9" s="53" t="n"/>
      <c r="AE9" s="111">
        <f>AE8+C9-J9-T9-AA9</f>
        <v/>
      </c>
    </row>
    <row r="10">
      <c r="A10" s="40" t="n">
        <v>7</v>
      </c>
      <c r="B10" s="31">
        <f>B9+1</f>
        <v/>
      </c>
      <c r="C10" s="111" t="n"/>
      <c r="D10" s="61">
        <f>E9</f>
        <v/>
      </c>
      <c r="E10" s="61" t="n">
        <v>100</v>
      </c>
      <c r="F10" s="4">
        <f>E10-D10</f>
        <v/>
      </c>
      <c r="G10" s="5" t="n"/>
      <c r="H10" s="5" t="n"/>
      <c r="I10" s="5" t="n"/>
      <c r="J10" s="5" t="n"/>
      <c r="K10" s="5" t="n"/>
      <c r="L10" s="5" t="n"/>
      <c r="M10" s="5" t="n"/>
      <c r="N10" s="59">
        <f>O9</f>
        <v/>
      </c>
      <c r="O10" s="59" t="n">
        <v>290</v>
      </c>
      <c r="P10" s="59">
        <f>O10-N10</f>
        <v/>
      </c>
      <c r="Q10" s="134" t="n"/>
      <c r="R10" s="134" t="n"/>
      <c r="S10" s="134" t="n"/>
      <c r="T10" s="134" t="n"/>
      <c r="U10" s="134" t="n"/>
      <c r="V10" s="134" t="n"/>
      <c r="W10" s="134" t="n"/>
      <c r="X10" s="53">
        <f>Y9</f>
        <v/>
      </c>
      <c r="Y10" s="53" t="n">
        <v>14</v>
      </c>
      <c r="Z10" s="54">
        <f>Y10-X10</f>
        <v/>
      </c>
      <c r="AA10" s="53" t="n"/>
      <c r="AB10" s="53" t="n"/>
      <c r="AC10" s="53" t="n"/>
      <c r="AD10" s="53" t="n"/>
      <c r="AE10" s="111">
        <f>AE9+C10-J10-T10-AA10</f>
        <v/>
      </c>
    </row>
    <row r="11">
      <c r="A11" s="40" t="n">
        <v>8</v>
      </c>
      <c r="B11" s="31">
        <f>B10+1</f>
        <v/>
      </c>
      <c r="C11" s="111" t="n"/>
      <c r="D11" s="61">
        <f>E10</f>
        <v/>
      </c>
      <c r="E11" s="61" t="n">
        <v>100</v>
      </c>
      <c r="F11" s="4">
        <f>E11-D11</f>
        <v/>
      </c>
      <c r="G11" s="5" t="n"/>
      <c r="H11" s="5" t="n"/>
      <c r="I11" s="5" t="n"/>
      <c r="J11" s="5" t="n"/>
      <c r="K11" s="5" t="n"/>
      <c r="L11" s="5" t="n"/>
      <c r="M11" s="5" t="n"/>
      <c r="N11" s="59">
        <f>O10</f>
        <v/>
      </c>
      <c r="O11" s="59" t="n">
        <v>292</v>
      </c>
      <c r="P11" s="59">
        <f>O11-N11</f>
        <v/>
      </c>
      <c r="Q11" s="134" t="n"/>
      <c r="R11" s="134" t="n"/>
      <c r="S11" s="134" t="n"/>
      <c r="T11" s="134" t="n"/>
      <c r="U11" s="134" t="n"/>
      <c r="V11" s="134" t="n"/>
      <c r="W11" s="134" t="n"/>
      <c r="X11" s="53">
        <f>Y10</f>
        <v/>
      </c>
      <c r="Y11" s="53" t="n">
        <v>14</v>
      </c>
      <c r="Z11" s="54">
        <f>Y11-X11</f>
        <v/>
      </c>
      <c r="AA11" s="53" t="n"/>
      <c r="AB11" s="53" t="n"/>
      <c r="AC11" s="53" t="n"/>
      <c r="AD11" s="53" t="n"/>
      <c r="AE11" s="111">
        <f>AE10+C11-J11-T11-AA11</f>
        <v/>
      </c>
    </row>
    <row r="12">
      <c r="A12" s="40" t="n">
        <v>9</v>
      </c>
      <c r="B12" s="31">
        <f>B11+1</f>
        <v/>
      </c>
      <c r="C12" s="111" t="n"/>
      <c r="D12" s="61">
        <f>E11</f>
        <v/>
      </c>
      <c r="E12" s="61" t="n">
        <v>101</v>
      </c>
      <c r="F12" s="4">
        <f>E12-D12</f>
        <v/>
      </c>
      <c r="G12" s="5" t="n"/>
      <c r="H12" s="5" t="n"/>
      <c r="I12" s="5" t="n"/>
      <c r="J12" s="5" t="n"/>
      <c r="K12" s="5" t="n"/>
      <c r="L12" s="5" t="n"/>
      <c r="M12" s="5" t="n"/>
      <c r="N12" s="59">
        <f>O11</f>
        <v/>
      </c>
      <c r="O12" s="59" t="n">
        <v>296</v>
      </c>
      <c r="P12" s="59">
        <f>O12-N12</f>
        <v/>
      </c>
      <c r="Q12" s="134" t="n"/>
      <c r="R12" s="134" t="n"/>
      <c r="S12" s="134" t="n"/>
      <c r="T12" s="134" t="n"/>
      <c r="U12" s="134" t="n"/>
      <c r="V12" s="134" t="n"/>
      <c r="W12" s="134" t="n"/>
      <c r="X12" s="53">
        <f>Y11</f>
        <v/>
      </c>
      <c r="Y12" s="53" t="n">
        <v>14</v>
      </c>
      <c r="Z12" s="54">
        <f>Y12-X12</f>
        <v/>
      </c>
      <c r="AA12" s="53" t="n"/>
      <c r="AB12" s="53" t="n"/>
      <c r="AC12" s="53" t="n"/>
      <c r="AD12" s="53" t="n"/>
      <c r="AE12" s="111">
        <f>AE11+C12-J12-T12-AA12</f>
        <v/>
      </c>
    </row>
    <row r="13">
      <c r="A13" s="40" t="n">
        <v>10</v>
      </c>
      <c r="B13" s="31">
        <f>B12+1</f>
        <v/>
      </c>
      <c r="C13" s="111" t="n"/>
      <c r="D13" s="61">
        <f>E12</f>
        <v/>
      </c>
      <c r="E13" s="61" t="n">
        <v>102</v>
      </c>
      <c r="F13" s="4">
        <f>E13-D13</f>
        <v/>
      </c>
      <c r="G13" s="5" t="n"/>
      <c r="H13" s="5" t="n"/>
      <c r="I13" s="5" t="n"/>
      <c r="J13" s="5" t="n"/>
      <c r="K13" s="5" t="n"/>
      <c r="L13" s="5" t="n"/>
      <c r="M13" s="5" t="n"/>
      <c r="N13" s="59">
        <f>O12</f>
        <v/>
      </c>
      <c r="O13" s="59" t="n">
        <v>298</v>
      </c>
      <c r="P13" s="59">
        <f>O13-N13</f>
        <v/>
      </c>
      <c r="Q13" s="134" t="n"/>
      <c r="R13" s="134" t="n"/>
      <c r="S13" s="134" t="n"/>
      <c r="T13" s="134" t="n"/>
      <c r="U13" s="134" t="n"/>
      <c r="V13" s="134" t="n"/>
      <c r="W13" s="134" t="n"/>
      <c r="X13" s="53">
        <f>Y12</f>
        <v/>
      </c>
      <c r="Y13" s="53" t="n">
        <v>14</v>
      </c>
      <c r="Z13" s="54">
        <f>Y13-X13</f>
        <v/>
      </c>
      <c r="AA13" s="53" t="n"/>
      <c r="AB13" s="53" t="n"/>
      <c r="AC13" s="53" t="n"/>
      <c r="AD13" s="53" t="n"/>
      <c r="AE13" s="111">
        <f>AE12+C13-J13-T13-AA13</f>
        <v/>
      </c>
    </row>
    <row r="14">
      <c r="A14" s="40" t="n">
        <v>11</v>
      </c>
      <c r="B14" s="31">
        <f>B13+1</f>
        <v/>
      </c>
      <c r="C14" s="111" t="n"/>
      <c r="D14" s="61">
        <f>E13</f>
        <v/>
      </c>
      <c r="E14" s="61" t="n">
        <v>102</v>
      </c>
      <c r="F14" s="4">
        <f>E14-D14</f>
        <v/>
      </c>
      <c r="G14" s="5" t="n"/>
      <c r="H14" s="5" t="n"/>
      <c r="I14" s="5" t="n"/>
      <c r="J14" s="5" t="n"/>
      <c r="K14" s="5" t="n"/>
      <c r="L14" s="5" t="n"/>
      <c r="M14" s="5" t="n"/>
      <c r="N14" s="59">
        <f>O13</f>
        <v/>
      </c>
      <c r="O14" s="59" t="n">
        <v>300</v>
      </c>
      <c r="P14" s="59">
        <f>O14-N14</f>
        <v/>
      </c>
      <c r="Q14" s="134" t="n"/>
      <c r="R14" s="134" t="n"/>
      <c r="S14" s="134" t="n"/>
      <c r="T14" s="134" t="n"/>
      <c r="U14" s="134" t="n"/>
      <c r="V14" s="134" t="n"/>
      <c r="W14" s="134" t="n"/>
      <c r="X14" s="53">
        <f>Y13</f>
        <v/>
      </c>
      <c r="Y14" s="53" t="n">
        <v>14</v>
      </c>
      <c r="Z14" s="54">
        <f>Y14-X14</f>
        <v/>
      </c>
      <c r="AA14" s="53" t="n"/>
      <c r="AB14" s="53" t="n"/>
      <c r="AC14" s="53" t="n"/>
      <c r="AD14" s="53" t="n"/>
      <c r="AE14" s="111">
        <f>AE13+C14-J14-T14-AA14</f>
        <v/>
      </c>
    </row>
    <row r="15">
      <c r="A15" s="40" t="n">
        <v>12</v>
      </c>
      <c r="B15" s="31">
        <f>B14+1</f>
        <v/>
      </c>
      <c r="C15" s="111" t="n"/>
      <c r="D15" s="61">
        <f>E14</f>
        <v/>
      </c>
      <c r="E15" s="61" t="n">
        <v>103</v>
      </c>
      <c r="F15" s="4">
        <f>E15-D15</f>
        <v/>
      </c>
      <c r="G15" s="5" t="n"/>
      <c r="H15" s="5" t="n"/>
      <c r="I15" s="5" t="n"/>
      <c r="J15" s="5" t="n">
        <v>220</v>
      </c>
      <c r="K15" s="5" t="n">
        <v>103</v>
      </c>
      <c r="L15" s="5">
        <f>K15-K3</f>
        <v/>
      </c>
      <c r="M15" s="5">
        <f>J15/L15</f>
        <v/>
      </c>
      <c r="N15" s="59">
        <f>O14</f>
        <v/>
      </c>
      <c r="O15" s="59" t="n">
        <v>303</v>
      </c>
      <c r="P15" s="59">
        <f>O15-N15</f>
        <v/>
      </c>
      <c r="Q15" s="134" t="n"/>
      <c r="R15" s="134" t="n"/>
      <c r="S15" s="134" t="n"/>
      <c r="T15" s="134" t="n">
        <v>390</v>
      </c>
      <c r="U15" s="134" t="n">
        <v>303</v>
      </c>
      <c r="V15" s="134">
        <f>U15-U3</f>
        <v/>
      </c>
      <c r="W15" s="134">
        <f>T15/V15</f>
        <v/>
      </c>
      <c r="X15" s="53">
        <f>Y14</f>
        <v/>
      </c>
      <c r="Y15" s="53" t="n">
        <v>15</v>
      </c>
      <c r="Z15" s="54">
        <f>Y15-X15</f>
        <v/>
      </c>
      <c r="AA15" s="53" t="n"/>
      <c r="AB15" s="53" t="n"/>
      <c r="AC15" s="53" t="n"/>
      <c r="AD15" s="53" t="n"/>
      <c r="AE15" s="111">
        <f>AE14+C15-J15-T15-AA15</f>
        <v/>
      </c>
    </row>
    <row r="16">
      <c r="A16" s="40" t="n">
        <v>13</v>
      </c>
      <c r="B16" s="31">
        <f>B15+1</f>
        <v/>
      </c>
      <c r="C16" s="111" t="n"/>
      <c r="D16" s="61">
        <f>E15</f>
        <v/>
      </c>
      <c r="E16" s="61" t="n">
        <v>104</v>
      </c>
      <c r="F16" s="4">
        <f>E16-D16</f>
        <v/>
      </c>
      <c r="G16" s="5" t="n"/>
      <c r="H16" s="5" t="n"/>
      <c r="I16" s="5" t="n"/>
      <c r="J16" s="5" t="n"/>
      <c r="K16" s="5" t="n"/>
      <c r="L16" s="5" t="n"/>
      <c r="M16" s="5" t="n"/>
      <c r="N16" s="59">
        <f>O15</f>
        <v/>
      </c>
      <c r="O16" s="59" t="n">
        <v>303</v>
      </c>
      <c r="P16" s="59">
        <f>O16-N16</f>
        <v/>
      </c>
      <c r="Q16" s="134" t="n"/>
      <c r="R16" s="134" t="n"/>
      <c r="S16" s="134" t="n"/>
      <c r="T16" s="134" t="n"/>
      <c r="U16" s="134" t="n"/>
      <c r="V16" s="134" t="n"/>
      <c r="W16" s="134" t="n"/>
      <c r="X16" s="53">
        <f>Y15</f>
        <v/>
      </c>
      <c r="Y16" s="53" t="n">
        <v>15</v>
      </c>
      <c r="Z16" s="54">
        <f>Y16-X16</f>
        <v/>
      </c>
      <c r="AA16" s="53" t="n"/>
      <c r="AB16" s="53" t="n"/>
      <c r="AC16" s="53" t="n"/>
      <c r="AD16" s="53" t="n"/>
      <c r="AE16" s="111">
        <f>AE15+C16-J16-T16-AA16</f>
        <v/>
      </c>
    </row>
    <row r="17">
      <c r="A17" s="40" t="n">
        <v>14</v>
      </c>
      <c r="B17" s="31">
        <f>B16+1</f>
        <v/>
      </c>
      <c r="C17" s="111" t="n"/>
      <c r="D17" s="61">
        <f>E16</f>
        <v/>
      </c>
      <c r="E17" s="61" t="n">
        <v>110</v>
      </c>
      <c r="F17" s="4">
        <f>E17-D17</f>
        <v/>
      </c>
      <c r="G17" s="5" t="n"/>
      <c r="H17" s="5" t="n"/>
      <c r="I17" s="5" t="n"/>
      <c r="J17" s="5" t="n"/>
      <c r="K17" s="5" t="n"/>
      <c r="L17" s="5" t="n"/>
      <c r="M17" s="5" t="n"/>
      <c r="N17" s="59">
        <f>O16</f>
        <v/>
      </c>
      <c r="O17" s="59" t="n">
        <v>310</v>
      </c>
      <c r="P17" s="59">
        <f>O17-N17</f>
        <v/>
      </c>
      <c r="Q17" s="134" t="n"/>
      <c r="R17" s="134" t="n"/>
      <c r="S17" s="134" t="n"/>
      <c r="T17" s="134" t="n"/>
      <c r="U17" s="134" t="n"/>
      <c r="V17" s="134" t="n"/>
      <c r="W17" s="134" t="n"/>
      <c r="X17" s="53">
        <f>Y16</f>
        <v/>
      </c>
      <c r="Y17" s="53" t="n">
        <v>15</v>
      </c>
      <c r="Z17" s="54">
        <f>Y17-X17</f>
        <v/>
      </c>
      <c r="AA17" s="53" t="n"/>
      <c r="AB17" s="53" t="n"/>
      <c r="AC17" s="53" t="n"/>
      <c r="AD17" s="53" t="n"/>
      <c r="AE17" s="111">
        <f>AE16+C17-J17-T17-AA17</f>
        <v/>
      </c>
    </row>
    <row r="18">
      <c r="A18" s="40" t="n">
        <v>15</v>
      </c>
      <c r="B18" s="31">
        <f>B17+1</f>
        <v/>
      </c>
      <c r="C18" s="111" t="n"/>
      <c r="D18" s="61">
        <f>E17</f>
        <v/>
      </c>
      <c r="E18" s="61" t="n">
        <v>117</v>
      </c>
      <c r="F18" s="4">
        <f>E18-D18</f>
        <v/>
      </c>
      <c r="G18" s="5" t="n"/>
      <c r="H18" s="5" t="n"/>
      <c r="I18" s="5" t="n"/>
      <c r="J18" s="5" t="n"/>
      <c r="K18" s="5" t="n"/>
      <c r="L18" s="5" t="n"/>
      <c r="M18" s="5" t="n"/>
      <c r="N18" s="59">
        <f>O17</f>
        <v/>
      </c>
      <c r="O18" s="59" t="n">
        <v>320</v>
      </c>
      <c r="P18" s="59">
        <f>O18-N18</f>
        <v/>
      </c>
      <c r="Q18" s="134" t="n"/>
      <c r="R18" s="134" t="n"/>
      <c r="S18" s="134" t="n"/>
      <c r="T18" s="134" t="n"/>
      <c r="U18" s="134" t="n"/>
      <c r="V18" s="134" t="n"/>
      <c r="W18" s="134" t="n"/>
      <c r="X18" s="53">
        <f>Y17</f>
        <v/>
      </c>
      <c r="Y18" s="53" t="n">
        <v>15</v>
      </c>
      <c r="Z18" s="54">
        <f>Y18-X18</f>
        <v/>
      </c>
      <c r="AA18" s="53" t="n"/>
      <c r="AB18" s="53" t="n"/>
      <c r="AC18" s="53" t="n"/>
      <c r="AD18" s="53" t="n"/>
      <c r="AE18" s="111">
        <f>AE17+C18-J18-T18-AA18</f>
        <v/>
      </c>
    </row>
    <row r="19">
      <c r="A19" s="40" t="n">
        <v>16</v>
      </c>
      <c r="B19" s="31">
        <f>B18+1</f>
        <v/>
      </c>
      <c r="C19" s="111" t="n"/>
      <c r="D19" s="61">
        <f>E18</f>
        <v/>
      </c>
      <c r="E19" s="61" t="n">
        <v>121</v>
      </c>
      <c r="F19" s="4">
        <f>E19-D19</f>
        <v/>
      </c>
      <c r="G19" s="5" t="n"/>
      <c r="H19" s="5" t="n"/>
      <c r="I19" s="5" t="n"/>
      <c r="J19" s="5" t="n"/>
      <c r="K19" s="5" t="n"/>
      <c r="L19" s="5" t="n"/>
      <c r="M19" s="5" t="n"/>
      <c r="N19" s="59">
        <f>O18</f>
        <v/>
      </c>
      <c r="O19" s="59" t="n">
        <v>320</v>
      </c>
      <c r="P19" s="59">
        <f>O19-N19</f>
        <v/>
      </c>
      <c r="Q19" s="134" t="n"/>
      <c r="R19" s="134" t="n"/>
      <c r="S19" s="134" t="n"/>
      <c r="T19" s="134" t="n"/>
      <c r="U19" s="134" t="n"/>
      <c r="V19" s="134" t="n"/>
      <c r="W19" s="134" t="n"/>
      <c r="X19" s="53">
        <f>Y18</f>
        <v/>
      </c>
      <c r="Y19" s="53" t="n">
        <v>15</v>
      </c>
      <c r="Z19" s="54">
        <f>Y19-X19</f>
        <v/>
      </c>
      <c r="AA19" s="53" t="n"/>
      <c r="AB19" s="53" t="n"/>
      <c r="AC19" s="53" t="n"/>
      <c r="AD19" s="53" t="n"/>
      <c r="AE19" s="111">
        <f>AE18+C19-J19-T19-AA19</f>
        <v/>
      </c>
    </row>
    <row r="20">
      <c r="A20" s="40" t="n">
        <v>17</v>
      </c>
      <c r="B20" s="31">
        <f>B19+1</f>
        <v/>
      </c>
      <c r="C20" s="111" t="n"/>
      <c r="D20" s="61">
        <f>E19</f>
        <v/>
      </c>
      <c r="E20" s="61" t="n">
        <v>126</v>
      </c>
      <c r="F20" s="4">
        <f>E20-D20</f>
        <v/>
      </c>
      <c r="G20" s="5" t="n"/>
      <c r="H20" s="5" t="n"/>
      <c r="I20" s="5" t="n"/>
      <c r="J20" s="5" t="n"/>
      <c r="K20" s="5" t="n"/>
      <c r="L20" s="5" t="n"/>
      <c r="M20" s="5" t="n"/>
      <c r="N20" s="59">
        <f>O19</f>
        <v/>
      </c>
      <c r="O20" s="59" t="n">
        <v>321</v>
      </c>
      <c r="P20" s="59">
        <f>O20-N20</f>
        <v/>
      </c>
      <c r="Q20" s="134" t="n"/>
      <c r="R20" s="134" t="n"/>
      <c r="S20" s="134" t="n"/>
      <c r="T20" s="134" t="n"/>
      <c r="U20" s="134" t="n"/>
      <c r="V20" s="134" t="n"/>
      <c r="W20" s="134" t="n"/>
      <c r="X20" s="53">
        <f>Y19</f>
        <v/>
      </c>
      <c r="Y20" s="53" t="n">
        <v>15</v>
      </c>
      <c r="Z20" s="54">
        <f>Y20-X20</f>
        <v/>
      </c>
      <c r="AA20" s="53" t="n"/>
      <c r="AB20" s="53" t="n"/>
      <c r="AC20" s="53" t="n"/>
      <c r="AD20" s="53" t="n"/>
      <c r="AE20" s="111">
        <f>AE19+C20-J20-T20-AA20</f>
        <v/>
      </c>
    </row>
    <row r="21">
      <c r="A21" s="40" t="n">
        <v>18</v>
      </c>
      <c r="B21" s="31">
        <f>B20+1</f>
        <v/>
      </c>
      <c r="C21" s="111" t="n"/>
      <c r="D21" s="61">
        <f>E20</f>
        <v/>
      </c>
      <c r="E21" s="61" t="n">
        <v>132</v>
      </c>
      <c r="F21" s="4">
        <f>E21-D21</f>
        <v/>
      </c>
      <c r="G21" s="5" t="n"/>
      <c r="H21" s="5" t="n"/>
      <c r="I21" s="5" t="n"/>
      <c r="J21" s="5" t="n"/>
      <c r="K21" s="5" t="n"/>
      <c r="L21" s="5" t="n"/>
      <c r="M21" s="5" t="n"/>
      <c r="N21" s="59">
        <f>O20</f>
        <v/>
      </c>
      <c r="O21" s="59" t="n">
        <v>322</v>
      </c>
      <c r="P21" s="59">
        <f>O21-N21</f>
        <v/>
      </c>
      <c r="Q21" s="134" t="n"/>
      <c r="R21" s="134" t="n"/>
      <c r="S21" s="134" t="n"/>
      <c r="T21" s="134" t="n"/>
      <c r="U21" s="134" t="n"/>
      <c r="V21" s="134" t="n"/>
      <c r="W21" s="134" t="n"/>
      <c r="X21" s="53">
        <f>Y20</f>
        <v/>
      </c>
      <c r="Y21" s="53" t="n">
        <v>15</v>
      </c>
      <c r="Z21" s="54">
        <f>Y21-X21</f>
        <v/>
      </c>
      <c r="AA21" s="53" t="n"/>
      <c r="AB21" s="53" t="n"/>
      <c r="AC21" s="53" t="n"/>
      <c r="AD21" s="53" t="n"/>
      <c r="AE21" s="111">
        <f>AE20+C21-J21-T21-AA21</f>
        <v/>
      </c>
    </row>
    <row r="22">
      <c r="A22" s="40" t="n">
        <v>19</v>
      </c>
      <c r="B22" s="31">
        <f>B21+1</f>
        <v/>
      </c>
      <c r="C22" s="111" t="n"/>
      <c r="D22" s="61">
        <f>E21</f>
        <v/>
      </c>
      <c r="E22" s="61" t="n">
        <v>132</v>
      </c>
      <c r="F22" s="4">
        <f>E22-D22</f>
        <v/>
      </c>
      <c r="G22" s="5" t="n"/>
      <c r="H22" s="5" t="n"/>
      <c r="I22" s="5" t="n"/>
      <c r="J22" s="5" t="n"/>
      <c r="K22" s="5" t="n"/>
      <c r="L22" s="5" t="n"/>
      <c r="M22" s="5" t="n"/>
      <c r="N22" s="59">
        <f>O21</f>
        <v/>
      </c>
      <c r="O22" s="59" t="n">
        <v>324</v>
      </c>
      <c r="P22" s="59">
        <f>O22-N22</f>
        <v/>
      </c>
      <c r="Q22" s="134" t="n"/>
      <c r="R22" s="134" t="n"/>
      <c r="S22" s="134" t="n"/>
      <c r="T22" s="134" t="n"/>
      <c r="U22" s="134" t="n"/>
      <c r="V22" s="134" t="n"/>
      <c r="W22" s="134" t="n"/>
      <c r="X22" s="53">
        <f>Y21</f>
        <v/>
      </c>
      <c r="Y22" s="53" t="n">
        <v>15</v>
      </c>
      <c r="Z22" s="54">
        <f>Y22-X22</f>
        <v/>
      </c>
      <c r="AA22" s="53" t="n"/>
      <c r="AB22" s="53" t="n"/>
      <c r="AC22" s="53" t="n"/>
      <c r="AD22" s="53" t="n"/>
      <c r="AE22" s="111">
        <f>AE21+C22-J22-T22-AA22</f>
        <v/>
      </c>
    </row>
    <row r="23">
      <c r="A23" s="40" t="n">
        <v>20</v>
      </c>
      <c r="B23" s="31">
        <f>B22+1</f>
        <v/>
      </c>
      <c r="C23" s="111" t="n"/>
      <c r="D23" s="61">
        <f>E22</f>
        <v/>
      </c>
      <c r="E23" s="61" t="n">
        <v>136</v>
      </c>
      <c r="F23" s="4">
        <f>E23-D23</f>
        <v/>
      </c>
      <c r="G23" s="5" t="n"/>
      <c r="H23" s="5" t="n"/>
      <c r="I23" s="5" t="n"/>
      <c r="J23" s="5" t="n"/>
      <c r="K23" s="5" t="n"/>
      <c r="L23" s="5" t="n"/>
      <c r="M23" s="5" t="n"/>
      <c r="N23" s="59">
        <f>O22</f>
        <v/>
      </c>
      <c r="O23" s="59" t="n">
        <v>326</v>
      </c>
      <c r="P23" s="59">
        <f>O23-N23</f>
        <v/>
      </c>
      <c r="Q23" s="134" t="n"/>
      <c r="R23" s="134" t="n"/>
      <c r="S23" s="134" t="n"/>
      <c r="T23" s="134" t="n"/>
      <c r="U23" s="134" t="n"/>
      <c r="V23" s="134" t="n"/>
      <c r="W23" s="134" t="n"/>
      <c r="X23" s="53">
        <f>Y22</f>
        <v/>
      </c>
      <c r="Y23" s="53" t="n">
        <v>15</v>
      </c>
      <c r="Z23" s="54">
        <f>Y23-X23</f>
        <v/>
      </c>
      <c r="AA23" s="53" t="n"/>
      <c r="AB23" s="53" t="n"/>
      <c r="AC23" s="53" t="n"/>
      <c r="AD23" s="53" t="n"/>
      <c r="AE23" s="111">
        <f>AE22+C23-J23-T23-AA23</f>
        <v/>
      </c>
    </row>
    <row r="24">
      <c r="A24" s="40" t="n">
        <v>21</v>
      </c>
      <c r="B24" s="31">
        <f>B23+1</f>
        <v/>
      </c>
      <c r="C24" s="111" t="n"/>
      <c r="D24" s="61">
        <f>E23</f>
        <v/>
      </c>
      <c r="E24" s="61" t="n">
        <v>137</v>
      </c>
      <c r="F24" s="4">
        <f>E24-D24</f>
        <v/>
      </c>
      <c r="G24" s="5" t="n"/>
      <c r="H24" s="5" t="n"/>
      <c r="I24" s="5" t="n"/>
      <c r="J24" s="5" t="n"/>
      <c r="K24" s="5" t="n"/>
      <c r="L24" s="5" t="n"/>
      <c r="M24" s="5" t="n"/>
      <c r="N24" s="59">
        <f>O23</f>
        <v/>
      </c>
      <c r="O24" s="59" t="n">
        <v>330</v>
      </c>
      <c r="P24" s="59">
        <f>O24-N24</f>
        <v/>
      </c>
      <c r="Q24" s="134" t="n"/>
      <c r="R24" s="134" t="n"/>
      <c r="S24" s="134" t="n"/>
      <c r="T24" s="134" t="n"/>
      <c r="U24" s="134" t="n"/>
      <c r="V24" s="134" t="n"/>
      <c r="W24" s="134" t="n"/>
      <c r="X24" s="53">
        <f>Y23</f>
        <v/>
      </c>
      <c r="Y24" s="53" t="n">
        <v>15</v>
      </c>
      <c r="Z24" s="54">
        <f>Y24-X24</f>
        <v/>
      </c>
      <c r="AA24" s="53" t="n"/>
      <c r="AB24" s="53" t="n"/>
      <c r="AC24" s="53" t="n"/>
      <c r="AD24" s="53" t="n"/>
      <c r="AE24" s="111">
        <f>AE23+C24-J24-T24-AA24</f>
        <v/>
      </c>
    </row>
    <row r="25">
      <c r="A25" s="40" t="n">
        <v>22</v>
      </c>
      <c r="B25" s="31">
        <f>B24+1</f>
        <v/>
      </c>
      <c r="C25" s="111" t="n"/>
      <c r="D25" s="61">
        <f>E24</f>
        <v/>
      </c>
      <c r="E25" s="61" t="n">
        <v>140</v>
      </c>
      <c r="F25" s="4">
        <f>E25-D25</f>
        <v/>
      </c>
      <c r="G25" s="5" t="n"/>
      <c r="H25" s="5" t="n"/>
      <c r="I25" s="5" t="n"/>
      <c r="J25" s="5" t="n"/>
      <c r="K25" s="5" t="n"/>
      <c r="L25" s="5" t="n"/>
      <c r="M25" s="5" t="n"/>
      <c r="N25" s="59">
        <f>O24</f>
        <v/>
      </c>
      <c r="O25" s="59" t="n">
        <v>338</v>
      </c>
      <c r="P25" s="59">
        <f>O25-N25</f>
        <v/>
      </c>
      <c r="Q25" s="134" t="n"/>
      <c r="R25" s="134" t="n"/>
      <c r="S25" s="134" t="n"/>
      <c r="T25" s="134" t="n"/>
      <c r="U25" s="134" t="n"/>
      <c r="V25" s="134" t="n"/>
      <c r="W25" s="134" t="n"/>
      <c r="X25" s="53">
        <f>Y24</f>
        <v/>
      </c>
      <c r="Y25" s="53" t="n">
        <v>15</v>
      </c>
      <c r="Z25" s="54">
        <f>Y25-X25</f>
        <v/>
      </c>
      <c r="AA25" s="53" t="n"/>
      <c r="AB25" s="53" t="n"/>
      <c r="AC25" s="53" t="n"/>
      <c r="AD25" s="53" t="n"/>
      <c r="AE25" s="111">
        <f>AE24+C25-J25-T25-AA25</f>
        <v/>
      </c>
    </row>
    <row r="26">
      <c r="A26" s="40" t="n">
        <v>23</v>
      </c>
      <c r="B26" s="31">
        <f>B25+1</f>
        <v/>
      </c>
      <c r="C26" s="111" t="n"/>
      <c r="D26" s="61">
        <f>E25</f>
        <v/>
      </c>
      <c r="E26" s="61" t="n">
        <v>140</v>
      </c>
      <c r="F26" s="4">
        <f>E26-D26</f>
        <v/>
      </c>
      <c r="G26" s="5" t="n"/>
      <c r="H26" s="5" t="n"/>
      <c r="I26" s="5" t="n"/>
      <c r="J26" s="5" t="n"/>
      <c r="K26" s="5" t="n"/>
      <c r="L26" s="5" t="n"/>
      <c r="M26" s="5" t="n"/>
      <c r="N26" s="59">
        <f>O25</f>
        <v/>
      </c>
      <c r="O26" s="59" t="n">
        <v>342</v>
      </c>
      <c r="P26" s="59">
        <f>O26-N26</f>
        <v/>
      </c>
      <c r="Q26" s="134" t="n"/>
      <c r="R26" s="134" t="n"/>
      <c r="S26" s="134" t="n"/>
      <c r="T26" s="134" t="n"/>
      <c r="U26" s="134" t="n"/>
      <c r="V26" s="134" t="n"/>
      <c r="W26" s="134" t="n"/>
      <c r="X26" s="53">
        <f>Y25</f>
        <v/>
      </c>
      <c r="Y26" s="53" t="n">
        <v>27</v>
      </c>
      <c r="Z26" s="54">
        <f>Y26-X26</f>
        <v/>
      </c>
      <c r="AA26" s="53" t="n"/>
      <c r="AB26" s="53" t="n"/>
      <c r="AC26" s="53" t="n"/>
      <c r="AD26" s="53" t="n"/>
      <c r="AE26" s="111">
        <f>AE25+C26-J26-T26-AA26</f>
        <v/>
      </c>
    </row>
    <row r="27">
      <c r="A27" s="40" t="n">
        <v>24</v>
      </c>
      <c r="B27" s="31">
        <f>B26+1</f>
        <v/>
      </c>
      <c r="C27" s="111" t="n"/>
      <c r="D27" s="61">
        <f>E26</f>
        <v/>
      </c>
      <c r="E27" s="61" t="n">
        <v>140</v>
      </c>
      <c r="F27" s="4">
        <f>E27-D27</f>
        <v/>
      </c>
      <c r="G27" s="5" t="n"/>
      <c r="H27" s="5" t="n"/>
      <c r="I27" s="5" t="n"/>
      <c r="J27" s="5" t="n"/>
      <c r="K27" s="5" t="n"/>
      <c r="L27" s="5" t="n"/>
      <c r="M27" s="5" t="n"/>
      <c r="N27" s="59">
        <f>O26</f>
        <v/>
      </c>
      <c r="O27" s="59" t="n">
        <v>344</v>
      </c>
      <c r="P27" s="59">
        <f>O27-N27</f>
        <v/>
      </c>
      <c r="Q27" s="134" t="n"/>
      <c r="R27" s="134" t="n"/>
      <c r="S27" s="134" t="n"/>
      <c r="T27" s="134" t="n"/>
      <c r="U27" s="134" t="n"/>
      <c r="V27" s="134" t="n"/>
      <c r="W27" s="134" t="n"/>
      <c r="X27" s="53">
        <f>Y26</f>
        <v/>
      </c>
      <c r="Y27" s="53" t="n">
        <v>27</v>
      </c>
      <c r="Z27" s="54">
        <f>Y27-X27</f>
        <v/>
      </c>
      <c r="AA27" s="53" t="n"/>
      <c r="AB27" s="53" t="n"/>
      <c r="AC27" s="53" t="n"/>
      <c r="AD27" s="53" t="n"/>
      <c r="AE27" s="111">
        <f>AE26+C27-J27-T27-AA27</f>
        <v/>
      </c>
    </row>
    <row r="28">
      <c r="A28" s="40" t="n">
        <v>25</v>
      </c>
      <c r="B28" s="31">
        <f>B27+1</f>
        <v/>
      </c>
      <c r="C28" s="111" t="n"/>
      <c r="D28" s="61">
        <f>E27</f>
        <v/>
      </c>
      <c r="E28" s="61" t="n">
        <v>140</v>
      </c>
      <c r="F28" s="4">
        <f>E28-D28</f>
        <v/>
      </c>
      <c r="G28" s="5" t="n"/>
      <c r="H28" s="5" t="n"/>
      <c r="I28" s="5" t="n"/>
      <c r="J28" s="5" t="n"/>
      <c r="K28" s="5" t="n"/>
      <c r="L28" s="5" t="n"/>
      <c r="M28" s="5" t="n"/>
      <c r="N28" s="59">
        <f>O27</f>
        <v/>
      </c>
      <c r="O28" s="59" t="n">
        <v>348</v>
      </c>
      <c r="P28" s="59">
        <f>O28-N28</f>
        <v/>
      </c>
      <c r="Q28" s="134" t="n"/>
      <c r="R28" s="134" t="n"/>
      <c r="S28" s="134" t="n"/>
      <c r="T28" s="134" t="n"/>
      <c r="U28" s="134" t="n"/>
      <c r="V28" s="134" t="n"/>
      <c r="W28" s="134" t="n"/>
      <c r="X28" s="53">
        <f>Y27</f>
        <v/>
      </c>
      <c r="Y28" s="53" t="n">
        <v>27</v>
      </c>
      <c r="Z28" s="54">
        <f>Y28-X28</f>
        <v/>
      </c>
      <c r="AA28" s="53" t="n"/>
      <c r="AB28" s="53" t="n"/>
      <c r="AC28" s="53" t="n"/>
      <c r="AD28" s="53" t="n"/>
      <c r="AE28" s="111">
        <f>AE27+C28-J28-T28-AA28</f>
        <v/>
      </c>
    </row>
    <row r="29">
      <c r="A29" s="40" t="n">
        <v>26</v>
      </c>
      <c r="B29" s="31">
        <f>B28+1</f>
        <v/>
      </c>
      <c r="C29" s="111" t="n"/>
      <c r="D29" s="61">
        <f>E28</f>
        <v/>
      </c>
      <c r="E29" s="61" t="n">
        <v>141</v>
      </c>
      <c r="F29" s="4">
        <f>E29-D29</f>
        <v/>
      </c>
      <c r="G29" s="5" t="n"/>
      <c r="H29" s="5" t="n"/>
      <c r="I29" s="5" t="n"/>
      <c r="J29" s="5" t="n"/>
      <c r="K29" s="5" t="n"/>
      <c r="L29" s="5" t="n"/>
      <c r="M29" s="5" t="n"/>
      <c r="N29" s="59">
        <f>O28</f>
        <v/>
      </c>
      <c r="O29" s="59" t="n">
        <v>349</v>
      </c>
      <c r="P29" s="59">
        <f>O29-N29</f>
        <v/>
      </c>
      <c r="Q29" s="134" t="n"/>
      <c r="R29" s="134" t="n"/>
      <c r="S29" s="134" t="n"/>
      <c r="T29" s="134" t="n"/>
      <c r="U29" s="134" t="n"/>
      <c r="V29" s="134" t="n"/>
      <c r="W29" s="134" t="n"/>
      <c r="X29" s="53">
        <f>Y28</f>
        <v/>
      </c>
      <c r="Y29" s="53" t="n">
        <v>30</v>
      </c>
      <c r="Z29" s="54">
        <f>Y29-X29</f>
        <v/>
      </c>
      <c r="AA29" s="53" t="n"/>
      <c r="AB29" s="53" t="n"/>
      <c r="AC29" s="53" t="n"/>
      <c r="AD29" s="53" t="n"/>
      <c r="AE29" s="111">
        <f>AE28+C29-J29-T29-AA29</f>
        <v/>
      </c>
    </row>
    <row r="30">
      <c r="A30" s="40" t="n">
        <v>27</v>
      </c>
      <c r="B30" s="31">
        <f>B29+1</f>
        <v/>
      </c>
      <c r="C30" s="111" t="n"/>
      <c r="D30" s="61">
        <f>E29</f>
        <v/>
      </c>
      <c r="E30" s="61" t="n">
        <v>144</v>
      </c>
      <c r="F30" s="4">
        <f>E30-D30</f>
        <v/>
      </c>
      <c r="G30" s="5" t="n"/>
      <c r="H30" s="5" t="n"/>
      <c r="I30" s="5" t="n"/>
      <c r="J30" s="5" t="n"/>
      <c r="K30" s="5" t="n"/>
      <c r="L30" s="5" t="n"/>
      <c r="M30" s="5" t="n"/>
      <c r="N30" s="59">
        <f>O29</f>
        <v/>
      </c>
      <c r="O30" s="59" t="n">
        <v>349</v>
      </c>
      <c r="P30" s="59">
        <f>O30-N30</f>
        <v/>
      </c>
      <c r="Q30" s="134" t="n"/>
      <c r="R30" s="134" t="n"/>
      <c r="S30" s="134" t="n"/>
      <c r="T30" s="134" t="n"/>
      <c r="U30" s="134" t="n"/>
      <c r="V30" s="134" t="n"/>
      <c r="W30" s="134" t="n"/>
      <c r="X30" s="53">
        <f>Y29</f>
        <v/>
      </c>
      <c r="Y30" s="53" t="n">
        <v>30</v>
      </c>
      <c r="Z30" s="54">
        <f>Y30-X30</f>
        <v/>
      </c>
      <c r="AA30" s="53" t="n"/>
      <c r="AB30" s="53" t="n"/>
      <c r="AC30" s="53" t="n"/>
      <c r="AD30" s="53" t="n"/>
      <c r="AE30" s="111">
        <f>AE29+C30-J30-T30-AA30</f>
        <v/>
      </c>
    </row>
    <row r="31">
      <c r="A31" s="40" t="n">
        <v>28</v>
      </c>
      <c r="B31" s="31">
        <f>B30+1</f>
        <v/>
      </c>
      <c r="C31" s="112" t="n">
        <v>1400</v>
      </c>
      <c r="D31" s="61">
        <f>E30</f>
        <v/>
      </c>
      <c r="E31" s="61" t="n">
        <v>146</v>
      </c>
      <c r="F31" s="4">
        <f>E31-D31</f>
        <v/>
      </c>
      <c r="G31" s="5" t="n"/>
      <c r="H31" s="5" t="n"/>
      <c r="I31" s="5" t="n"/>
      <c r="J31" s="5" t="n">
        <v>490</v>
      </c>
      <c r="K31" s="5" t="n">
        <v>145</v>
      </c>
      <c r="L31" s="5">
        <f>K31-K15</f>
        <v/>
      </c>
      <c r="M31" s="5">
        <f>J31/L31</f>
        <v/>
      </c>
      <c r="N31" s="59">
        <f>O30</f>
        <v/>
      </c>
      <c r="O31" s="59" t="n">
        <v>352</v>
      </c>
      <c r="P31" s="59">
        <f>O31-N31</f>
        <v/>
      </c>
      <c r="Q31" s="134" t="n"/>
      <c r="R31" s="134" t="n"/>
      <c r="S31" s="134" t="n"/>
      <c r="T31" s="134" t="n">
        <v>530</v>
      </c>
      <c r="U31" s="134" t="n">
        <v>350</v>
      </c>
      <c r="V31" s="134">
        <f>U31-U15</f>
        <v/>
      </c>
      <c r="W31" s="134">
        <f>T31/V31</f>
        <v/>
      </c>
      <c r="X31" s="53">
        <f>Y30</f>
        <v/>
      </c>
      <c r="Y31" s="53" t="n">
        <v>30</v>
      </c>
      <c r="Z31" s="54">
        <f>Y31-X31</f>
        <v/>
      </c>
      <c r="AA31" s="53" t="n"/>
      <c r="AB31" s="53" t="n"/>
      <c r="AC31" s="53" t="n"/>
      <c r="AD31" s="53" t="n"/>
      <c r="AE31" s="111">
        <f>AE30+C31-J31-T31-AA31</f>
        <v/>
      </c>
    </row>
    <row r="32">
      <c r="A32" s="40" t="n">
        <v>29</v>
      </c>
      <c r="B32" s="31">
        <f>B31+1</f>
        <v/>
      </c>
      <c r="C32" s="111" t="n"/>
      <c r="D32" s="61">
        <f>E31</f>
        <v/>
      </c>
      <c r="E32" s="61" t="n">
        <v>147</v>
      </c>
      <c r="F32" s="4">
        <f>E32-D32</f>
        <v/>
      </c>
      <c r="G32" s="5" t="n"/>
      <c r="H32" s="5" t="n"/>
      <c r="I32" s="5" t="n"/>
      <c r="J32" s="5" t="n"/>
      <c r="K32" s="5" t="n"/>
      <c r="L32" s="5" t="n"/>
      <c r="M32" s="5" t="n"/>
      <c r="N32" s="59">
        <f>O31</f>
        <v/>
      </c>
      <c r="O32" s="59" t="n">
        <v>352</v>
      </c>
      <c r="P32" s="59">
        <f>O32-N32</f>
        <v/>
      </c>
      <c r="Q32" s="134" t="n"/>
      <c r="R32" s="134" t="n"/>
      <c r="S32" s="134" t="n"/>
      <c r="T32" s="134" t="n"/>
      <c r="U32" s="134" t="n"/>
      <c r="V32" s="134" t="n"/>
      <c r="W32" s="134" t="n"/>
      <c r="X32" s="53">
        <f>Y31</f>
        <v/>
      </c>
      <c r="Y32" s="53" t="n">
        <v>30</v>
      </c>
      <c r="Z32" s="54">
        <f>Y32-X32</f>
        <v/>
      </c>
      <c r="AA32" s="53" t="n"/>
      <c r="AB32" s="53" t="n"/>
      <c r="AC32" s="53" t="n"/>
      <c r="AD32" s="53" t="n"/>
      <c r="AE32" s="111">
        <f>AE31+C32-J32-T32-AA32</f>
        <v/>
      </c>
    </row>
    <row r="33">
      <c r="A33" s="40" t="n">
        <v>30</v>
      </c>
      <c r="B33" s="31">
        <f>B32+1</f>
        <v/>
      </c>
      <c r="C33" s="111" t="n"/>
      <c r="D33" s="61">
        <f>E32</f>
        <v/>
      </c>
      <c r="E33" s="61" t="n">
        <v>147</v>
      </c>
      <c r="F33" s="4">
        <f>E33-D33</f>
        <v/>
      </c>
      <c r="G33" s="5" t="n"/>
      <c r="H33" s="5" t="n"/>
      <c r="I33" s="5" t="n"/>
      <c r="J33" s="5" t="n"/>
      <c r="K33" s="5" t="n"/>
      <c r="L33" s="5" t="n"/>
      <c r="M33" s="5" t="n"/>
      <c r="N33" s="59">
        <f>O32</f>
        <v/>
      </c>
      <c r="O33" s="59" t="n">
        <v>353</v>
      </c>
      <c r="P33" s="59">
        <f>O33-N33</f>
        <v/>
      </c>
      <c r="Q33" s="134" t="n"/>
      <c r="R33" s="134" t="n"/>
      <c r="S33" s="134" t="n"/>
      <c r="T33" s="134" t="n"/>
      <c r="U33" s="134" t="n"/>
      <c r="V33" s="134" t="n"/>
      <c r="W33" s="134" t="n"/>
      <c r="X33" s="53">
        <f>Y32</f>
        <v/>
      </c>
      <c r="Y33" s="53" t="n">
        <v>30</v>
      </c>
      <c r="Z33" s="54">
        <f>Y33-X33</f>
        <v/>
      </c>
      <c r="AA33" s="55" t="n"/>
      <c r="AB33" s="55" t="n"/>
      <c r="AC33" s="55" t="n"/>
      <c r="AD33" s="56" t="n"/>
      <c r="AE33" s="111">
        <f>AE32+C33-J33-T33-AA33</f>
        <v/>
      </c>
    </row>
    <row r="34" ht="15.75" customHeight="1">
      <c r="A34" s="141" t="inlineStr">
        <is>
          <t>TOTAL</t>
        </is>
      </c>
      <c r="B34" s="125" t="n"/>
      <c r="C34" s="121">
        <f>SUM(C4:C33)</f>
        <v/>
      </c>
      <c r="D34" s="32" t="n"/>
      <c r="E34" s="32" t="n"/>
      <c r="F34" s="32">
        <f>SUBTOTAL(9,F4:F33)</f>
        <v/>
      </c>
      <c r="G34" s="32" t="n"/>
      <c r="H34" s="32" t="n"/>
      <c r="I34" s="32" t="inlineStr">
        <is>
          <t>No B/D</t>
        </is>
      </c>
      <c r="J34" s="62">
        <f>SUBTOTAL(9,J4:J33)</f>
        <v/>
      </c>
      <c r="K34" s="32" t="n"/>
      <c r="L34" s="62">
        <f>SUBTOTAL(9,L4:L33)</f>
        <v/>
      </c>
      <c r="M34" s="32">
        <f>J34/L34</f>
        <v/>
      </c>
      <c r="N34" s="32" t="n"/>
      <c r="O34" s="32" t="n"/>
      <c r="P34" s="62">
        <f>SUBTOTAL(9,P4:P33)</f>
        <v/>
      </c>
      <c r="Q34" s="32" t="n"/>
      <c r="R34" s="32" t="n"/>
      <c r="S34" s="32" t="inlineStr">
        <is>
          <t>No B/D</t>
        </is>
      </c>
      <c r="T34" s="62">
        <f>SUBTOTAL(9,T4:T33)</f>
        <v/>
      </c>
      <c r="U34" s="32" t="n"/>
      <c r="V34" s="62">
        <f>SUBTOTAL(9,V4:V33)</f>
        <v/>
      </c>
      <c r="W34" s="32">
        <f>T34/V34</f>
        <v/>
      </c>
      <c r="X34" s="57" t="n"/>
      <c r="Y34" s="57" t="n"/>
      <c r="Z34" s="62">
        <f>SUM(Z4:Z33)</f>
        <v/>
      </c>
      <c r="AA34" s="62">
        <f>SUBTOTAL(9,AA4:AA33)</f>
        <v/>
      </c>
      <c r="AB34" s="32" t="n"/>
      <c r="AC34" s="57" t="n"/>
      <c r="AD34" s="32" t="inlineStr">
        <is>
          <t>No B/D</t>
        </is>
      </c>
      <c r="AE34" s="113">
        <f>AE33</f>
        <v/>
      </c>
    </row>
    <row r="35">
      <c r="AE35" t="n">
        <v>200</v>
      </c>
      <c r="AF35" t="inlineStr">
        <is>
          <t>SANY MACHINE ME 200 LTR DIESEL FILL KIYA 24-06-2026</t>
        </is>
      </c>
    </row>
    <row r="36">
      <c r="AD36" t="inlineStr">
        <is>
          <t>DIESEL BALANCE</t>
        </is>
      </c>
      <c r="AE36" s="108">
        <f>AE34-AE35</f>
        <v/>
      </c>
    </row>
    <row r="38">
      <c r="W38">
        <f>2320+1400</f>
        <v/>
      </c>
      <c r="AE38" s="108" t="n"/>
    </row>
    <row r="39">
      <c r="W39">
        <f>710+920</f>
        <v/>
      </c>
    </row>
    <row r="40">
      <c r="W40">
        <f>W38-W39</f>
        <v/>
      </c>
    </row>
  </sheetData>
  <mergeCells count="7">
    <mergeCell ref="A1:M1"/>
    <mergeCell ref="D2:E2"/>
    <mergeCell ref="N2:O2"/>
    <mergeCell ref="N1:W1"/>
    <mergeCell ref="X1:AA1"/>
    <mergeCell ref="A34:B34"/>
    <mergeCell ref="AB1:AD1"/>
  </mergeCells>
  <conditionalFormatting sqref="A34">
    <cfRule type="duplicateValues" priority="1"/>
  </conditionalFormatting>
  <pageMargins left="0.7" right="0.7" top="0.75" bottom="0.75" header="0.3" footer="0.3"/>
</worksheet>
</file>

<file path=xl/worksheets/sheet6.xml><?xml version="1.0" encoding="utf-8"?>
<worksheet xmlns="http://schemas.openxmlformats.org/spreadsheetml/2006/main">
  <sheetPr codeName="Sheet6">
    <outlinePr summaryBelow="1" summaryRight="1"/>
    <pageSetUpPr fitToPage="1"/>
  </sheetPr>
  <dimension ref="A1:AA49"/>
  <sheetViews>
    <sheetView topLeftCell="A22" workbookViewId="0">
      <selection activeCell="G34" sqref="G34"/>
    </sheetView>
  </sheetViews>
  <sheetFormatPr baseColWidth="8" defaultRowHeight="15"/>
  <cols>
    <col width="10" customWidth="1" min="1" max="1"/>
    <col width="13.7109375" bestFit="1" customWidth="1" min="2" max="2"/>
    <col width="14" bestFit="1" customWidth="1" min="3" max="3"/>
    <col width="13.7109375" bestFit="1" customWidth="1" min="4" max="4"/>
    <col width="14" bestFit="1" customWidth="1" min="5" max="5"/>
    <col width="11.5703125" customWidth="1" min="6" max="6"/>
    <col width="14.28515625" bestFit="1" customWidth="1" min="7" max="7"/>
    <col width="21.7109375" bestFit="1" customWidth="1" min="8" max="8"/>
    <col width="15.5703125" bestFit="1" customWidth="1" min="9" max="9"/>
    <col width="10" customWidth="1" min="10" max="10"/>
    <col width="17.7109375" customWidth="1" min="11" max="11"/>
    <col width="14" bestFit="1" customWidth="1" min="12" max="12"/>
    <col width="13.7109375" bestFit="1" customWidth="1" min="13" max="13"/>
    <col width="14" bestFit="1" customWidth="1" min="14" max="14"/>
    <col width="10.140625" bestFit="1" customWidth="1" min="15" max="15"/>
    <col width="14.28515625" bestFit="1" customWidth="1" min="16" max="16"/>
    <col width="21.7109375" bestFit="1" customWidth="1" min="17" max="17"/>
    <col width="15.5703125" bestFit="1" customWidth="1" min="18" max="18"/>
    <col width="10" customWidth="1" min="19" max="19"/>
    <col width="17.7109375" customWidth="1" min="20" max="20"/>
    <col width="14" bestFit="1" customWidth="1" min="21" max="21"/>
    <col width="13.7109375" bestFit="1" customWidth="1" min="22" max="22"/>
    <col width="18" customWidth="1" min="23" max="23"/>
    <col width="14" customWidth="1" min="24" max="24"/>
    <col width="12" customWidth="1" min="25" max="25"/>
    <col width="21.7109375" bestFit="1" customWidth="1" min="26" max="26"/>
    <col width="18" customWidth="1" min="27" max="27"/>
  </cols>
  <sheetData>
    <row r="1">
      <c r="A1" s="124" t="inlineStr">
        <is>
          <t>Ekta Enterprises</t>
        </is>
      </c>
      <c r="B1" s="125" t="n"/>
      <c r="C1" s="125" t="n"/>
      <c r="D1" s="125" t="n"/>
      <c r="E1" s="125" t="n"/>
      <c r="F1" s="125" t="n"/>
      <c r="G1" s="125" t="n"/>
      <c r="H1" s="125" t="n"/>
      <c r="I1" s="126" t="n"/>
      <c r="J1" s="127" t="inlineStr">
        <is>
          <t>Ekta Enterprises</t>
        </is>
      </c>
      <c r="K1" s="125" t="n"/>
      <c r="L1" s="125" t="n"/>
      <c r="M1" s="125" t="n"/>
      <c r="N1" s="125" t="n"/>
      <c r="O1" s="125" t="n"/>
      <c r="P1" s="125" t="n"/>
      <c r="Q1" s="125" t="n"/>
      <c r="R1" s="126" t="n"/>
      <c r="S1" s="127" t="inlineStr">
        <is>
          <t>Ekta Enterprises</t>
        </is>
      </c>
      <c r="T1" s="125" t="n"/>
      <c r="U1" s="125" t="n"/>
      <c r="V1" s="125" t="n"/>
      <c r="W1" s="125" t="n"/>
      <c r="X1" s="125" t="n"/>
      <c r="Y1" s="125" t="n"/>
      <c r="Z1" s="125" t="n"/>
      <c r="AA1" s="126" t="n"/>
    </row>
    <row r="2">
      <c r="A2" s="124" t="inlineStr">
        <is>
          <t>REACH STACKER NO. XCMG-2-Diesel Cap - 19 Liters Per Hour</t>
        </is>
      </c>
      <c r="B2" s="125" t="n"/>
      <c r="C2" s="125" t="n"/>
      <c r="D2" s="125" t="n"/>
      <c r="E2" s="125" t="n"/>
      <c r="F2" s="126" t="n"/>
      <c r="G2" s="128" t="n">
        <v>46174</v>
      </c>
      <c r="H2" s="125" t="n"/>
      <c r="I2" s="126" t="n"/>
      <c r="J2" s="127" t="inlineStr">
        <is>
          <t>REACH STACKER NO. XCMG-1-Diesel Cap - 19 Liters Per Hour</t>
        </is>
      </c>
      <c r="K2" s="125" t="n"/>
      <c r="L2" s="125" t="n"/>
      <c r="M2" s="125" t="n"/>
      <c r="N2" s="125" t="n"/>
      <c r="O2" s="126" t="n"/>
      <c r="P2" s="128" t="n">
        <v>46174</v>
      </c>
      <c r="Q2" s="125" t="n"/>
      <c r="R2" s="126" t="n"/>
      <c r="S2" s="127" t="inlineStr">
        <is>
          <t>REACH STACKER NO. Fork Lift 35 Ton-Diesel Cap - 17 Liters Per Hour</t>
        </is>
      </c>
      <c r="T2" s="125" t="n"/>
      <c r="U2" s="125" t="n"/>
      <c r="V2" s="125" t="n"/>
      <c r="W2" s="125" t="n"/>
      <c r="X2" s="126" t="n"/>
      <c r="Y2" s="128" t="n">
        <v>46174</v>
      </c>
      <c r="Z2" s="125" t="n"/>
      <c r="AA2" s="126" t="n"/>
    </row>
    <row r="3">
      <c r="A3" s="124" t="inlineStr">
        <is>
          <t>LOCATION : JSW AARKONAM</t>
        </is>
      </c>
      <c r="B3" s="125" t="n"/>
      <c r="C3" s="125" t="n"/>
      <c r="D3" s="125" t="n"/>
      <c r="E3" s="125" t="n"/>
      <c r="F3" s="125" t="n"/>
      <c r="G3" s="125" t="n"/>
      <c r="H3" s="125" t="n"/>
      <c r="I3" s="126" t="n"/>
      <c r="J3" s="127" t="inlineStr">
        <is>
          <t>LOCATION : JSW AARKONAM</t>
        </is>
      </c>
      <c r="K3" s="125" t="n"/>
      <c r="L3" s="125" t="n"/>
      <c r="M3" s="125" t="n"/>
      <c r="N3" s="125" t="n"/>
      <c r="O3" s="125" t="n"/>
      <c r="P3" s="125" t="n"/>
      <c r="Q3" s="125" t="n"/>
      <c r="R3" s="126" t="n"/>
      <c r="S3" s="127" t="inlineStr">
        <is>
          <t>LOCATION : JSW AARKONAM</t>
        </is>
      </c>
      <c r="T3" s="125" t="n"/>
      <c r="U3" s="125" t="n"/>
      <c r="V3" s="125" t="n"/>
      <c r="W3" s="125" t="n"/>
      <c r="X3" s="125" t="n"/>
      <c r="Y3" s="125" t="n"/>
      <c r="Z3" s="125" t="n"/>
      <c r="AA3" s="126" t="n"/>
    </row>
    <row r="4">
      <c r="A4" s="124" t="inlineStr">
        <is>
          <t>DATE</t>
        </is>
      </c>
      <c r="B4" s="124" t="inlineStr">
        <is>
          <t>ACTIVITY</t>
        </is>
      </c>
      <c r="C4" s="124" t="inlineStr">
        <is>
          <t>OPERING HMR</t>
        </is>
      </c>
      <c r="D4" s="124" t="inlineStr">
        <is>
          <t>CLOSING HMR</t>
        </is>
      </c>
      <c r="E4" s="124" t="inlineStr">
        <is>
          <t>Running Hours</t>
        </is>
      </c>
      <c r="F4" s="124" t="inlineStr">
        <is>
          <t>BD HOURS</t>
        </is>
      </c>
      <c r="G4" s="124" t="inlineStr">
        <is>
          <t>DIESEL</t>
        </is>
      </c>
      <c r="H4" s="124" t="inlineStr">
        <is>
          <t>OPERATOR SIGNATURE</t>
        </is>
      </c>
      <c r="I4" s="124" t="inlineStr">
        <is>
          <t>JSW SIGNATURE</t>
        </is>
      </c>
      <c r="J4" s="127" t="inlineStr">
        <is>
          <t>DATE</t>
        </is>
      </c>
      <c r="K4" s="127" t="inlineStr">
        <is>
          <t>ACTIVITY</t>
        </is>
      </c>
      <c r="L4" s="127" t="inlineStr">
        <is>
          <t>OPERING HMR</t>
        </is>
      </c>
      <c r="M4" s="127" t="inlineStr">
        <is>
          <t>CLOSING HMR</t>
        </is>
      </c>
      <c r="N4" s="127" t="inlineStr">
        <is>
          <t>Running Hours</t>
        </is>
      </c>
      <c r="O4" s="127" t="inlineStr">
        <is>
          <t>BD HOURS</t>
        </is>
      </c>
      <c r="P4" s="127" t="inlineStr">
        <is>
          <t>DIESEL</t>
        </is>
      </c>
      <c r="Q4" s="124" t="inlineStr">
        <is>
          <t>OPERATOR SIGNATURE</t>
        </is>
      </c>
      <c r="R4" s="124" t="inlineStr">
        <is>
          <t>JSW SIGNATURE</t>
        </is>
      </c>
      <c r="S4" s="127" t="inlineStr">
        <is>
          <t>DATE</t>
        </is>
      </c>
      <c r="T4" s="127" t="inlineStr">
        <is>
          <t>ACTIVITY</t>
        </is>
      </c>
      <c r="U4" s="127" t="inlineStr">
        <is>
          <t>OPERING HMR</t>
        </is>
      </c>
      <c r="V4" s="127" t="inlineStr">
        <is>
          <t>CLOSING HMR</t>
        </is>
      </c>
      <c r="W4" s="127" t="inlineStr">
        <is>
          <t>Running Hours</t>
        </is>
      </c>
      <c r="X4" s="127" t="inlineStr">
        <is>
          <t>BD HOURS</t>
        </is>
      </c>
      <c r="Y4" s="127" t="inlineStr">
        <is>
          <t>DIESEL</t>
        </is>
      </c>
      <c r="Z4" s="124" t="inlineStr">
        <is>
          <t>OPERATOR SIGNATURE</t>
        </is>
      </c>
      <c r="AA4" s="124" t="inlineStr">
        <is>
          <t>JSW SIGNATURE</t>
        </is>
      </c>
    </row>
    <row r="5">
      <c r="A5" s="80" t="n">
        <v>46174</v>
      </c>
      <c r="B5" s="81" t="n"/>
      <c r="C5" s="81" t="n">
        <v>281</v>
      </c>
      <c r="D5" s="81" t="n">
        <v>286</v>
      </c>
      <c r="E5" s="81">
        <f>D5-C5</f>
        <v/>
      </c>
      <c r="F5" s="81" t="n"/>
      <c r="G5" s="81" t="n"/>
      <c r="H5" s="81" t="n"/>
      <c r="I5" s="81" t="n"/>
      <c r="J5" s="80" t="n">
        <v>46174</v>
      </c>
      <c r="K5" s="81" t="n"/>
      <c r="L5" s="87" t="n">
        <v>76</v>
      </c>
      <c r="M5" s="84" t="n">
        <v>82</v>
      </c>
      <c r="N5" s="85">
        <f>M5-L5</f>
        <v/>
      </c>
      <c r="O5" s="83" t="n"/>
      <c r="P5" s="86" t="n"/>
      <c r="Q5" s="86" t="n"/>
      <c r="R5" s="83" t="n"/>
      <c r="S5" s="80" t="n">
        <v>46174</v>
      </c>
      <c r="T5" s="83" t="n"/>
      <c r="U5" s="115" t="n">
        <v>13</v>
      </c>
      <c r="V5" s="84" t="n">
        <v>13</v>
      </c>
      <c r="W5" s="85">
        <f>V5-U5</f>
        <v/>
      </c>
      <c r="X5" s="83" t="n"/>
      <c r="Y5" s="86" t="n"/>
      <c r="Z5" s="86" t="n"/>
      <c r="AA5" s="83" t="n"/>
    </row>
    <row r="6">
      <c r="A6" s="80">
        <f>A5+1</f>
        <v/>
      </c>
      <c r="B6" s="81" t="n"/>
      <c r="C6" s="81">
        <f>D5</f>
        <v/>
      </c>
      <c r="D6" s="81" t="n">
        <v>286</v>
      </c>
      <c r="E6" s="81">
        <f>D6-C6</f>
        <v/>
      </c>
      <c r="F6" s="81" t="n"/>
      <c r="G6" s="81" t="n"/>
      <c r="H6" s="81" t="n"/>
      <c r="I6" s="81" t="n"/>
      <c r="J6" s="80">
        <f>J5+1</f>
        <v/>
      </c>
      <c r="K6" s="81" t="n"/>
      <c r="L6" s="87">
        <f>M5</f>
        <v/>
      </c>
      <c r="M6" s="84" t="n">
        <v>85</v>
      </c>
      <c r="N6" s="85">
        <f>M6-L6</f>
        <v/>
      </c>
      <c r="O6" s="83" t="n"/>
      <c r="P6" s="83" t="n"/>
      <c r="Q6" s="83" t="n"/>
      <c r="R6" s="83" t="n"/>
      <c r="S6" s="80">
        <f>S5+1</f>
        <v/>
      </c>
      <c r="T6" s="83" t="n"/>
      <c r="U6" s="87">
        <f>V5</f>
        <v/>
      </c>
      <c r="V6" s="84" t="n">
        <v>13</v>
      </c>
      <c r="W6" s="85">
        <f>V6-U6</f>
        <v/>
      </c>
      <c r="X6" s="83" t="n"/>
      <c r="Y6" s="83" t="n"/>
      <c r="Z6" s="83" t="n"/>
      <c r="AA6" s="83" t="n"/>
    </row>
    <row r="7">
      <c r="A7" s="80">
        <f>A6+1</f>
        <v/>
      </c>
      <c r="B7" s="81" t="n"/>
      <c r="C7" s="81">
        <f>D6</f>
        <v/>
      </c>
      <c r="D7" s="81" t="n">
        <v>287</v>
      </c>
      <c r="E7" s="81">
        <f>D7-C7</f>
        <v/>
      </c>
      <c r="F7" s="81" t="n"/>
      <c r="G7" s="81" t="n"/>
      <c r="H7" s="81" t="n"/>
      <c r="I7" s="81" t="n"/>
      <c r="J7" s="80">
        <f>J6+1</f>
        <v/>
      </c>
      <c r="K7" s="81" t="n"/>
      <c r="L7" s="87">
        <f>M6</f>
        <v/>
      </c>
      <c r="M7" s="84" t="n">
        <v>94</v>
      </c>
      <c r="N7" s="85">
        <f>M7-L7</f>
        <v/>
      </c>
      <c r="O7" s="83" t="n"/>
      <c r="P7" s="83" t="n"/>
      <c r="Q7" s="83" t="n"/>
      <c r="R7" s="83" t="n"/>
      <c r="S7" s="80">
        <f>S6+1</f>
        <v/>
      </c>
      <c r="T7" s="83" t="n"/>
      <c r="U7" s="87">
        <f>V6</f>
        <v/>
      </c>
      <c r="V7" s="87" t="n">
        <v>14</v>
      </c>
      <c r="W7" s="85">
        <f>V7-U7</f>
        <v/>
      </c>
      <c r="X7" s="83" t="n"/>
      <c r="Y7" s="83" t="n"/>
      <c r="Z7" s="83" t="n"/>
      <c r="AA7" s="83" t="n"/>
    </row>
    <row r="8">
      <c r="A8" s="80">
        <f>A7+1</f>
        <v/>
      </c>
      <c r="B8" s="81" t="n"/>
      <c r="C8" s="81">
        <f>D7</f>
        <v/>
      </c>
      <c r="D8" s="81" t="n">
        <v>288</v>
      </c>
      <c r="E8" s="81">
        <f>D8-C8</f>
        <v/>
      </c>
      <c r="F8" s="81" t="n"/>
      <c r="G8" s="81" t="n"/>
      <c r="H8" s="81" t="n"/>
      <c r="I8" s="81" t="n"/>
      <c r="J8" s="80">
        <f>J7+1</f>
        <v/>
      </c>
      <c r="K8" s="81" t="n"/>
      <c r="L8" s="87">
        <f>M7</f>
        <v/>
      </c>
      <c r="M8" s="84" t="n">
        <v>97</v>
      </c>
      <c r="N8" s="85">
        <f>M8-L8</f>
        <v/>
      </c>
      <c r="O8" s="83" t="n"/>
      <c r="P8" s="83" t="n"/>
      <c r="Q8" s="83" t="n"/>
      <c r="R8" s="83" t="n"/>
      <c r="S8" s="80">
        <f>S7+1</f>
        <v/>
      </c>
      <c r="T8" s="83" t="n"/>
      <c r="U8" s="87">
        <f>V7</f>
        <v/>
      </c>
      <c r="V8" s="87" t="n">
        <v>14</v>
      </c>
      <c r="W8" s="85">
        <f>V8-U8</f>
        <v/>
      </c>
      <c r="X8" s="83" t="n"/>
      <c r="Y8" s="83" t="n"/>
      <c r="Z8" s="83" t="n"/>
      <c r="AA8" s="83" t="n"/>
    </row>
    <row r="9">
      <c r="A9" s="80">
        <f>A8+1</f>
        <v/>
      </c>
      <c r="B9" s="81" t="n"/>
      <c r="C9" s="81">
        <f>D8</f>
        <v/>
      </c>
      <c r="D9" s="81" t="n">
        <v>288</v>
      </c>
      <c r="E9" s="81">
        <f>D9-C9</f>
        <v/>
      </c>
      <c r="F9" s="81" t="n"/>
      <c r="G9" s="81" t="n"/>
      <c r="H9" s="81" t="n"/>
      <c r="I9" s="81" t="n"/>
      <c r="J9" s="80">
        <f>J8+1</f>
        <v/>
      </c>
      <c r="K9" s="81" t="n"/>
      <c r="L9" s="87">
        <f>M8</f>
        <v/>
      </c>
      <c r="M9" s="84" t="n">
        <v>99</v>
      </c>
      <c r="N9" s="85">
        <f>M9-L9</f>
        <v/>
      </c>
      <c r="O9" s="83" t="n"/>
      <c r="P9" s="83" t="n"/>
      <c r="Q9" s="83" t="n"/>
      <c r="R9" s="83" t="n"/>
      <c r="S9" s="80">
        <f>S8+1</f>
        <v/>
      </c>
      <c r="T9" s="83" t="n"/>
      <c r="U9" s="87">
        <f>V8</f>
        <v/>
      </c>
      <c r="V9" s="87" t="n">
        <v>14</v>
      </c>
      <c r="W9" s="85">
        <f>V9-U9</f>
        <v/>
      </c>
      <c r="X9" s="83" t="n"/>
      <c r="Y9" s="83" t="n"/>
      <c r="Z9" s="83" t="n"/>
      <c r="AA9" s="83" t="n"/>
    </row>
    <row r="10">
      <c r="A10" s="80">
        <f>A9+1</f>
        <v/>
      </c>
      <c r="B10" s="81" t="n"/>
      <c r="C10" s="81">
        <f>D9</f>
        <v/>
      </c>
      <c r="D10" s="81" t="n">
        <v>289</v>
      </c>
      <c r="E10" s="81">
        <f>D10-C10</f>
        <v/>
      </c>
      <c r="F10" s="81" t="n"/>
      <c r="G10" s="81" t="n"/>
      <c r="H10" s="81" t="n"/>
      <c r="I10" s="81" t="n"/>
      <c r="J10" s="80">
        <f>J9+1</f>
        <v/>
      </c>
      <c r="K10" s="81" t="n"/>
      <c r="L10" s="87">
        <f>M9</f>
        <v/>
      </c>
      <c r="M10" s="84" t="n">
        <v>100</v>
      </c>
      <c r="N10" s="85">
        <f>M10-L10</f>
        <v/>
      </c>
      <c r="O10" s="83" t="n"/>
      <c r="P10" s="83" t="n"/>
      <c r="Q10" s="83" t="n"/>
      <c r="R10" s="83" t="n"/>
      <c r="S10" s="80">
        <f>S9+1</f>
        <v/>
      </c>
      <c r="T10" s="83" t="n"/>
      <c r="U10" s="87">
        <f>V9</f>
        <v/>
      </c>
      <c r="V10" s="87" t="n">
        <v>14</v>
      </c>
      <c r="W10" s="85">
        <f>V10-U10</f>
        <v/>
      </c>
      <c r="X10" s="83" t="n"/>
      <c r="Y10" s="83" t="n"/>
      <c r="Z10" s="83" t="n"/>
      <c r="AA10" s="83" t="n"/>
    </row>
    <row r="11">
      <c r="A11" s="80">
        <f>A10+1</f>
        <v/>
      </c>
      <c r="B11" s="81" t="n"/>
      <c r="C11" s="81">
        <f>D10</f>
        <v/>
      </c>
      <c r="D11" s="81" t="n">
        <v>290</v>
      </c>
      <c r="E11" s="81">
        <f>D11-C11</f>
        <v/>
      </c>
      <c r="F11" s="81" t="n"/>
      <c r="G11" s="81" t="n"/>
      <c r="H11" s="81" t="n"/>
      <c r="I11" s="81" t="n"/>
      <c r="J11" s="80">
        <f>J10+1</f>
        <v/>
      </c>
      <c r="K11" s="81" t="n"/>
      <c r="L11" s="87">
        <f>M10</f>
        <v/>
      </c>
      <c r="M11" s="84" t="n">
        <v>100</v>
      </c>
      <c r="N11" s="85">
        <f>M11-L11</f>
        <v/>
      </c>
      <c r="O11" s="83" t="n"/>
      <c r="P11" s="83" t="n"/>
      <c r="Q11" s="83" t="n"/>
      <c r="R11" s="83" t="n"/>
      <c r="S11" s="80">
        <f>S10+1</f>
        <v/>
      </c>
      <c r="T11" s="83" t="n"/>
      <c r="U11" s="87">
        <f>V10</f>
        <v/>
      </c>
      <c r="V11" s="87" t="n">
        <v>14</v>
      </c>
      <c r="W11" s="85">
        <f>V11-U11</f>
        <v/>
      </c>
      <c r="X11" s="83" t="n"/>
      <c r="Y11" s="83" t="n"/>
      <c r="Z11" s="83" t="n"/>
      <c r="AA11" s="83" t="n"/>
    </row>
    <row r="12">
      <c r="A12" s="80">
        <f>A11+1</f>
        <v/>
      </c>
      <c r="B12" s="81" t="n"/>
      <c r="C12" s="81">
        <f>D11</f>
        <v/>
      </c>
      <c r="D12" s="81" t="n">
        <v>292</v>
      </c>
      <c r="E12" s="81">
        <f>D12-C12</f>
        <v/>
      </c>
      <c r="F12" s="81" t="n"/>
      <c r="G12" s="81" t="n"/>
      <c r="H12" s="81" t="n"/>
      <c r="I12" s="81" t="n"/>
      <c r="J12" s="80">
        <f>J11+1</f>
        <v/>
      </c>
      <c r="K12" s="81" t="n"/>
      <c r="L12" s="87">
        <f>M11</f>
        <v/>
      </c>
      <c r="M12" s="84" t="n">
        <v>100</v>
      </c>
      <c r="N12" s="85">
        <f>M12-L12</f>
        <v/>
      </c>
      <c r="O12" s="83" t="n"/>
      <c r="P12" s="83" t="n"/>
      <c r="Q12" s="83" t="n"/>
      <c r="R12" s="83" t="n"/>
      <c r="S12" s="80">
        <f>S11+1</f>
        <v/>
      </c>
      <c r="T12" s="83" t="n"/>
      <c r="U12" s="87">
        <f>V11</f>
        <v/>
      </c>
      <c r="V12" s="87" t="n">
        <v>14</v>
      </c>
      <c r="W12" s="85">
        <f>V12-U12</f>
        <v/>
      </c>
      <c r="X12" s="83" t="n"/>
      <c r="Y12" s="83" t="n"/>
      <c r="Z12" s="83" t="n"/>
      <c r="AA12" s="83" t="n"/>
    </row>
    <row r="13">
      <c r="A13" s="80">
        <f>A12+1</f>
        <v/>
      </c>
      <c r="B13" s="81" t="n"/>
      <c r="C13" s="81">
        <f>D12</f>
        <v/>
      </c>
      <c r="D13" s="81" t="n">
        <v>296</v>
      </c>
      <c r="E13" s="81">
        <f>D13-C13</f>
        <v/>
      </c>
      <c r="F13" s="81" t="n"/>
      <c r="G13" s="81" t="n"/>
      <c r="H13" s="81" t="n"/>
      <c r="I13" s="81" t="n"/>
      <c r="J13" s="80">
        <f>J12+1</f>
        <v/>
      </c>
      <c r="K13" s="81" t="n"/>
      <c r="L13" s="87">
        <f>M12</f>
        <v/>
      </c>
      <c r="M13" s="84" t="n">
        <v>101</v>
      </c>
      <c r="N13" s="85">
        <f>M13-L13</f>
        <v/>
      </c>
      <c r="O13" s="83" t="n"/>
      <c r="P13" s="83" t="n"/>
      <c r="Q13" s="83" t="n"/>
      <c r="R13" s="83" t="n"/>
      <c r="S13" s="80">
        <f>S12+1</f>
        <v/>
      </c>
      <c r="T13" s="83" t="n"/>
      <c r="U13" s="87">
        <f>V12</f>
        <v/>
      </c>
      <c r="V13" s="87" t="n">
        <v>14</v>
      </c>
      <c r="W13" s="85">
        <f>V13-U13</f>
        <v/>
      </c>
      <c r="X13" s="83" t="n"/>
      <c r="Y13" s="83" t="n"/>
      <c r="Z13" s="83" t="n"/>
      <c r="AA13" s="83" t="n"/>
    </row>
    <row r="14">
      <c r="A14" s="80">
        <f>A13+1</f>
        <v/>
      </c>
      <c r="B14" s="81" t="n"/>
      <c r="C14" s="81">
        <f>D13</f>
        <v/>
      </c>
      <c r="D14" s="81" t="n">
        <v>298</v>
      </c>
      <c r="E14" s="81">
        <f>D14-C14</f>
        <v/>
      </c>
      <c r="F14" s="81" t="n"/>
      <c r="G14" s="81" t="n"/>
      <c r="H14" s="81" t="n"/>
      <c r="I14" s="81" t="n"/>
      <c r="J14" s="80">
        <f>J13+1</f>
        <v/>
      </c>
      <c r="K14" s="81" t="n"/>
      <c r="L14" s="87">
        <f>M13</f>
        <v/>
      </c>
      <c r="M14" s="84" t="n">
        <v>102</v>
      </c>
      <c r="N14" s="85">
        <f>M14-L14</f>
        <v/>
      </c>
      <c r="O14" s="83" t="n"/>
      <c r="P14" s="83" t="n"/>
      <c r="Q14" s="83" t="n"/>
      <c r="R14" s="83" t="n"/>
      <c r="S14" s="80">
        <f>S13+1</f>
        <v/>
      </c>
      <c r="T14" s="83" t="n"/>
      <c r="U14" s="87">
        <f>V13</f>
        <v/>
      </c>
      <c r="V14" s="87" t="n">
        <v>14</v>
      </c>
      <c r="W14" s="85">
        <f>V14-U14</f>
        <v/>
      </c>
      <c r="X14" s="83" t="n"/>
      <c r="Y14" s="83" t="n"/>
      <c r="Z14" s="83" t="n"/>
      <c r="AA14" s="83" t="n"/>
    </row>
    <row r="15">
      <c r="A15" s="80">
        <f>A14+1</f>
        <v/>
      </c>
      <c r="B15" s="81" t="n"/>
      <c r="C15" s="81">
        <f>D14</f>
        <v/>
      </c>
      <c r="D15" s="81" t="n">
        <v>300</v>
      </c>
      <c r="E15" s="81">
        <f>D15-C15</f>
        <v/>
      </c>
      <c r="F15" s="81" t="n"/>
      <c r="G15" s="81" t="n"/>
      <c r="H15" s="81" t="n"/>
      <c r="I15" s="81" t="n"/>
      <c r="J15" s="80">
        <f>J14+1</f>
        <v/>
      </c>
      <c r="K15" s="81" t="n"/>
      <c r="L15" s="87">
        <f>M14</f>
        <v/>
      </c>
      <c r="M15" s="84" t="n">
        <v>102</v>
      </c>
      <c r="N15" s="85">
        <f>M15-L15</f>
        <v/>
      </c>
      <c r="O15" s="83" t="n"/>
      <c r="P15" s="83" t="n"/>
      <c r="Q15" s="83" t="n"/>
      <c r="R15" s="83" t="n"/>
      <c r="S15" s="80">
        <f>S14+1</f>
        <v/>
      </c>
      <c r="T15" s="83" t="n"/>
      <c r="U15" s="87">
        <f>V14</f>
        <v/>
      </c>
      <c r="V15" s="87" t="n">
        <v>14</v>
      </c>
      <c r="W15" s="85">
        <f>V15-U15</f>
        <v/>
      </c>
      <c r="X15" s="83" t="n"/>
      <c r="Y15" s="83" t="n"/>
      <c r="Z15" s="83" t="n"/>
      <c r="AA15" s="83" t="n"/>
    </row>
    <row r="16">
      <c r="A16" s="80">
        <f>A15+1</f>
        <v/>
      </c>
      <c r="B16" s="81" t="n"/>
      <c r="C16" s="81">
        <f>D15</f>
        <v/>
      </c>
      <c r="D16" s="81" t="n">
        <v>303</v>
      </c>
      <c r="E16" s="81">
        <f>D16-C16</f>
        <v/>
      </c>
      <c r="F16" s="81" t="n"/>
      <c r="G16" s="81" t="n"/>
      <c r="H16" s="81" t="n"/>
      <c r="I16" s="81" t="n"/>
      <c r="J16" s="80">
        <f>J15+1</f>
        <v/>
      </c>
      <c r="K16" s="81" t="n"/>
      <c r="L16" s="87">
        <f>M15</f>
        <v/>
      </c>
      <c r="M16" s="87" t="n">
        <v>103</v>
      </c>
      <c r="N16" s="85">
        <f>M16-L16</f>
        <v/>
      </c>
      <c r="O16" s="83" t="n"/>
      <c r="P16" s="83" t="n"/>
      <c r="Q16" s="83" t="n"/>
      <c r="R16" s="83" t="n"/>
      <c r="S16" s="80">
        <f>S15+1</f>
        <v/>
      </c>
      <c r="T16" s="83" t="n"/>
      <c r="U16" s="87">
        <f>V15</f>
        <v/>
      </c>
      <c r="V16" s="87" t="n">
        <v>15</v>
      </c>
      <c r="W16" s="85">
        <f>V16-U16</f>
        <v/>
      </c>
      <c r="X16" s="83" t="n"/>
      <c r="Y16" s="83" t="n"/>
      <c r="Z16" s="83" t="n"/>
      <c r="AA16" s="83" t="n"/>
    </row>
    <row r="17">
      <c r="A17" s="80">
        <f>A16+1</f>
        <v/>
      </c>
      <c r="B17" s="81" t="n"/>
      <c r="C17" s="81">
        <f>D16</f>
        <v/>
      </c>
      <c r="D17" s="81" t="n">
        <v>303</v>
      </c>
      <c r="E17" s="81">
        <f>D17-C17</f>
        <v/>
      </c>
      <c r="F17" s="81" t="n"/>
      <c r="G17" s="81" t="n"/>
      <c r="H17" s="81" t="n"/>
      <c r="I17" s="81" t="n"/>
      <c r="J17" s="80">
        <f>J16+1</f>
        <v/>
      </c>
      <c r="K17" s="81" t="n"/>
      <c r="L17" s="87">
        <f>M16</f>
        <v/>
      </c>
      <c r="M17" s="87" t="n">
        <v>104</v>
      </c>
      <c r="N17" s="85">
        <f>M17-L17</f>
        <v/>
      </c>
      <c r="O17" s="83" t="n"/>
      <c r="P17" s="83" t="n"/>
      <c r="Q17" s="83" t="n"/>
      <c r="R17" s="83" t="n"/>
      <c r="S17" s="80">
        <f>S16+1</f>
        <v/>
      </c>
      <c r="T17" s="83" t="n"/>
      <c r="U17" s="87">
        <f>V16</f>
        <v/>
      </c>
      <c r="V17" s="87" t="n">
        <v>15</v>
      </c>
      <c r="W17" s="85">
        <f>V17-U17</f>
        <v/>
      </c>
      <c r="X17" s="83" t="n"/>
      <c r="Y17" s="83" t="n"/>
      <c r="Z17" s="83" t="n"/>
      <c r="AA17" s="83" t="n"/>
    </row>
    <row r="18">
      <c r="A18" s="80">
        <f>A17+1</f>
        <v/>
      </c>
      <c r="B18" s="81" t="n"/>
      <c r="C18" s="81">
        <f>D17</f>
        <v/>
      </c>
      <c r="D18" s="81" t="n">
        <v>310</v>
      </c>
      <c r="E18" s="81">
        <f>D18-C18</f>
        <v/>
      </c>
      <c r="F18" s="81" t="n"/>
      <c r="G18" s="81" t="n"/>
      <c r="H18" s="81" t="n"/>
      <c r="I18" s="81" t="n"/>
      <c r="J18" s="80">
        <f>J17+1</f>
        <v/>
      </c>
      <c r="K18" s="81" t="n"/>
      <c r="L18" s="87">
        <f>M17</f>
        <v/>
      </c>
      <c r="M18" s="87" t="n">
        <v>110</v>
      </c>
      <c r="N18" s="85">
        <f>M18-L18</f>
        <v/>
      </c>
      <c r="O18" s="83" t="n"/>
      <c r="P18" s="83" t="n"/>
      <c r="Q18" s="83" t="n"/>
      <c r="R18" s="83" t="n"/>
      <c r="S18" s="80">
        <f>S17+1</f>
        <v/>
      </c>
      <c r="T18" s="83" t="n"/>
      <c r="U18" s="87">
        <f>V17</f>
        <v/>
      </c>
      <c r="V18" s="87" t="n">
        <v>15</v>
      </c>
      <c r="W18" s="85">
        <f>V18-U18</f>
        <v/>
      </c>
      <c r="X18" s="83" t="n"/>
      <c r="Y18" s="83" t="n"/>
      <c r="Z18" s="83" t="n"/>
      <c r="AA18" s="83" t="n"/>
    </row>
    <row r="19">
      <c r="A19" s="80">
        <f>A18+1</f>
        <v/>
      </c>
      <c r="B19" s="81" t="n"/>
      <c r="C19" s="81">
        <f>D18</f>
        <v/>
      </c>
      <c r="D19" s="81" t="n">
        <v>320</v>
      </c>
      <c r="E19" s="81">
        <f>D19-C19</f>
        <v/>
      </c>
      <c r="F19" s="81" t="n"/>
      <c r="G19" s="81" t="n"/>
      <c r="H19" s="81" t="n"/>
      <c r="I19" s="81" t="n"/>
      <c r="J19" s="80">
        <f>J18+1</f>
        <v/>
      </c>
      <c r="K19" s="81" t="n"/>
      <c r="L19" s="87">
        <f>M18</f>
        <v/>
      </c>
      <c r="M19" s="87" t="n">
        <v>117</v>
      </c>
      <c r="N19" s="85">
        <f>M19-L19</f>
        <v/>
      </c>
      <c r="O19" s="83" t="n"/>
      <c r="P19" s="83" t="n"/>
      <c r="Q19" s="83" t="n"/>
      <c r="R19" s="83" t="n"/>
      <c r="S19" s="80">
        <f>S18+1</f>
        <v/>
      </c>
      <c r="T19" s="83" t="n"/>
      <c r="U19" s="87">
        <f>V18</f>
        <v/>
      </c>
      <c r="V19" s="87" t="n">
        <v>15</v>
      </c>
      <c r="W19" s="85">
        <f>V19-U19</f>
        <v/>
      </c>
      <c r="X19" s="83" t="n"/>
      <c r="Y19" s="83" t="n"/>
      <c r="Z19" s="83" t="n"/>
      <c r="AA19" s="83" t="n"/>
    </row>
    <row r="20">
      <c r="A20" s="80">
        <f>A19+1</f>
        <v/>
      </c>
      <c r="B20" s="81" t="n"/>
      <c r="C20" s="81">
        <f>D19</f>
        <v/>
      </c>
      <c r="D20" s="81" t="n">
        <v>320</v>
      </c>
      <c r="E20" s="81">
        <f>D20-C20</f>
        <v/>
      </c>
      <c r="F20" s="81" t="n"/>
      <c r="G20" s="81" t="n"/>
      <c r="H20" s="81" t="n"/>
      <c r="I20" s="81" t="n"/>
      <c r="J20" s="80">
        <f>J19+1</f>
        <v/>
      </c>
      <c r="K20" s="81" t="n"/>
      <c r="L20" s="87">
        <f>M19</f>
        <v/>
      </c>
      <c r="M20" s="87" t="n">
        <v>121</v>
      </c>
      <c r="N20" s="85">
        <f>M20-L20</f>
        <v/>
      </c>
      <c r="O20" s="83" t="n"/>
      <c r="P20" s="83" t="n"/>
      <c r="Q20" s="83" t="n"/>
      <c r="R20" s="83" t="n"/>
      <c r="S20" s="80">
        <f>S19+1</f>
        <v/>
      </c>
      <c r="T20" s="83" t="n"/>
      <c r="U20" s="87">
        <f>V19</f>
        <v/>
      </c>
      <c r="V20" s="87" t="n">
        <v>15</v>
      </c>
      <c r="W20" s="85">
        <f>V20-U20</f>
        <v/>
      </c>
      <c r="X20" s="83" t="n"/>
      <c r="Y20" s="83" t="n"/>
      <c r="Z20" s="83" t="n"/>
      <c r="AA20" s="83" t="n"/>
    </row>
    <row r="21">
      <c r="A21" s="80">
        <f>A20+1</f>
        <v/>
      </c>
      <c r="B21" s="81" t="n"/>
      <c r="C21" s="81">
        <f>D20</f>
        <v/>
      </c>
      <c r="D21" s="81" t="n">
        <v>321</v>
      </c>
      <c r="E21" s="81">
        <f>D21-C21</f>
        <v/>
      </c>
      <c r="F21" s="81" t="n"/>
      <c r="G21" s="81" t="n"/>
      <c r="H21" s="81" t="n"/>
      <c r="I21" s="81" t="n"/>
      <c r="J21" s="80">
        <f>J20+1</f>
        <v/>
      </c>
      <c r="K21" s="81" t="n"/>
      <c r="L21" s="87">
        <f>M20</f>
        <v/>
      </c>
      <c r="M21" s="87" t="n">
        <v>126</v>
      </c>
      <c r="N21" s="85">
        <f>M21-L21</f>
        <v/>
      </c>
      <c r="O21" s="83" t="n"/>
      <c r="P21" s="83" t="n"/>
      <c r="Q21" s="83" t="n"/>
      <c r="R21" s="83" t="n"/>
      <c r="S21" s="80">
        <f>S20+1</f>
        <v/>
      </c>
      <c r="T21" s="83" t="n"/>
      <c r="U21" s="87">
        <f>V20</f>
        <v/>
      </c>
      <c r="V21" s="87" t="n">
        <v>15</v>
      </c>
      <c r="W21" s="85">
        <f>V21-U21</f>
        <v/>
      </c>
      <c r="X21" s="83" t="n"/>
      <c r="Y21" s="83" t="n"/>
      <c r="Z21" s="83" t="n"/>
      <c r="AA21" s="83" t="n"/>
    </row>
    <row r="22">
      <c r="A22" s="80">
        <f>A21+1</f>
        <v/>
      </c>
      <c r="B22" s="81" t="n"/>
      <c r="C22" s="81">
        <f>D21</f>
        <v/>
      </c>
      <c r="D22" s="81" t="n">
        <v>322</v>
      </c>
      <c r="E22" s="81">
        <f>D22-C22</f>
        <v/>
      </c>
      <c r="F22" s="81" t="n"/>
      <c r="G22" s="81" t="n"/>
      <c r="H22" s="81" t="n"/>
      <c r="I22" s="81" t="n"/>
      <c r="J22" s="80">
        <f>J21+1</f>
        <v/>
      </c>
      <c r="K22" s="81" t="n"/>
      <c r="L22" s="87">
        <f>M21</f>
        <v/>
      </c>
      <c r="M22" s="87" t="n">
        <v>132</v>
      </c>
      <c r="N22" s="85">
        <f>M22-L22</f>
        <v/>
      </c>
      <c r="O22" s="83" t="n"/>
      <c r="P22" s="83" t="n"/>
      <c r="Q22" s="83" t="n"/>
      <c r="R22" s="83" t="n"/>
      <c r="S22" s="80">
        <f>S21+1</f>
        <v/>
      </c>
      <c r="T22" s="83" t="n"/>
      <c r="U22" s="87">
        <f>V21</f>
        <v/>
      </c>
      <c r="V22" s="87" t="n">
        <v>15</v>
      </c>
      <c r="W22" s="85">
        <f>V22-U22</f>
        <v/>
      </c>
      <c r="X22" s="83" t="n"/>
      <c r="Y22" s="83" t="n"/>
      <c r="Z22" s="83" t="n"/>
      <c r="AA22" s="83" t="n"/>
    </row>
    <row r="23">
      <c r="A23" s="80">
        <f>A22+1</f>
        <v/>
      </c>
      <c r="B23" s="81" t="n"/>
      <c r="C23" s="81">
        <f>D22</f>
        <v/>
      </c>
      <c r="D23" s="81" t="n">
        <v>324</v>
      </c>
      <c r="E23" s="81">
        <f>D23-C23</f>
        <v/>
      </c>
      <c r="F23" s="81" t="n"/>
      <c r="G23" s="81" t="n"/>
      <c r="H23" s="81" t="n"/>
      <c r="I23" s="81" t="n"/>
      <c r="J23" s="80">
        <f>J22+1</f>
        <v/>
      </c>
      <c r="K23" s="81" t="n"/>
      <c r="L23" s="87">
        <f>M22</f>
        <v/>
      </c>
      <c r="M23" s="87" t="n">
        <v>132</v>
      </c>
      <c r="N23" s="85">
        <f>M23-L23</f>
        <v/>
      </c>
      <c r="O23" s="83" t="n"/>
      <c r="P23" s="83" t="n"/>
      <c r="Q23" s="83" t="n"/>
      <c r="R23" s="83" t="n"/>
      <c r="S23" s="80">
        <f>S22+1</f>
        <v/>
      </c>
      <c r="T23" s="83" t="n"/>
      <c r="U23" s="87">
        <f>V22</f>
        <v/>
      </c>
      <c r="V23" s="87" t="n">
        <v>15</v>
      </c>
      <c r="W23" s="85">
        <f>V23-U23</f>
        <v/>
      </c>
      <c r="X23" s="83" t="n"/>
      <c r="Y23" s="83" t="n"/>
      <c r="Z23" s="83" t="n"/>
      <c r="AA23" s="83" t="n"/>
    </row>
    <row r="24">
      <c r="A24" s="80">
        <f>A23+1</f>
        <v/>
      </c>
      <c r="B24" s="81" t="n"/>
      <c r="C24" s="81">
        <f>D23</f>
        <v/>
      </c>
      <c r="D24" s="81" t="n">
        <v>326</v>
      </c>
      <c r="E24" s="81">
        <f>D24-C24</f>
        <v/>
      </c>
      <c r="F24" s="81" t="n"/>
      <c r="G24" s="81" t="n"/>
      <c r="H24" s="81" t="n"/>
      <c r="I24" s="81" t="n"/>
      <c r="J24" s="80">
        <f>J23+1</f>
        <v/>
      </c>
      <c r="K24" s="81" t="n"/>
      <c r="L24" s="87">
        <f>M23</f>
        <v/>
      </c>
      <c r="M24" s="87" t="n">
        <v>136</v>
      </c>
      <c r="N24" s="85">
        <f>M24-L24</f>
        <v/>
      </c>
      <c r="O24" s="83" t="n"/>
      <c r="P24" s="83" t="n"/>
      <c r="Q24" s="83" t="n"/>
      <c r="R24" s="83" t="n"/>
      <c r="S24" s="80">
        <f>S23+1</f>
        <v/>
      </c>
      <c r="T24" s="83" t="n"/>
      <c r="U24" s="87">
        <f>V23</f>
        <v/>
      </c>
      <c r="V24" s="87" t="n">
        <v>15</v>
      </c>
      <c r="W24" s="85">
        <f>V24-U24</f>
        <v/>
      </c>
      <c r="X24" s="83" t="n"/>
      <c r="Y24" s="83" t="n"/>
      <c r="Z24" s="83" t="n"/>
      <c r="AA24" s="83" t="n"/>
    </row>
    <row r="25">
      <c r="A25" s="80">
        <f>A24+1</f>
        <v/>
      </c>
      <c r="B25" s="81" t="n"/>
      <c r="C25" s="81">
        <f>D24</f>
        <v/>
      </c>
      <c r="D25" s="81" t="n">
        <v>330</v>
      </c>
      <c r="E25" s="81">
        <f>D25-C25</f>
        <v/>
      </c>
      <c r="F25" s="81" t="n"/>
      <c r="G25" s="81" t="n"/>
      <c r="H25" s="81" t="n"/>
      <c r="I25" s="81" t="n"/>
      <c r="J25" s="80">
        <f>J24+1</f>
        <v/>
      </c>
      <c r="K25" s="81" t="n"/>
      <c r="L25" s="87">
        <f>M24</f>
        <v/>
      </c>
      <c r="M25" s="87" t="n">
        <v>137</v>
      </c>
      <c r="N25" s="85">
        <f>M25-L25</f>
        <v/>
      </c>
      <c r="O25" s="83" t="n"/>
      <c r="P25" s="83" t="n"/>
      <c r="Q25" s="83" t="n"/>
      <c r="R25" s="83" t="n"/>
      <c r="S25" s="80">
        <f>S24+1</f>
        <v/>
      </c>
      <c r="T25" s="83" t="n"/>
      <c r="U25" s="87">
        <f>V24</f>
        <v/>
      </c>
      <c r="V25" s="87" t="n">
        <v>15</v>
      </c>
      <c r="W25" s="85">
        <f>V25-U25</f>
        <v/>
      </c>
      <c r="X25" s="83" t="n"/>
      <c r="Y25" s="83" t="n"/>
      <c r="Z25" s="83" t="n"/>
      <c r="AA25" s="83" t="n"/>
    </row>
    <row r="26">
      <c r="A26" s="80">
        <f>A25+1</f>
        <v/>
      </c>
      <c r="B26" s="81" t="n"/>
      <c r="C26" s="81">
        <f>D25</f>
        <v/>
      </c>
      <c r="D26" s="81" t="n">
        <v>338</v>
      </c>
      <c r="E26" s="81">
        <f>D26-C26</f>
        <v/>
      </c>
      <c r="F26" s="81" t="n"/>
      <c r="G26" s="81" t="n"/>
      <c r="H26" s="81" t="n"/>
      <c r="I26" s="81" t="n"/>
      <c r="J26" s="80">
        <f>J25+1</f>
        <v/>
      </c>
      <c r="K26" s="81" t="n"/>
      <c r="L26" s="87">
        <f>M25</f>
        <v/>
      </c>
      <c r="M26" s="87" t="n">
        <v>140</v>
      </c>
      <c r="N26" s="85">
        <f>M26-L26</f>
        <v/>
      </c>
      <c r="O26" s="83" t="n"/>
      <c r="P26" s="83" t="n"/>
      <c r="Q26" s="83" t="n"/>
      <c r="R26" s="83" t="n"/>
      <c r="S26" s="80">
        <f>S25+1</f>
        <v/>
      </c>
      <c r="T26" s="83" t="n"/>
      <c r="U26" s="87">
        <f>V25</f>
        <v/>
      </c>
      <c r="V26" s="87" t="n">
        <v>15</v>
      </c>
      <c r="W26" s="85">
        <f>V26-U26</f>
        <v/>
      </c>
      <c r="X26" s="83" t="n"/>
      <c r="Y26" s="83" t="n"/>
      <c r="Z26" s="83" t="n"/>
      <c r="AA26" s="83" t="n"/>
    </row>
    <row r="27">
      <c r="A27" s="80">
        <f>A26+1</f>
        <v/>
      </c>
      <c r="B27" s="81" t="n"/>
      <c r="C27" s="81">
        <f>D26</f>
        <v/>
      </c>
      <c r="D27" s="81" t="n">
        <v>342</v>
      </c>
      <c r="E27" s="81">
        <f>D27-C27</f>
        <v/>
      </c>
      <c r="F27" s="81" t="n"/>
      <c r="G27" s="81" t="n"/>
      <c r="H27" s="81" t="n"/>
      <c r="I27" s="81" t="n"/>
      <c r="J27" s="80">
        <f>J26+1</f>
        <v/>
      </c>
      <c r="K27" s="81" t="n"/>
      <c r="L27" s="87">
        <f>M26</f>
        <v/>
      </c>
      <c r="M27" s="87" t="n">
        <v>140</v>
      </c>
      <c r="N27" s="85">
        <f>M27-L27</f>
        <v/>
      </c>
      <c r="O27" s="83" t="n"/>
      <c r="P27" s="83" t="n"/>
      <c r="Q27" s="83" t="n"/>
      <c r="R27" s="83" t="n"/>
      <c r="S27" s="80">
        <f>S26+1</f>
        <v/>
      </c>
      <c r="T27" s="83" t="n"/>
      <c r="U27" s="87">
        <f>V26</f>
        <v/>
      </c>
      <c r="V27" s="115" t="n">
        <v>27</v>
      </c>
      <c r="W27" s="85">
        <f>V27-U27</f>
        <v/>
      </c>
      <c r="X27" s="83" t="n"/>
      <c r="Y27" s="83" t="n"/>
      <c r="Z27" s="83" t="n"/>
      <c r="AA27" s="83" t="n"/>
    </row>
    <row r="28">
      <c r="A28" s="80">
        <f>A27+1</f>
        <v/>
      </c>
      <c r="B28" s="81" t="n"/>
      <c r="C28" s="81">
        <f>D27</f>
        <v/>
      </c>
      <c r="D28" s="81" t="n">
        <v>344</v>
      </c>
      <c r="E28" s="81">
        <f>D28-C28</f>
        <v/>
      </c>
      <c r="F28" s="81" t="n"/>
      <c r="G28" s="81" t="n"/>
      <c r="H28" s="81" t="n"/>
      <c r="I28" s="81" t="n"/>
      <c r="J28" s="80">
        <f>J27+1</f>
        <v/>
      </c>
      <c r="K28" s="81" t="n"/>
      <c r="L28" s="87">
        <f>M27</f>
        <v/>
      </c>
      <c r="M28" s="87" t="n">
        <v>140</v>
      </c>
      <c r="N28" s="85">
        <f>M28-L28</f>
        <v/>
      </c>
      <c r="O28" s="83" t="n"/>
      <c r="P28" s="83" t="n"/>
      <c r="Q28" s="83" t="n"/>
      <c r="R28" s="83" t="n"/>
      <c r="S28" s="80">
        <f>S27+1</f>
        <v/>
      </c>
      <c r="T28" s="83" t="n"/>
      <c r="U28" s="87">
        <f>V27</f>
        <v/>
      </c>
      <c r="V28" s="115" t="n">
        <v>27</v>
      </c>
      <c r="W28" s="85">
        <f>V28-U28</f>
        <v/>
      </c>
      <c r="X28" s="83" t="n"/>
      <c r="Y28" s="83" t="n"/>
      <c r="Z28" s="83" t="n"/>
      <c r="AA28" s="83" t="n"/>
    </row>
    <row r="29">
      <c r="A29" s="80">
        <f>A28+1</f>
        <v/>
      </c>
      <c r="B29" s="81" t="n"/>
      <c r="C29" s="81">
        <f>D28</f>
        <v/>
      </c>
      <c r="D29" s="81" t="n">
        <v>348</v>
      </c>
      <c r="E29" s="81">
        <f>D29-C29</f>
        <v/>
      </c>
      <c r="F29" s="81" t="n"/>
      <c r="G29" s="81" t="n"/>
      <c r="H29" s="81" t="n"/>
      <c r="I29" s="81" t="n"/>
      <c r="J29" s="80">
        <f>J28+1</f>
        <v/>
      </c>
      <c r="K29" s="81" t="n"/>
      <c r="L29" s="87">
        <f>M28</f>
        <v/>
      </c>
      <c r="M29" s="87" t="n">
        <v>140</v>
      </c>
      <c r="N29" s="85">
        <f>M29-L29</f>
        <v/>
      </c>
      <c r="O29" s="83" t="n"/>
      <c r="P29" s="83" t="n"/>
      <c r="Q29" s="83" t="n"/>
      <c r="R29" s="83" t="n"/>
      <c r="S29" s="80">
        <f>S28+1</f>
        <v/>
      </c>
      <c r="T29" s="83" t="n"/>
      <c r="U29" s="87">
        <f>V28</f>
        <v/>
      </c>
      <c r="V29" s="115" t="n">
        <v>27</v>
      </c>
      <c r="W29" s="85">
        <f>V29-U29</f>
        <v/>
      </c>
      <c r="X29" s="83" t="n"/>
      <c r="Y29" s="83" t="n"/>
      <c r="Z29" s="83" t="n"/>
      <c r="AA29" s="83" t="n"/>
    </row>
    <row r="30">
      <c r="A30" s="80">
        <f>A29+1</f>
        <v/>
      </c>
      <c r="B30" s="81" t="n"/>
      <c r="C30" s="81">
        <f>D29</f>
        <v/>
      </c>
      <c r="D30" s="81" t="n">
        <v>349</v>
      </c>
      <c r="E30" s="81">
        <f>D30-C30</f>
        <v/>
      </c>
      <c r="F30" s="81" t="n"/>
      <c r="G30" s="81" t="n"/>
      <c r="H30" s="81" t="n"/>
      <c r="I30" s="81" t="n"/>
      <c r="J30" s="80">
        <f>J29+1</f>
        <v/>
      </c>
      <c r="K30" s="81" t="n"/>
      <c r="L30" s="87">
        <f>M29</f>
        <v/>
      </c>
      <c r="M30" s="87" t="n">
        <v>141</v>
      </c>
      <c r="N30" s="85">
        <f>M30-L30</f>
        <v/>
      </c>
      <c r="O30" s="83" t="n"/>
      <c r="P30" s="83" t="n"/>
      <c r="Q30" s="83" t="n"/>
      <c r="R30" s="83" t="n"/>
      <c r="S30" s="80">
        <f>S29+1</f>
        <v/>
      </c>
      <c r="T30" s="83" t="n"/>
      <c r="U30" s="87">
        <f>V29</f>
        <v/>
      </c>
      <c r="V30" s="115" t="n">
        <v>30</v>
      </c>
      <c r="W30" s="85">
        <f>V30-U30</f>
        <v/>
      </c>
      <c r="X30" s="83" t="n"/>
      <c r="Y30" s="83" t="n"/>
      <c r="Z30" s="83" t="n"/>
      <c r="AA30" s="83" t="n"/>
    </row>
    <row r="31">
      <c r="A31" s="80">
        <f>A30+1</f>
        <v/>
      </c>
      <c r="B31" s="81" t="n"/>
      <c r="C31" s="81">
        <f>D30</f>
        <v/>
      </c>
      <c r="D31" s="81" t="n">
        <v>349</v>
      </c>
      <c r="E31" s="81">
        <f>D31-C31</f>
        <v/>
      </c>
      <c r="F31" s="81" t="n"/>
      <c r="G31" s="81" t="n"/>
      <c r="H31" s="81" t="n"/>
      <c r="I31" s="81" t="n"/>
      <c r="J31" s="80">
        <f>J30+1</f>
        <v/>
      </c>
      <c r="K31" s="81" t="n"/>
      <c r="L31" s="87">
        <f>M30</f>
        <v/>
      </c>
      <c r="M31" s="87" t="n">
        <v>144</v>
      </c>
      <c r="N31" s="85">
        <f>M31-L31</f>
        <v/>
      </c>
      <c r="O31" s="83" t="n"/>
      <c r="P31" s="83" t="n"/>
      <c r="Q31" s="83" t="n"/>
      <c r="R31" s="83" t="n"/>
      <c r="S31" s="80">
        <f>S30+1</f>
        <v/>
      </c>
      <c r="T31" s="83" t="n"/>
      <c r="U31" s="87">
        <f>V30</f>
        <v/>
      </c>
      <c r="V31" s="115" t="n">
        <v>30</v>
      </c>
      <c r="W31" s="85">
        <f>V31-U31</f>
        <v/>
      </c>
      <c r="X31" s="83" t="n"/>
      <c r="Y31" s="83" t="n"/>
      <c r="Z31" s="83" t="n"/>
      <c r="AA31" s="83" t="n"/>
    </row>
    <row r="32">
      <c r="A32" s="80">
        <f>A31+1</f>
        <v/>
      </c>
      <c r="B32" s="81" t="n"/>
      <c r="C32" s="81">
        <f>D31</f>
        <v/>
      </c>
      <c r="D32" s="81" t="n">
        <v>352</v>
      </c>
      <c r="E32" s="81">
        <f>D32-C32</f>
        <v/>
      </c>
      <c r="F32" s="81" t="n"/>
      <c r="G32" s="81" t="n"/>
      <c r="H32" s="81" t="n"/>
      <c r="I32" s="81" t="n"/>
      <c r="J32" s="80">
        <f>J31+1</f>
        <v/>
      </c>
      <c r="K32" s="81" t="n"/>
      <c r="L32" s="87">
        <f>M31</f>
        <v/>
      </c>
      <c r="M32" s="87" t="n">
        <v>146</v>
      </c>
      <c r="N32" s="85">
        <f>M32-L32</f>
        <v/>
      </c>
      <c r="O32" s="83" t="n"/>
      <c r="P32" s="83" t="n"/>
      <c r="Q32" s="83" t="n"/>
      <c r="R32" s="83" t="n"/>
      <c r="S32" s="80">
        <f>S31+1</f>
        <v/>
      </c>
      <c r="T32" s="83" t="n"/>
      <c r="U32" s="87">
        <f>V31</f>
        <v/>
      </c>
      <c r="V32" s="115" t="n">
        <v>30</v>
      </c>
      <c r="W32" s="85">
        <f>V32-U32</f>
        <v/>
      </c>
      <c r="X32" s="83" t="n"/>
      <c r="Y32" s="83" t="n"/>
      <c r="Z32" s="83" t="n"/>
      <c r="AA32" s="83" t="n"/>
    </row>
    <row r="33">
      <c r="A33" s="80">
        <f>A32+1</f>
        <v/>
      </c>
      <c r="B33" s="81" t="n"/>
      <c r="C33" s="81">
        <f>D32</f>
        <v/>
      </c>
      <c r="D33" s="81" t="n">
        <v>352</v>
      </c>
      <c r="E33" s="81">
        <f>D33-C33</f>
        <v/>
      </c>
      <c r="F33" s="81" t="n"/>
      <c r="G33" s="81" t="n"/>
      <c r="H33" s="81" t="n"/>
      <c r="I33" s="81" t="n"/>
      <c r="J33" s="80">
        <f>J32+1</f>
        <v/>
      </c>
      <c r="K33" s="81" t="n"/>
      <c r="L33" s="87">
        <f>M32</f>
        <v/>
      </c>
      <c r="M33" s="87" t="n">
        <v>147</v>
      </c>
      <c r="N33" s="85">
        <f>M33-L33</f>
        <v/>
      </c>
      <c r="O33" s="83" t="n"/>
      <c r="P33" s="83" t="n"/>
      <c r="Q33" s="83" t="n"/>
      <c r="R33" s="83" t="n"/>
      <c r="S33" s="80">
        <f>S32+1</f>
        <v/>
      </c>
      <c r="T33" s="83" t="n"/>
      <c r="U33" s="87">
        <f>V32</f>
        <v/>
      </c>
      <c r="V33" s="115" t="n">
        <v>30</v>
      </c>
      <c r="W33" s="85">
        <f>V33-U33</f>
        <v/>
      </c>
      <c r="X33" s="83" t="n"/>
      <c r="Y33" s="83" t="n"/>
      <c r="Z33" s="83" t="n"/>
      <c r="AA33" s="83" t="n"/>
    </row>
    <row r="34">
      <c r="A34" s="80">
        <f>A33+1</f>
        <v/>
      </c>
      <c r="B34" s="81" t="n"/>
      <c r="C34" s="81">
        <f>D33</f>
        <v/>
      </c>
      <c r="D34" s="81" t="n">
        <v>353</v>
      </c>
      <c r="E34" s="81">
        <f>D34-C34</f>
        <v/>
      </c>
      <c r="F34" s="81" t="n"/>
      <c r="G34" s="81" t="n"/>
      <c r="H34" s="81" t="n"/>
      <c r="I34" s="81" t="n"/>
      <c r="J34" s="80">
        <f>J33+1</f>
        <v/>
      </c>
      <c r="K34" s="81" t="n"/>
      <c r="L34" s="87">
        <f>M33</f>
        <v/>
      </c>
      <c r="M34" s="87" t="n">
        <v>147</v>
      </c>
      <c r="N34" s="85">
        <f>M34-L34</f>
        <v/>
      </c>
      <c r="O34" s="83" t="n"/>
      <c r="P34" s="83" t="n"/>
      <c r="Q34" s="83" t="n"/>
      <c r="R34" s="83" t="n"/>
      <c r="S34" s="80">
        <f>S33+1</f>
        <v/>
      </c>
      <c r="T34" s="83" t="n"/>
      <c r="U34" s="87">
        <f>V33</f>
        <v/>
      </c>
      <c r="V34" s="115" t="n">
        <v>30</v>
      </c>
      <c r="W34" s="85">
        <f>V34-U34</f>
        <v/>
      </c>
      <c r="X34" s="83" t="n"/>
      <c r="Y34" s="83" t="n"/>
      <c r="Z34" s="83" t="n"/>
      <c r="AA34" s="83" t="n"/>
    </row>
    <row r="35" customFormat="1" s="95">
      <c r="A35" s="89" t="n"/>
      <c r="B35" s="89" t="inlineStr">
        <is>
          <t xml:space="preserve">Total </t>
        </is>
      </c>
      <c r="C35" s="89" t="n"/>
      <c r="D35" s="89" t="n"/>
      <c r="E35" s="90">
        <f>SUM(E5:E34)</f>
        <v/>
      </c>
      <c r="F35" s="91" t="n"/>
      <c r="G35" s="89" t="n"/>
      <c r="H35" s="89" t="n"/>
      <c r="I35" s="91" t="n"/>
      <c r="J35" s="92" t="n"/>
      <c r="K35" s="92" t="inlineStr">
        <is>
          <t xml:space="preserve">Total </t>
        </is>
      </c>
      <c r="L35" s="92" t="n"/>
      <c r="M35" s="92" t="n"/>
      <c r="N35" s="90">
        <f>SUM(N5:N34)</f>
        <v/>
      </c>
      <c r="O35" s="94" t="n"/>
      <c r="P35" s="93" t="n"/>
      <c r="Q35" s="93" t="n"/>
      <c r="R35" s="94" t="n"/>
      <c r="S35" s="92" t="n"/>
      <c r="T35" s="92" t="inlineStr">
        <is>
          <t xml:space="preserve">Total </t>
        </is>
      </c>
      <c r="U35" s="92" t="n"/>
      <c r="V35" s="92" t="n"/>
      <c r="W35" s="114">
        <f>SUM(W5:W34)</f>
        <v/>
      </c>
      <c r="X35" s="94" t="n"/>
      <c r="Y35" s="83" t="n"/>
      <c r="Z35" s="83" t="n"/>
      <c r="AA35" s="94" t="n"/>
    </row>
    <row r="36">
      <c r="N36" s="100" t="n"/>
    </row>
    <row r="37">
      <c r="A37" t="inlineStr">
        <is>
          <t>Monthly Hiring Charges</t>
        </is>
      </c>
      <c r="C37" t="n">
        <v>720000</v>
      </c>
      <c r="J37" t="inlineStr">
        <is>
          <t>Monthly Hiring Charges</t>
        </is>
      </c>
      <c r="L37" t="n">
        <v>720000</v>
      </c>
      <c r="T37" t="inlineStr">
        <is>
          <t>Monthly Hiring Charges</t>
        </is>
      </c>
      <c r="V37" t="n">
        <v>500000</v>
      </c>
    </row>
    <row r="38">
      <c r="A38" t="inlineStr">
        <is>
          <t>Per Day Rate/30</t>
        </is>
      </c>
      <c r="C38" s="100">
        <f>C37/30</f>
        <v/>
      </c>
      <c r="D38" s="41" t="n"/>
      <c r="E38" s="41" t="n"/>
      <c r="F38" s="41" t="n"/>
      <c r="G38" s="41" t="n"/>
      <c r="H38" s="41" t="n"/>
      <c r="J38" t="inlineStr">
        <is>
          <t>Per Day Rate/30</t>
        </is>
      </c>
      <c r="L38" s="100">
        <f>L37/30</f>
        <v/>
      </c>
      <c r="M38" s="41" t="n"/>
      <c r="N38" s="41" t="n"/>
      <c r="O38" s="41" t="n"/>
      <c r="P38" s="41" t="n"/>
      <c r="Q38" s="41" t="n"/>
      <c r="T38" t="inlineStr">
        <is>
          <t>Per Day Rate/30</t>
        </is>
      </c>
      <c r="V38" s="100">
        <f>V37/30</f>
        <v/>
      </c>
    </row>
    <row r="39">
      <c r="A39" t="inlineStr">
        <is>
          <t>Per Hours Rate</t>
        </is>
      </c>
      <c r="C39" s="100">
        <f>C38/24</f>
        <v/>
      </c>
      <c r="D39" s="41" t="n"/>
      <c r="E39" s="41" t="n"/>
      <c r="F39" s="41" t="n"/>
      <c r="G39" s="41" t="n"/>
      <c r="H39" s="41" t="n"/>
      <c r="J39" t="inlineStr">
        <is>
          <t>Per Hours Rate</t>
        </is>
      </c>
      <c r="L39" s="100">
        <f>L38/24</f>
        <v/>
      </c>
      <c r="M39" s="41" t="n"/>
      <c r="N39" s="41" t="n"/>
      <c r="O39" s="41" t="n"/>
      <c r="P39" s="41" t="n"/>
      <c r="Q39" s="41" t="n"/>
      <c r="T39" t="inlineStr">
        <is>
          <t>Per Hours Rate</t>
        </is>
      </c>
      <c r="V39" s="100">
        <f>V38/24</f>
        <v/>
      </c>
      <c r="Z39" s="41" t="n"/>
    </row>
    <row r="40">
      <c r="A40" t="inlineStr">
        <is>
          <t>Total KM Running</t>
        </is>
      </c>
      <c r="C40" t="n">
        <v>72</v>
      </c>
      <c r="D40" s="41" t="n"/>
      <c r="E40" s="41" t="n"/>
      <c r="F40" s="41" t="n"/>
      <c r="G40" s="41" t="n"/>
      <c r="H40" s="41" t="n"/>
      <c r="J40" t="inlineStr">
        <is>
          <t>Total KM Running</t>
        </is>
      </c>
      <c r="L40" t="n">
        <v>71</v>
      </c>
      <c r="M40" s="41" t="n"/>
      <c r="N40" s="41" t="n"/>
      <c r="O40" s="41" t="n"/>
      <c r="P40" s="41" t="n"/>
      <c r="Q40" s="41" t="n"/>
      <c r="T40" t="inlineStr">
        <is>
          <t>Total KM Running</t>
        </is>
      </c>
      <c r="V40" t="n">
        <v>17</v>
      </c>
      <c r="Z40" s="41" t="n"/>
    </row>
    <row r="41">
      <c r="A41" s="41" t="inlineStr">
        <is>
          <t>Diesel Cap</t>
        </is>
      </c>
      <c r="C41" t="n">
        <v>19</v>
      </c>
      <c r="D41" s="41" t="n"/>
      <c r="E41" s="41" t="n"/>
      <c r="F41" s="41" t="n"/>
      <c r="G41" s="41" t="n"/>
      <c r="H41" s="41" t="n"/>
      <c r="J41" s="41" t="inlineStr">
        <is>
          <t>Diesel Cap</t>
        </is>
      </c>
      <c r="L41" t="n">
        <v>19</v>
      </c>
      <c r="M41" s="41" t="n"/>
      <c r="N41" s="41" t="n"/>
      <c r="O41" s="41" t="n"/>
      <c r="P41" s="41" t="n"/>
      <c r="Q41" s="41" t="n"/>
      <c r="T41" s="41" t="inlineStr">
        <is>
          <t>Diesel Cap</t>
        </is>
      </c>
      <c r="V41" t="n">
        <v>17</v>
      </c>
      <c r="Z41" s="41" t="n"/>
    </row>
    <row r="42">
      <c r="A42" s="116" t="inlineStr">
        <is>
          <t>Disel Qty</t>
        </is>
      </c>
      <c r="C42">
        <f>C40*C41</f>
        <v/>
      </c>
      <c r="D42" s="41" t="n"/>
      <c r="E42" s="41" t="n"/>
      <c r="F42" s="41" t="n"/>
      <c r="G42" s="41" t="n"/>
      <c r="H42" s="41" t="n"/>
      <c r="J42" s="116" t="inlineStr">
        <is>
          <t>Disel Qty</t>
        </is>
      </c>
      <c r="L42">
        <f>L40*L41</f>
        <v/>
      </c>
      <c r="M42" s="41" t="n"/>
      <c r="N42" s="41" t="n"/>
      <c r="O42" s="41" t="n"/>
      <c r="P42" s="41" t="n"/>
      <c r="Q42" s="41" t="n"/>
      <c r="T42" s="116" t="inlineStr">
        <is>
          <t>Disel Qty</t>
        </is>
      </c>
      <c r="V42">
        <f>V40*V41</f>
        <v/>
      </c>
    </row>
    <row r="43">
      <c r="A43" s="41" t="inlineStr">
        <is>
          <t>Diesel Rate</t>
        </is>
      </c>
      <c r="C43" t="n">
        <v>100.37</v>
      </c>
      <c r="D43" s="41" t="n"/>
      <c r="E43" s="41" t="n"/>
      <c r="F43" s="41" t="n"/>
      <c r="G43" s="41" t="n"/>
      <c r="H43" s="41" t="n"/>
      <c r="J43" s="41" t="inlineStr">
        <is>
          <t>Diesel Rate</t>
        </is>
      </c>
      <c r="L43" t="n">
        <v>100.37</v>
      </c>
      <c r="M43" s="41" t="n"/>
      <c r="N43" s="41" t="n"/>
      <c r="O43" s="41" t="n"/>
      <c r="P43" s="41" t="n"/>
      <c r="Q43" s="41" t="n"/>
      <c r="T43" s="41" t="inlineStr">
        <is>
          <t>Diesel Rate</t>
        </is>
      </c>
      <c r="V43" t="n">
        <v>100.37</v>
      </c>
    </row>
    <row r="44">
      <c r="A44" s="116" t="inlineStr">
        <is>
          <t>Diesel Amount</t>
        </is>
      </c>
      <c r="C44">
        <f>C42*C43</f>
        <v/>
      </c>
      <c r="D44" s="41" t="n"/>
      <c r="E44" s="41" t="n"/>
      <c r="F44" s="41" t="n"/>
      <c r="G44" s="41" t="n"/>
      <c r="H44" s="41" t="n"/>
      <c r="J44" s="116" t="inlineStr">
        <is>
          <t>Diesel Amount</t>
        </is>
      </c>
      <c r="L44">
        <f>L42*L43</f>
        <v/>
      </c>
      <c r="M44" s="41" t="n"/>
      <c r="N44" s="41" t="n"/>
      <c r="O44" s="41" t="n"/>
      <c r="P44" s="41" t="n"/>
      <c r="Q44" s="41" t="n"/>
      <c r="T44" s="116" t="inlineStr">
        <is>
          <t>Diesel Amount</t>
        </is>
      </c>
      <c r="V44">
        <f>V42*V43</f>
        <v/>
      </c>
    </row>
    <row r="45">
      <c r="D45" s="41" t="n"/>
      <c r="E45" s="41" t="n"/>
      <c r="F45" s="41" t="n"/>
      <c r="G45" s="41" t="n"/>
      <c r="H45" s="41" t="n"/>
      <c r="M45" s="41" t="n"/>
      <c r="N45" s="41" t="n"/>
      <c r="O45" s="41" t="n"/>
      <c r="P45" s="41" t="n"/>
      <c r="Q45" s="41" t="n"/>
      <c r="X45" s="41" t="n"/>
      <c r="AA45" s="110" t="n"/>
    </row>
    <row r="46">
      <c r="A46" t="inlineStr">
        <is>
          <t>Raise tax invoice with full hiring charges for machine</t>
        </is>
      </c>
      <c r="J46" t="inlineStr">
        <is>
          <t>Raise tax invoice with full hiring charges for machine</t>
        </is>
      </c>
      <c r="T46" t="inlineStr">
        <is>
          <t>Raise tax invoice with full hiring charges for machine</t>
        </is>
      </c>
    </row>
    <row r="47">
      <c r="A47" t="inlineStr">
        <is>
          <t>Raise Diesel bill as per mentioned calculation</t>
        </is>
      </c>
      <c r="J47" t="inlineStr">
        <is>
          <t>Raise Diesel bill as per mentioned calculation</t>
        </is>
      </c>
      <c r="T47" t="inlineStr">
        <is>
          <t>Raise Diesel bill as per mentioned calculation</t>
        </is>
      </c>
    </row>
    <row r="48">
      <c r="A48" t="inlineStr">
        <is>
          <t>Poonam Goswami</t>
        </is>
      </c>
      <c r="J48" t="inlineStr">
        <is>
          <t>Poonam Goswami</t>
        </is>
      </c>
      <c r="T48" t="inlineStr">
        <is>
          <t>Poonam Goswami</t>
        </is>
      </c>
    </row>
    <row r="49">
      <c r="A49" s="109" t="n">
        <v>46210</v>
      </c>
      <c r="J49" s="109" t="n">
        <v>46210</v>
      </c>
      <c r="T49" s="109" t="n">
        <v>46210</v>
      </c>
    </row>
  </sheetData>
  <mergeCells count="12">
    <mergeCell ref="S2:X2"/>
    <mergeCell ref="G2:I2"/>
    <mergeCell ref="A2:F2"/>
    <mergeCell ref="Y2:AA2"/>
    <mergeCell ref="J2:O2"/>
    <mergeCell ref="P2:R2"/>
    <mergeCell ref="J1:R1"/>
    <mergeCell ref="S1:AA1"/>
    <mergeCell ref="A1:I1"/>
    <mergeCell ref="S3:AA3"/>
    <mergeCell ref="A3:I3"/>
    <mergeCell ref="J3:R3"/>
  </mergeCells>
  <pageMargins left="0.24" right="0.31" top="0.39" bottom="0.75" header="0.3" footer="0.3"/>
  <pageSetup orientation="portrait" scale="77"/>
</worksheet>
</file>

<file path=xl/worksheets/sheet7.xml><?xml version="1.0" encoding="utf-8"?>
<worksheet xmlns="http://schemas.openxmlformats.org/spreadsheetml/2006/main">
  <sheetPr codeName="Sheet7">
    <outlinePr summaryBelow="1" summaryRight="1"/>
    <pageSetUpPr/>
  </sheetPr>
  <dimension ref="A1:AS51"/>
  <sheetViews>
    <sheetView workbookViewId="0">
      <pane xSplit="2" ySplit="5" topLeftCell="N17" activePane="bottomRight" state="frozen"/>
      <selection pane="topRight" activeCell="C1" sqref="C1"/>
      <selection pane="bottomLeft" activeCell="A6" sqref="A6"/>
      <selection pane="bottomRight" activeCell="P17" sqref="P17"/>
    </sheetView>
  </sheetViews>
  <sheetFormatPr baseColWidth="8" defaultRowHeight="15"/>
  <cols>
    <col width="8.42578125" bestFit="1" customWidth="1" min="1" max="1"/>
    <col width="18.140625" bestFit="1" customWidth="1" min="2" max="2"/>
    <col width="9.5703125" bestFit="1" customWidth="1" min="3" max="3"/>
    <col width="16.7109375" bestFit="1" customWidth="1" min="4" max="4"/>
    <col width="13.7109375" bestFit="1" customWidth="1" min="5" max="5"/>
    <col width="14" bestFit="1" customWidth="1" min="6" max="6"/>
    <col width="14" customWidth="1" min="7" max="9"/>
    <col width="10.140625" bestFit="1" customWidth="1" min="10" max="10"/>
    <col width="6.7109375" customWidth="1" min="11" max="12"/>
    <col width="9.42578125" bestFit="1" customWidth="1" min="13" max="13"/>
    <col width="21.7109375" bestFit="1" customWidth="1" min="14" max="14"/>
    <col width="15.5703125" bestFit="1" customWidth="1" min="15" max="15"/>
    <col width="8.42578125" bestFit="1" customWidth="1" min="16" max="16"/>
    <col width="9" bestFit="1" customWidth="1" min="17" max="17"/>
    <col width="14" bestFit="1" customWidth="1" min="18" max="18"/>
    <col width="13.7109375" bestFit="1" customWidth="1" min="19" max="19"/>
    <col width="14" bestFit="1" customWidth="1" min="20" max="20"/>
    <col width="14" customWidth="1" min="21" max="22"/>
    <col width="10.140625" bestFit="1" customWidth="1" min="23" max="23"/>
    <col width="6.7109375" bestFit="1" customWidth="1" min="24" max="24"/>
    <col width="6.7109375" customWidth="1" min="25" max="25"/>
    <col width="6.28515625" bestFit="1" customWidth="1" min="26" max="26"/>
    <col width="9.42578125" bestFit="1" customWidth="1" min="27" max="27"/>
    <col width="21.7109375" bestFit="1" customWidth="1" min="28" max="28"/>
    <col width="15.5703125" bestFit="1" customWidth="1" min="29" max="29"/>
    <col width="10.85546875" customWidth="1" min="30" max="30"/>
    <col width="12.7109375" customWidth="1" min="31" max="31"/>
    <col width="14" bestFit="1" customWidth="1" min="32" max="32"/>
    <col width="13.7109375" bestFit="1" customWidth="1" min="33" max="33"/>
    <col width="14" bestFit="1" customWidth="1" min="34" max="34"/>
    <col width="14" customWidth="1" min="35" max="36"/>
    <col width="10.140625" bestFit="1" customWidth="1" min="37" max="37"/>
    <col width="6.7109375" bestFit="1" customWidth="1" min="38" max="38"/>
    <col width="6.7109375" customWidth="1" min="39" max="39"/>
    <col width="6.28515625" bestFit="1" customWidth="1" min="40" max="40"/>
    <col width="9.42578125" bestFit="1" customWidth="1" min="41" max="41"/>
    <col width="21.7109375" bestFit="1" customWidth="1" min="42" max="42"/>
    <col width="15.5703125" bestFit="1" customWidth="1" min="43" max="43"/>
    <col width="14" bestFit="1" customWidth="1" style="41" min="44" max="44"/>
  </cols>
  <sheetData>
    <row r="1">
      <c r="A1" s="124" t="inlineStr">
        <is>
          <t>Ekta Enterprises</t>
        </is>
      </c>
      <c r="B1" s="125" t="n"/>
      <c r="C1" s="125" t="n"/>
      <c r="D1" s="125" t="n"/>
      <c r="E1" s="125" t="n"/>
      <c r="F1" s="125" t="n"/>
      <c r="G1" s="125" t="n"/>
      <c r="H1" s="125" t="n"/>
      <c r="I1" s="125" t="n"/>
      <c r="J1" s="125" t="n"/>
      <c r="K1" s="125" t="n"/>
      <c r="L1" s="125" t="n"/>
      <c r="M1" s="125" t="n"/>
      <c r="N1" s="125" t="n"/>
      <c r="O1" s="126" t="n"/>
      <c r="P1" s="127" t="inlineStr">
        <is>
          <t>Ekta Enterprises</t>
        </is>
      </c>
      <c r="Q1" s="125" t="n"/>
      <c r="R1" s="125" t="n"/>
      <c r="S1" s="125" t="n"/>
      <c r="T1" s="125" t="n"/>
      <c r="U1" s="125" t="n"/>
      <c r="V1" s="125" t="n"/>
      <c r="W1" s="125" t="n"/>
      <c r="X1" s="125" t="n"/>
      <c r="Y1" s="125" t="n"/>
      <c r="Z1" s="125" t="n"/>
      <c r="AA1" s="125" t="n"/>
      <c r="AB1" s="125" t="n"/>
      <c r="AC1" s="126" t="n"/>
      <c r="AD1" s="127" t="inlineStr">
        <is>
          <t>Ekta Enterprises</t>
        </is>
      </c>
      <c r="AE1" s="125" t="n"/>
      <c r="AF1" s="125" t="n"/>
      <c r="AG1" s="125" t="n"/>
      <c r="AH1" s="125" t="n"/>
      <c r="AI1" s="125" t="n"/>
      <c r="AJ1" s="125" t="n"/>
      <c r="AK1" s="125" t="n"/>
      <c r="AL1" s="125" t="n"/>
      <c r="AM1" s="125" t="n"/>
      <c r="AN1" s="125" t="n"/>
      <c r="AO1" s="125" t="n"/>
      <c r="AP1" s="125" t="n"/>
      <c r="AQ1" s="126" t="n"/>
    </row>
    <row r="2">
      <c r="A2" s="124" t="inlineStr">
        <is>
          <t>REACH STACKER NO. XCMG-2-Diesel Cap - 19 Liters Per Hour</t>
        </is>
      </c>
      <c r="B2" s="125" t="n"/>
      <c r="C2" s="125" t="n"/>
      <c r="D2" s="125" t="n"/>
      <c r="E2" s="125" t="n"/>
      <c r="F2" s="125" t="n"/>
      <c r="G2" s="125" t="n"/>
      <c r="H2" s="125" t="n"/>
      <c r="I2" s="125" t="n"/>
      <c r="J2" s="126" t="n"/>
      <c r="K2" s="128" t="n">
        <v>46204</v>
      </c>
      <c r="L2" s="125" t="n"/>
      <c r="M2" s="125" t="n"/>
      <c r="N2" s="125" t="n"/>
      <c r="O2" s="126" t="n"/>
      <c r="P2" s="127" t="inlineStr">
        <is>
          <t>REACH STACKER NO. XCMG-1-Diesel Cap - 19 Liters Per Hour</t>
        </is>
      </c>
      <c r="Q2" s="125" t="n"/>
      <c r="R2" s="125" t="n"/>
      <c r="S2" s="125" t="n"/>
      <c r="T2" s="125" t="n"/>
      <c r="U2" s="125" t="n"/>
      <c r="V2" s="125" t="n"/>
      <c r="W2" s="126" t="n"/>
      <c r="X2" s="128" t="n">
        <v>46204</v>
      </c>
      <c r="Y2" s="125" t="n"/>
      <c r="Z2" s="125" t="n"/>
      <c r="AA2" s="125" t="n"/>
      <c r="AB2" s="125" t="n"/>
      <c r="AC2" s="126" t="n"/>
      <c r="AD2" s="127" t="inlineStr">
        <is>
          <t>REACH STACKER NO. Fork Lift 35 Ton-Diesel Cap - 17 Liters Per Hour</t>
        </is>
      </c>
      <c r="AE2" s="125" t="n"/>
      <c r="AF2" s="125" t="n"/>
      <c r="AG2" s="125" t="n"/>
      <c r="AH2" s="125" t="n"/>
      <c r="AI2" s="125" t="n"/>
      <c r="AJ2" s="125" t="n"/>
      <c r="AK2" s="126" t="n"/>
      <c r="AL2" s="128" t="n">
        <v>46204</v>
      </c>
      <c r="AM2" s="125" t="n"/>
      <c r="AN2" s="125" t="n"/>
      <c r="AO2" s="125" t="n"/>
      <c r="AP2" s="125" t="n"/>
      <c r="AQ2" s="126" t="n"/>
    </row>
    <row r="3">
      <c r="A3" s="124" t="inlineStr">
        <is>
          <t>LOCATION : JSW AARKONAM</t>
        </is>
      </c>
      <c r="B3" s="125" t="n"/>
      <c r="C3" s="125" t="n"/>
      <c r="D3" s="125" t="n"/>
      <c r="E3" s="125" t="n"/>
      <c r="F3" s="125" t="n"/>
      <c r="G3" s="125" t="n"/>
      <c r="H3" s="125" t="n"/>
      <c r="I3" s="125" t="n"/>
      <c r="J3" s="125" t="n"/>
      <c r="K3" s="125" t="n"/>
      <c r="L3" s="125" t="n"/>
      <c r="M3" s="125" t="n"/>
      <c r="N3" s="125" t="n"/>
      <c r="O3" s="126" t="n"/>
      <c r="P3" s="127" t="inlineStr">
        <is>
          <t>LOCATION : JSW AARKONAM</t>
        </is>
      </c>
      <c r="Q3" s="125" t="n"/>
      <c r="R3" s="125" t="n"/>
      <c r="S3" s="125" t="n"/>
      <c r="T3" s="125" t="n"/>
      <c r="U3" s="125" t="n"/>
      <c r="V3" s="125" t="n"/>
      <c r="W3" s="125" t="n"/>
      <c r="X3" s="125" t="n"/>
      <c r="Y3" s="125" t="n"/>
      <c r="Z3" s="125" t="n"/>
      <c r="AA3" s="125" t="n"/>
      <c r="AB3" s="125" t="n"/>
      <c r="AC3" s="126" t="n"/>
      <c r="AD3" s="127" t="inlineStr">
        <is>
          <t>LOCATION : JSW AARKONAM</t>
        </is>
      </c>
      <c r="AE3" s="125" t="n"/>
      <c r="AF3" s="125" t="n"/>
      <c r="AG3" s="125" t="n"/>
      <c r="AH3" s="125" t="n"/>
      <c r="AI3" s="125" t="n"/>
      <c r="AJ3" s="125" t="n"/>
      <c r="AK3" s="125" t="n"/>
      <c r="AL3" s="125" t="n"/>
      <c r="AM3" s="125" t="n"/>
      <c r="AN3" s="125" t="n"/>
      <c r="AO3" s="125" t="n"/>
      <c r="AP3" s="125" t="n"/>
      <c r="AQ3" s="126" t="n"/>
    </row>
    <row r="4">
      <c r="A4" s="124" t="inlineStr">
        <is>
          <t>DATE</t>
        </is>
      </c>
      <c r="B4" s="124" t="inlineStr">
        <is>
          <t>DIESEL PURCHASED</t>
        </is>
      </c>
      <c r="C4" s="124" t="inlineStr">
        <is>
          <t>ACTIVITY</t>
        </is>
      </c>
      <c r="D4" s="124" t="inlineStr">
        <is>
          <t>OPERING HMR</t>
        </is>
      </c>
      <c r="E4" s="124" t="inlineStr">
        <is>
          <t>CLOSING HMR</t>
        </is>
      </c>
      <c r="F4" s="124" t="inlineStr">
        <is>
          <t>Running Hours</t>
        </is>
      </c>
      <c r="G4" s="124" t="inlineStr">
        <is>
          <t>BD START TIME</t>
        </is>
      </c>
      <c r="H4" s="124" t="inlineStr">
        <is>
          <t>BD END TIME</t>
        </is>
      </c>
      <c r="I4" s="124" t="inlineStr">
        <is>
          <t>BD HOURS</t>
        </is>
      </c>
      <c r="J4" s="124" t="inlineStr">
        <is>
          <t>DIESEL</t>
        </is>
      </c>
      <c r="K4" s="124" t="inlineStr">
        <is>
          <t>HMR</t>
        </is>
      </c>
      <c r="L4" s="124" t="inlineStr">
        <is>
          <t>HOUR</t>
        </is>
      </c>
      <c r="M4" s="124" t="inlineStr">
        <is>
          <t>AVERAGE</t>
        </is>
      </c>
      <c r="N4" s="124" t="inlineStr">
        <is>
          <t>OPERATOR SIGNATURE</t>
        </is>
      </c>
      <c r="O4" s="124" t="inlineStr">
        <is>
          <t>JSW SIGNATURE</t>
        </is>
      </c>
      <c r="P4" s="127" t="inlineStr">
        <is>
          <t>DATE</t>
        </is>
      </c>
      <c r="Q4" s="127" t="inlineStr">
        <is>
          <t>ACTIVITY</t>
        </is>
      </c>
      <c r="R4" s="127" t="inlineStr">
        <is>
          <t>OPERING HMR</t>
        </is>
      </c>
      <c r="S4" s="127" t="inlineStr">
        <is>
          <t>CLOSING HMR</t>
        </is>
      </c>
      <c r="T4" s="127" t="inlineStr">
        <is>
          <t>Running Hours</t>
        </is>
      </c>
      <c r="U4" s="124" t="inlineStr">
        <is>
          <t>BD START TIME</t>
        </is>
      </c>
      <c r="V4" s="124" t="inlineStr">
        <is>
          <t>BD END TIME</t>
        </is>
      </c>
      <c r="W4" s="127" t="inlineStr">
        <is>
          <t>BD HOURS</t>
        </is>
      </c>
      <c r="X4" s="127" t="inlineStr">
        <is>
          <t>DIESEL</t>
        </is>
      </c>
      <c r="Y4" s="124" t="inlineStr">
        <is>
          <t>HMR</t>
        </is>
      </c>
      <c r="Z4" s="124" t="inlineStr">
        <is>
          <t>HOUR</t>
        </is>
      </c>
      <c r="AA4" s="124" t="inlineStr">
        <is>
          <t>AVERAGE</t>
        </is>
      </c>
      <c r="AB4" s="124" t="inlineStr">
        <is>
          <t>OPERATOR SIGNATURE</t>
        </is>
      </c>
      <c r="AC4" s="124" t="inlineStr">
        <is>
          <t>JSW SIGNATURE</t>
        </is>
      </c>
      <c r="AD4" s="127" t="inlineStr">
        <is>
          <t>DATE</t>
        </is>
      </c>
      <c r="AE4" s="127" t="inlineStr">
        <is>
          <t>ACTIVITY</t>
        </is>
      </c>
      <c r="AF4" s="127" t="inlineStr">
        <is>
          <t>OPERING HMR</t>
        </is>
      </c>
      <c r="AG4" s="127" t="inlineStr">
        <is>
          <t>CLOSING HMR</t>
        </is>
      </c>
      <c r="AH4" s="127" t="inlineStr">
        <is>
          <t>Running Hours</t>
        </is>
      </c>
      <c r="AI4" s="124" t="inlineStr">
        <is>
          <t>BD START TIME</t>
        </is>
      </c>
      <c r="AJ4" s="124" t="inlineStr">
        <is>
          <t>BD END TIME</t>
        </is>
      </c>
      <c r="AK4" s="127" t="inlineStr">
        <is>
          <t>BD HOURS</t>
        </is>
      </c>
      <c r="AL4" s="127" t="inlineStr">
        <is>
          <t>DIESEL</t>
        </is>
      </c>
      <c r="AM4" s="124" t="inlineStr">
        <is>
          <t>HMR</t>
        </is>
      </c>
      <c r="AN4" s="124" t="inlineStr">
        <is>
          <t>HOUR</t>
        </is>
      </c>
      <c r="AO4" s="124" t="inlineStr">
        <is>
          <t>AVERAGE</t>
        </is>
      </c>
      <c r="AP4" s="124" t="inlineStr">
        <is>
          <t>OPERATOR SIGNATURE</t>
        </is>
      </c>
      <c r="AQ4" s="124" t="inlineStr">
        <is>
          <t>JSW SIGNATURE</t>
        </is>
      </c>
      <c r="AR4" s="124" t="inlineStr">
        <is>
          <t>Diesel Balance</t>
        </is>
      </c>
    </row>
    <row r="5">
      <c r="A5" s="124" t="n"/>
      <c r="B5" s="124" t="n"/>
      <c r="C5" s="124" t="n"/>
      <c r="D5" s="124" t="n"/>
      <c r="E5" s="124" t="n"/>
      <c r="F5" s="124" t="n"/>
      <c r="G5" s="124" t="n"/>
      <c r="H5" s="124" t="n"/>
      <c r="I5" s="124" t="n"/>
      <c r="J5" s="124" t="n"/>
      <c r="K5" s="124" t="n">
        <v>350</v>
      </c>
      <c r="L5" s="124" t="n"/>
      <c r="M5" s="124" t="n"/>
      <c r="N5" s="124" t="n"/>
      <c r="O5" s="124" t="n"/>
      <c r="P5" s="127" t="n"/>
      <c r="Q5" s="127" t="n"/>
      <c r="R5" s="127" t="n"/>
      <c r="S5" s="127" t="n"/>
      <c r="T5" s="127" t="n"/>
      <c r="U5" s="124" t="n"/>
      <c r="V5" s="124" t="n"/>
      <c r="W5" s="127" t="n"/>
      <c r="X5" s="127" t="n"/>
      <c r="Y5" s="124" t="n">
        <v>145</v>
      </c>
      <c r="Z5" s="124" t="n"/>
      <c r="AA5" s="124" t="n"/>
      <c r="AB5" s="124" t="n"/>
      <c r="AC5" s="124" t="n"/>
      <c r="AD5" s="127" t="n"/>
      <c r="AE5" s="127" t="n"/>
      <c r="AF5" s="127" t="n"/>
      <c r="AG5" s="127" t="n"/>
      <c r="AH5" s="127" t="n"/>
      <c r="AI5" s="124" t="n"/>
      <c r="AJ5" s="124" t="n"/>
      <c r="AK5" s="127" t="n"/>
      <c r="AL5" s="127" t="n"/>
      <c r="AM5" s="124" t="n"/>
      <c r="AN5" s="124" t="n"/>
      <c r="AO5" s="124" t="n"/>
      <c r="AP5" s="124" t="n"/>
      <c r="AQ5" s="124" t="n"/>
      <c r="AR5" s="124" t="n">
        <v>1900</v>
      </c>
    </row>
    <row r="6">
      <c r="A6" s="80" t="n">
        <v>46204</v>
      </c>
      <c r="B6" s="81" t="n"/>
      <c r="C6" s="81" t="n"/>
      <c r="D6" s="81" t="n">
        <v>353</v>
      </c>
      <c r="E6" s="81" t="n">
        <v>354</v>
      </c>
      <c r="F6" s="81">
        <f>E6-D6</f>
        <v/>
      </c>
      <c r="G6" s="81" t="n"/>
      <c r="H6" s="81" t="n"/>
      <c r="I6" s="81" t="n"/>
      <c r="J6" s="81" t="n"/>
      <c r="K6" s="81" t="n"/>
      <c r="L6" s="81" t="n"/>
      <c r="M6" s="81" t="n"/>
      <c r="N6" s="81" t="n"/>
      <c r="O6" s="81" t="n"/>
      <c r="P6" s="80" t="n">
        <v>46204</v>
      </c>
      <c r="Q6" s="81" t="n"/>
      <c r="R6" s="87" t="n">
        <v>147</v>
      </c>
      <c r="S6" s="84" t="n">
        <v>148</v>
      </c>
      <c r="T6" s="85">
        <f>S6-R6</f>
        <v/>
      </c>
      <c r="U6" s="85" t="n"/>
      <c r="V6" s="85" t="n"/>
      <c r="W6" s="83" t="n"/>
      <c r="X6" s="86" t="n"/>
      <c r="Y6" s="86" t="n"/>
      <c r="Z6" s="86" t="n"/>
      <c r="AA6" s="86" t="n"/>
      <c r="AB6" s="86" t="n"/>
      <c r="AC6" s="83" t="n"/>
      <c r="AD6" s="80" t="n">
        <v>46204</v>
      </c>
      <c r="AE6" s="83" t="n"/>
      <c r="AF6" s="115" t="n">
        <v>30</v>
      </c>
      <c r="AG6" s="84" t="n">
        <v>30</v>
      </c>
      <c r="AH6" s="85">
        <f>AG6-AF6</f>
        <v/>
      </c>
      <c r="AI6" s="85" t="n"/>
      <c r="AJ6" s="85" t="n"/>
      <c r="AK6" s="83" t="n"/>
      <c r="AL6" s="86" t="n"/>
      <c r="AM6" s="86" t="n"/>
      <c r="AN6" s="86" t="n"/>
      <c r="AO6" s="86" t="n"/>
      <c r="AP6" s="86" t="n"/>
      <c r="AQ6" s="83" t="n"/>
      <c r="AR6" s="73">
        <f>AR5+B6-J6-X6-AL6</f>
        <v/>
      </c>
    </row>
    <row r="7">
      <c r="A7" s="80">
        <f>A6+1</f>
        <v/>
      </c>
      <c r="B7" s="81" t="n"/>
      <c r="C7" s="81" t="n"/>
      <c r="D7" s="81">
        <f>E6</f>
        <v/>
      </c>
      <c r="E7" s="81" t="n">
        <v>355</v>
      </c>
      <c r="F7" s="81">
        <f>E7-D7</f>
        <v/>
      </c>
      <c r="G7" s="81" t="n"/>
      <c r="H7" s="81" t="n"/>
      <c r="I7" s="81" t="n"/>
      <c r="J7" s="81" t="n"/>
      <c r="K7" s="81" t="n"/>
      <c r="L7" s="81" t="n"/>
      <c r="M7" s="81" t="n"/>
      <c r="N7" s="81" t="n"/>
      <c r="O7" s="81" t="n"/>
      <c r="P7" s="80">
        <f>P6+1</f>
        <v/>
      </c>
      <c r="Q7" s="81" t="n"/>
      <c r="R7" s="87">
        <f>S6</f>
        <v/>
      </c>
      <c r="S7" s="84" t="n">
        <v>149</v>
      </c>
      <c r="T7" s="85">
        <f>S7-R7</f>
        <v/>
      </c>
      <c r="U7" s="85" t="n"/>
      <c r="V7" s="85" t="n"/>
      <c r="W7" s="83" t="n"/>
      <c r="X7" s="83" t="n"/>
      <c r="Y7" s="83" t="n"/>
      <c r="Z7" s="83" t="n"/>
      <c r="AA7" s="83" t="n"/>
      <c r="AB7" s="83" t="n"/>
      <c r="AC7" s="83" t="n"/>
      <c r="AD7" s="80">
        <f>AD6+1</f>
        <v/>
      </c>
      <c r="AE7" s="83" t="n"/>
      <c r="AF7" s="87">
        <f>AG6</f>
        <v/>
      </c>
      <c r="AG7" s="84" t="n">
        <v>31</v>
      </c>
      <c r="AH7" s="85">
        <f>AG7-AF7</f>
        <v/>
      </c>
      <c r="AI7" s="85" t="n"/>
      <c r="AJ7" s="85" t="n"/>
      <c r="AK7" s="83" t="n"/>
      <c r="AL7" s="83" t="n"/>
      <c r="AM7" s="83" t="n"/>
      <c r="AN7" s="83" t="n"/>
      <c r="AO7" s="83" t="n"/>
      <c r="AP7" s="83" t="n"/>
      <c r="AQ7" s="83" t="n"/>
      <c r="AR7" s="73">
        <f>AR6+B7-J7-X7-AL7</f>
        <v/>
      </c>
    </row>
    <row r="8">
      <c r="A8" s="80">
        <f>A7+1</f>
        <v/>
      </c>
      <c r="B8" s="81" t="n"/>
      <c r="C8" s="81" t="n"/>
      <c r="D8" s="81">
        <f>E7</f>
        <v/>
      </c>
      <c r="E8" s="81" t="n">
        <v>355</v>
      </c>
      <c r="F8" s="81">
        <f>E8-D8</f>
        <v/>
      </c>
      <c r="G8" s="81" t="n"/>
      <c r="H8" s="81" t="n"/>
      <c r="I8" s="81" t="n"/>
      <c r="J8" s="81" t="n"/>
      <c r="K8" s="81" t="n"/>
      <c r="L8" s="81" t="n"/>
      <c r="M8" s="81" t="n"/>
      <c r="N8" s="81" t="n"/>
      <c r="O8" s="81" t="n"/>
      <c r="P8" s="80">
        <f>P7+1</f>
        <v/>
      </c>
      <c r="Q8" s="81" t="n"/>
      <c r="R8" s="87">
        <f>S7</f>
        <v/>
      </c>
      <c r="S8" s="84" t="n">
        <v>149</v>
      </c>
      <c r="T8" s="85">
        <f>S8-R8</f>
        <v/>
      </c>
      <c r="U8" s="85" t="n"/>
      <c r="V8" s="85" t="n"/>
      <c r="W8" s="83" t="n"/>
      <c r="X8" s="83" t="n"/>
      <c r="Y8" s="83" t="n"/>
      <c r="Z8" s="83" t="n"/>
      <c r="AA8" s="83" t="n"/>
      <c r="AB8" s="83" t="n"/>
      <c r="AC8" s="83" t="n"/>
      <c r="AD8" s="80">
        <f>AD7+1</f>
        <v/>
      </c>
      <c r="AE8" s="83" t="n"/>
      <c r="AF8" s="87">
        <f>AG7</f>
        <v/>
      </c>
      <c r="AG8" s="87" t="n">
        <v>31</v>
      </c>
      <c r="AH8" s="85">
        <f>AG8-AF8</f>
        <v/>
      </c>
      <c r="AI8" s="85" t="n"/>
      <c r="AJ8" s="85" t="n"/>
      <c r="AK8" s="83" t="n"/>
      <c r="AL8" s="83" t="n"/>
      <c r="AM8" s="83" t="n"/>
      <c r="AN8" s="83" t="n"/>
      <c r="AO8" s="83" t="n"/>
      <c r="AP8" s="83" t="n"/>
      <c r="AQ8" s="83" t="n"/>
      <c r="AR8" s="73">
        <f>AR7+B8-J8-X8-AL8</f>
        <v/>
      </c>
    </row>
    <row r="9">
      <c r="A9" s="80">
        <f>A8+1</f>
        <v/>
      </c>
      <c r="B9" s="81" t="n"/>
      <c r="C9" s="81" t="n"/>
      <c r="D9" s="81">
        <f>E8</f>
        <v/>
      </c>
      <c r="E9" s="81" t="n">
        <v>355</v>
      </c>
      <c r="F9" s="81">
        <f>E9-D9</f>
        <v/>
      </c>
      <c r="G9" s="81" t="n"/>
      <c r="H9" s="81" t="n"/>
      <c r="I9" s="81" t="n"/>
      <c r="J9" s="81" t="n"/>
      <c r="K9" s="81" t="n"/>
      <c r="L9" s="81" t="n"/>
      <c r="M9" s="81" t="n"/>
      <c r="N9" s="81" t="n"/>
      <c r="O9" s="81" t="n"/>
      <c r="P9" s="80">
        <f>P8+1</f>
        <v/>
      </c>
      <c r="Q9" s="81" t="n"/>
      <c r="R9" s="87">
        <f>S8</f>
        <v/>
      </c>
      <c r="S9" s="84" t="n">
        <v>149</v>
      </c>
      <c r="T9" s="85">
        <f>S9-R9</f>
        <v/>
      </c>
      <c r="U9" s="85" t="n"/>
      <c r="V9" s="85" t="n"/>
      <c r="W9" s="83" t="n"/>
      <c r="X9" s="83" t="n"/>
      <c r="Y9" s="83" t="n"/>
      <c r="Z9" s="83" t="n"/>
      <c r="AA9" s="83" t="n"/>
      <c r="AB9" s="83" t="n"/>
      <c r="AC9" s="83" t="n"/>
      <c r="AD9" s="80">
        <f>AD8+1</f>
        <v/>
      </c>
      <c r="AE9" s="83" t="n"/>
      <c r="AF9" s="87">
        <f>AG8</f>
        <v/>
      </c>
      <c r="AG9" s="87" t="n">
        <v>31</v>
      </c>
      <c r="AH9" s="85">
        <f>AG9-AF9</f>
        <v/>
      </c>
      <c r="AI9" s="85" t="n"/>
      <c r="AJ9" s="85" t="n"/>
      <c r="AK9" s="83" t="n"/>
      <c r="AL9" s="83" t="n"/>
      <c r="AM9" s="83" t="n"/>
      <c r="AN9" s="83" t="n"/>
      <c r="AO9" s="83" t="n"/>
      <c r="AP9" s="83" t="n"/>
      <c r="AQ9" s="83" t="n"/>
      <c r="AR9" s="73">
        <f>AR8+B9-J9-X9-AL9</f>
        <v/>
      </c>
    </row>
    <row r="10">
      <c r="A10" s="80">
        <f>A9+1</f>
        <v/>
      </c>
      <c r="B10" s="81" t="n"/>
      <c r="C10" s="81" t="n"/>
      <c r="D10" s="81">
        <f>E9</f>
        <v/>
      </c>
      <c r="E10" s="81" t="n">
        <v>355</v>
      </c>
      <c r="F10" s="81">
        <f>E10-D10</f>
        <v/>
      </c>
      <c r="G10" s="81" t="n"/>
      <c r="H10" s="81" t="n"/>
      <c r="I10" s="81" t="n"/>
      <c r="J10" s="81" t="n"/>
      <c r="K10" s="81" t="n"/>
      <c r="L10" s="81" t="n"/>
      <c r="M10" s="81" t="n"/>
      <c r="N10" s="81" t="n"/>
      <c r="O10" s="81" t="n"/>
      <c r="P10" s="80">
        <f>P9+1</f>
        <v/>
      </c>
      <c r="Q10" s="81" t="n"/>
      <c r="R10" s="87">
        <f>S9</f>
        <v/>
      </c>
      <c r="S10" s="84" t="n">
        <v>150</v>
      </c>
      <c r="T10" s="85">
        <f>S10-R10</f>
        <v/>
      </c>
      <c r="U10" s="85" t="n"/>
      <c r="V10" s="85" t="n"/>
      <c r="W10" s="83" t="n"/>
      <c r="X10" s="83" t="n"/>
      <c r="Y10" s="83" t="n"/>
      <c r="Z10" s="83" t="n"/>
      <c r="AA10" s="83" t="n"/>
      <c r="AB10" s="83" t="n"/>
      <c r="AC10" s="83" t="n"/>
      <c r="AD10" s="80">
        <f>AD9+1</f>
        <v/>
      </c>
      <c r="AE10" s="83" t="n"/>
      <c r="AF10" s="87">
        <f>AG9</f>
        <v/>
      </c>
      <c r="AG10" s="87" t="n">
        <v>31</v>
      </c>
      <c r="AH10" s="85">
        <f>AG10-AF10</f>
        <v/>
      </c>
      <c r="AI10" s="85" t="n"/>
      <c r="AJ10" s="85" t="n"/>
      <c r="AK10" s="83" t="n"/>
      <c r="AL10" s="83" t="n"/>
      <c r="AM10" s="83" t="n"/>
      <c r="AN10" s="83" t="n"/>
      <c r="AO10" s="83" t="n"/>
      <c r="AP10" s="83" t="n"/>
      <c r="AQ10" s="83" t="n"/>
      <c r="AR10" s="73">
        <f>AR9+B10-J10-X10-AL10</f>
        <v/>
      </c>
    </row>
    <row r="11">
      <c r="A11" s="80">
        <f>A10+1</f>
        <v/>
      </c>
      <c r="B11" s="81" t="n"/>
      <c r="C11" s="81" t="n"/>
      <c r="D11" s="81">
        <f>E10</f>
        <v/>
      </c>
      <c r="E11" s="81" t="n">
        <v>356</v>
      </c>
      <c r="F11" s="81">
        <f>E11-D11</f>
        <v/>
      </c>
      <c r="G11" s="81" t="n"/>
      <c r="H11" s="81" t="n"/>
      <c r="I11" s="81" t="n"/>
      <c r="J11" s="81" t="n"/>
      <c r="K11" s="81" t="n"/>
      <c r="L11" s="81" t="n"/>
      <c r="M11" s="81" t="n"/>
      <c r="N11" s="81" t="n"/>
      <c r="O11" s="81" t="n"/>
      <c r="P11" s="80">
        <f>P10+1</f>
        <v/>
      </c>
      <c r="Q11" s="81" t="n"/>
      <c r="R11" s="87">
        <f>S10</f>
        <v/>
      </c>
      <c r="S11" s="84" t="n">
        <v>150</v>
      </c>
      <c r="T11" s="85">
        <f>S11-R11</f>
        <v/>
      </c>
      <c r="U11" s="85" t="n"/>
      <c r="V11" s="85" t="n"/>
      <c r="W11" s="83" t="n"/>
      <c r="X11" s="83" t="n"/>
      <c r="Y11" s="83" t="n"/>
      <c r="Z11" s="83" t="n"/>
      <c r="AA11" s="83" t="n"/>
      <c r="AB11" s="83" t="n"/>
      <c r="AC11" s="83" t="n"/>
      <c r="AD11" s="80">
        <f>AD10+1</f>
        <v/>
      </c>
      <c r="AE11" s="83" t="n"/>
      <c r="AF11" s="87">
        <f>AG10</f>
        <v/>
      </c>
      <c r="AG11" s="87" t="n">
        <v>31</v>
      </c>
      <c r="AH11" s="85">
        <f>AG11-AF11</f>
        <v/>
      </c>
      <c r="AI11" s="85" t="n"/>
      <c r="AJ11" s="85" t="n"/>
      <c r="AK11" s="83" t="n"/>
      <c r="AL11" s="83" t="n"/>
      <c r="AM11" s="83" t="n"/>
      <c r="AN11" s="83" t="n"/>
      <c r="AO11" s="83" t="n"/>
      <c r="AP11" s="83" t="n"/>
      <c r="AQ11" s="83" t="n"/>
      <c r="AR11" s="73">
        <f>AR10+B11-J11-X11-AL11</f>
        <v/>
      </c>
    </row>
    <row r="12">
      <c r="A12" s="80">
        <f>A11+1</f>
        <v/>
      </c>
      <c r="B12" s="81" t="n"/>
      <c r="C12" s="81" t="n"/>
      <c r="D12" s="81">
        <f>E11</f>
        <v/>
      </c>
      <c r="E12" s="81" t="n">
        <v>356</v>
      </c>
      <c r="F12" s="81">
        <f>E12-D12</f>
        <v/>
      </c>
      <c r="G12" s="81" t="n"/>
      <c r="H12" s="81" t="n"/>
      <c r="I12" s="81" t="n"/>
      <c r="J12" s="81" t="n"/>
      <c r="K12" s="81" t="n"/>
      <c r="L12" s="81" t="n"/>
      <c r="M12" s="81" t="n"/>
      <c r="N12" s="81" t="n"/>
      <c r="O12" s="81" t="n"/>
      <c r="P12" s="80">
        <f>P11+1</f>
        <v/>
      </c>
      <c r="Q12" s="81" t="n"/>
      <c r="R12" s="87">
        <f>S11</f>
        <v/>
      </c>
      <c r="S12" s="84" t="n">
        <v>150</v>
      </c>
      <c r="T12" s="85">
        <f>S12-R12</f>
        <v/>
      </c>
      <c r="U12" s="85" t="n"/>
      <c r="V12" s="85" t="n"/>
      <c r="W12" s="83" t="n"/>
      <c r="X12" s="83" t="n"/>
      <c r="Y12" s="83" t="n"/>
      <c r="Z12" s="83" t="n"/>
      <c r="AA12" s="83" t="n"/>
      <c r="AB12" s="83" t="n"/>
      <c r="AC12" s="83" t="n"/>
      <c r="AD12" s="80">
        <f>AD11+1</f>
        <v/>
      </c>
      <c r="AE12" s="83" t="n"/>
      <c r="AF12" s="87">
        <f>AG11</f>
        <v/>
      </c>
      <c r="AG12" s="87" t="n">
        <v>31</v>
      </c>
      <c r="AH12" s="85">
        <f>AG12-AF12</f>
        <v/>
      </c>
      <c r="AI12" s="85" t="n"/>
      <c r="AJ12" s="85" t="n"/>
      <c r="AK12" s="83" t="n"/>
      <c r="AL12" s="83" t="n"/>
      <c r="AM12" s="83" t="n"/>
      <c r="AN12" s="83" t="n"/>
      <c r="AO12" s="83" t="n"/>
      <c r="AP12" s="83" t="n"/>
      <c r="AQ12" s="83" t="n"/>
      <c r="AR12" s="73">
        <f>AR11+B12-J12-X12-AL12</f>
        <v/>
      </c>
    </row>
    <row r="13">
      <c r="A13" s="80">
        <f>A12+1</f>
        <v/>
      </c>
      <c r="B13" s="81" t="n"/>
      <c r="C13" s="81" t="n"/>
      <c r="D13" s="81">
        <f>E12</f>
        <v/>
      </c>
      <c r="E13" s="81" t="n">
        <v>356</v>
      </c>
      <c r="F13" s="81">
        <f>E13-D13</f>
        <v/>
      </c>
      <c r="G13" s="81" t="n"/>
      <c r="H13" s="81" t="n"/>
      <c r="I13" s="81" t="n"/>
      <c r="J13" s="81" t="n"/>
      <c r="K13" s="81" t="n"/>
      <c r="L13" s="81" t="n"/>
      <c r="M13" s="81" t="n"/>
      <c r="N13" s="81" t="n"/>
      <c r="O13" s="81" t="n"/>
      <c r="P13" s="80">
        <f>P12+1</f>
        <v/>
      </c>
      <c r="Q13" s="81" t="n"/>
      <c r="R13" s="87">
        <f>S12</f>
        <v/>
      </c>
      <c r="S13" s="84" t="n">
        <v>150</v>
      </c>
      <c r="T13" s="85">
        <f>S13-R13</f>
        <v/>
      </c>
      <c r="U13" s="85" t="n"/>
      <c r="V13" s="85" t="n"/>
      <c r="W13" s="83" t="n"/>
      <c r="X13" s="83" t="n"/>
      <c r="Y13" s="83" t="n"/>
      <c r="Z13" s="83" t="n"/>
      <c r="AA13" s="83" t="n"/>
      <c r="AB13" s="83" t="n"/>
      <c r="AC13" s="83" t="n"/>
      <c r="AD13" s="80">
        <f>AD12+1</f>
        <v/>
      </c>
      <c r="AE13" s="83" t="n"/>
      <c r="AF13" s="87">
        <f>AG12</f>
        <v/>
      </c>
      <c r="AG13" s="87" t="n">
        <v>31</v>
      </c>
      <c r="AH13" s="85">
        <f>AG13-AF13</f>
        <v/>
      </c>
      <c r="AI13" s="85" t="n"/>
      <c r="AJ13" s="85" t="n"/>
      <c r="AK13" s="83" t="n"/>
      <c r="AL13" s="83" t="n"/>
      <c r="AM13" s="83" t="n"/>
      <c r="AN13" s="83" t="n"/>
      <c r="AO13" s="83" t="n"/>
      <c r="AP13" s="83" t="n"/>
      <c r="AQ13" s="83" t="n"/>
      <c r="AR13" s="73">
        <f>AR12+B13-J13-X13-AL13</f>
        <v/>
      </c>
    </row>
    <row r="14">
      <c r="A14" s="80">
        <f>A13+1</f>
        <v/>
      </c>
      <c r="B14" s="81" t="n"/>
      <c r="C14" s="81" t="n"/>
      <c r="D14" s="81">
        <f>E13</f>
        <v/>
      </c>
      <c r="E14" s="81" t="n">
        <v>356</v>
      </c>
      <c r="F14" s="81">
        <f>E14-D14</f>
        <v/>
      </c>
      <c r="G14" s="81" t="n"/>
      <c r="H14" s="81" t="n"/>
      <c r="I14" s="81" t="n"/>
      <c r="J14" s="81" t="n"/>
      <c r="K14" s="81" t="n"/>
      <c r="L14" s="81" t="n"/>
      <c r="M14" s="81" t="n"/>
      <c r="N14" s="81" t="n"/>
      <c r="O14" s="81" t="n"/>
      <c r="P14" s="80">
        <f>P13+1</f>
        <v/>
      </c>
      <c r="Q14" s="81" t="n"/>
      <c r="R14" s="87">
        <f>S13</f>
        <v/>
      </c>
      <c r="S14" s="84" t="n">
        <v>153</v>
      </c>
      <c r="T14" s="85">
        <f>S14-R14</f>
        <v/>
      </c>
      <c r="U14" s="85" t="n"/>
      <c r="V14" s="85" t="n"/>
      <c r="W14" s="83" t="n"/>
      <c r="X14" s="83" t="n"/>
      <c r="Y14" s="83" t="n"/>
      <c r="Z14" s="83" t="n"/>
      <c r="AA14" s="83" t="n"/>
      <c r="AB14" s="83" t="n"/>
      <c r="AC14" s="83" t="n"/>
      <c r="AD14" s="80">
        <f>AD13+1</f>
        <v/>
      </c>
      <c r="AE14" s="83" t="n"/>
      <c r="AF14" s="87">
        <f>AG13</f>
        <v/>
      </c>
      <c r="AG14" s="87" t="n">
        <v>33</v>
      </c>
      <c r="AH14" s="85">
        <f>AG14-AF14</f>
        <v/>
      </c>
      <c r="AI14" s="85" t="n"/>
      <c r="AJ14" s="85" t="n"/>
      <c r="AK14" s="83" t="n"/>
      <c r="AL14" s="83" t="n"/>
      <c r="AM14" s="83" t="n"/>
      <c r="AN14" s="83" t="n"/>
      <c r="AO14" s="83" t="n"/>
      <c r="AP14" s="83" t="n"/>
      <c r="AQ14" s="83" t="n"/>
      <c r="AR14" s="73">
        <f>AR13+B14-J14-X14-AL14</f>
        <v/>
      </c>
    </row>
    <row r="15">
      <c r="A15" s="80">
        <f>A14+1</f>
        <v/>
      </c>
      <c r="B15" s="81" t="n"/>
      <c r="C15" s="81" t="n"/>
      <c r="D15" s="81">
        <f>E14</f>
        <v/>
      </c>
      <c r="E15" s="81" t="n">
        <v>357</v>
      </c>
      <c r="F15" s="81">
        <f>E15-D15</f>
        <v/>
      </c>
      <c r="G15" s="81" t="n"/>
      <c r="H15" s="81" t="n"/>
      <c r="I15" s="81" t="n"/>
      <c r="J15" s="81" t="n"/>
      <c r="K15" s="81" t="n"/>
      <c r="L15" s="81" t="n"/>
      <c r="M15" s="81" t="n"/>
      <c r="N15" s="81" t="n"/>
      <c r="O15" s="81" t="n"/>
      <c r="P15" s="80">
        <f>P14+1</f>
        <v/>
      </c>
      <c r="Q15" s="81" t="n"/>
      <c r="R15" s="87">
        <f>S14</f>
        <v/>
      </c>
      <c r="S15" s="84" t="n">
        <v>154</v>
      </c>
      <c r="T15" s="85">
        <f>S15-R15</f>
        <v/>
      </c>
      <c r="U15" s="85" t="n"/>
      <c r="V15" s="85" t="n"/>
      <c r="W15" s="83" t="n"/>
      <c r="X15" s="83" t="n"/>
      <c r="Y15" s="83" t="n"/>
      <c r="Z15" s="83" t="n"/>
      <c r="AA15" s="83" t="n"/>
      <c r="AB15" s="83" t="n"/>
      <c r="AC15" s="83" t="n"/>
      <c r="AD15" s="80">
        <f>AD14+1</f>
        <v/>
      </c>
      <c r="AE15" s="83" t="n"/>
      <c r="AF15" s="87">
        <f>AG14</f>
        <v/>
      </c>
      <c r="AG15" s="87" t="n">
        <v>33</v>
      </c>
      <c r="AH15" s="85">
        <f>AG15-AF15</f>
        <v/>
      </c>
      <c r="AI15" s="85" t="n"/>
      <c r="AJ15" s="85" t="n"/>
      <c r="AK15" s="83" t="n"/>
      <c r="AL15" s="83" t="n"/>
      <c r="AM15" s="83" t="n"/>
      <c r="AN15" s="83" t="n"/>
      <c r="AO15" s="83" t="n"/>
      <c r="AP15" s="83" t="n"/>
      <c r="AQ15" s="83" t="n"/>
      <c r="AR15" s="73">
        <f>AR14+B15-J15-X15-AL15</f>
        <v/>
      </c>
    </row>
    <row r="16">
      <c r="A16" s="80">
        <f>A15+1</f>
        <v/>
      </c>
      <c r="B16" s="81" t="n"/>
      <c r="C16" s="81" t="n"/>
      <c r="D16" s="81">
        <f>E15</f>
        <v/>
      </c>
      <c r="E16" s="81" t="n">
        <v>359</v>
      </c>
      <c r="F16" s="81">
        <f>E16-D16</f>
        <v/>
      </c>
      <c r="G16" s="81" t="n"/>
      <c r="H16" s="81" t="n"/>
      <c r="I16" s="81" t="n"/>
      <c r="J16" s="81" t="n"/>
      <c r="K16" s="81" t="n"/>
      <c r="L16" s="81" t="n"/>
      <c r="M16" s="81" t="n"/>
      <c r="N16" s="81" t="n"/>
      <c r="O16" s="81" t="n"/>
      <c r="P16" s="80">
        <f>P15+1</f>
        <v/>
      </c>
      <c r="Q16" s="81" t="n"/>
      <c r="R16" s="87">
        <f>S15</f>
        <v/>
      </c>
      <c r="S16" s="84" t="n">
        <v>155</v>
      </c>
      <c r="T16" s="85">
        <f>S16-R16</f>
        <v/>
      </c>
      <c r="U16" s="85" t="n"/>
      <c r="V16" s="85" t="n"/>
      <c r="W16" s="83" t="n"/>
      <c r="X16" s="83" t="n"/>
      <c r="Y16" s="83" t="n"/>
      <c r="Z16" s="83" t="n"/>
      <c r="AA16" s="83" t="n"/>
      <c r="AB16" s="83" t="n"/>
      <c r="AC16" s="83" t="n"/>
      <c r="AD16" s="80">
        <f>AD15+1</f>
        <v/>
      </c>
      <c r="AE16" s="83" t="n"/>
      <c r="AF16" s="87">
        <f>AG15</f>
        <v/>
      </c>
      <c r="AG16" s="87" t="n">
        <v>34</v>
      </c>
      <c r="AH16" s="85">
        <f>AG16-AF16</f>
        <v/>
      </c>
      <c r="AI16" s="85" t="n"/>
      <c r="AJ16" s="85" t="n"/>
      <c r="AK16" s="83" t="n"/>
      <c r="AL16" s="83" t="n"/>
      <c r="AM16" s="83" t="n"/>
      <c r="AN16" s="83" t="n"/>
      <c r="AO16" s="83" t="n"/>
      <c r="AP16" s="83" t="n"/>
      <c r="AQ16" s="83" t="n"/>
      <c r="AR16" s="73">
        <f>AR15+B16-J16-X16-AL16</f>
        <v/>
      </c>
    </row>
    <row r="17">
      <c r="A17" s="80">
        <f>A16+1</f>
        <v/>
      </c>
      <c r="B17" s="81" t="n"/>
      <c r="C17" s="81" t="n"/>
      <c r="D17" s="81">
        <f>E16</f>
        <v/>
      </c>
      <c r="E17" s="81" t="n">
        <v>364</v>
      </c>
      <c r="F17" s="81">
        <f>E17-D17</f>
        <v/>
      </c>
      <c r="G17" s="81" t="n"/>
      <c r="H17" s="81" t="n"/>
      <c r="I17" s="81" t="n"/>
      <c r="J17" s="81" t="n"/>
      <c r="K17" s="81" t="n"/>
      <c r="L17" s="81" t="n"/>
      <c r="M17" s="81" t="n"/>
      <c r="N17" s="81" t="n"/>
      <c r="O17" s="81" t="n"/>
      <c r="P17" s="80">
        <f>P16+1</f>
        <v/>
      </c>
      <c r="Q17" s="81" t="n"/>
      <c r="R17" s="87">
        <f>S16</f>
        <v/>
      </c>
      <c r="S17" s="87" t="n">
        <v>159</v>
      </c>
      <c r="T17" s="85">
        <f>S17-R17</f>
        <v/>
      </c>
      <c r="U17" s="85" t="n"/>
      <c r="V17" s="85" t="n"/>
      <c r="W17" s="83" t="n"/>
      <c r="X17" s="83" t="n"/>
      <c r="Y17" s="83" t="n"/>
      <c r="Z17" s="83" t="n"/>
      <c r="AA17" s="83" t="n"/>
      <c r="AB17" s="83" t="n"/>
      <c r="AC17" s="83" t="n"/>
      <c r="AD17" s="80">
        <f>AD16+1</f>
        <v/>
      </c>
      <c r="AE17" s="83" t="n"/>
      <c r="AF17" s="87">
        <f>AG16</f>
        <v/>
      </c>
      <c r="AG17" s="87" t="n">
        <v>40</v>
      </c>
      <c r="AH17" s="85">
        <f>AG17-AF17</f>
        <v/>
      </c>
      <c r="AI17" s="85" t="n"/>
      <c r="AJ17" s="85" t="n"/>
      <c r="AK17" s="83" t="n"/>
      <c r="AL17" s="83" t="n">
        <v>200</v>
      </c>
      <c r="AM17" s="83" t="n">
        <v>37</v>
      </c>
      <c r="AN17" s="83" t="n"/>
      <c r="AO17" s="83" t="n"/>
      <c r="AP17" s="83" t="n"/>
      <c r="AQ17" s="83" t="n"/>
      <c r="AR17" s="73">
        <f>AR16+B17-J17-X17-AL17</f>
        <v/>
      </c>
    </row>
    <row r="18">
      <c r="A18" s="80">
        <f>A17+1</f>
        <v/>
      </c>
      <c r="B18" s="81" t="n"/>
      <c r="C18" s="81" t="n"/>
      <c r="D18" s="81">
        <f>E17</f>
        <v/>
      </c>
      <c r="E18" s="81" t="n">
        <v>374</v>
      </c>
      <c r="F18" s="81">
        <f>E18-D18</f>
        <v/>
      </c>
      <c r="G18" s="81" t="n"/>
      <c r="H18" s="81" t="n"/>
      <c r="I18" s="81" t="n"/>
      <c r="J18" s="81" t="n"/>
      <c r="K18" s="81" t="n"/>
      <c r="L18" s="81" t="n"/>
      <c r="M18" s="81" t="n"/>
      <c r="N18" s="81" t="n"/>
      <c r="O18" s="81" t="n"/>
      <c r="P18" s="80">
        <f>P17+1</f>
        <v/>
      </c>
      <c r="Q18" s="81" t="n"/>
      <c r="R18" s="87">
        <f>S17</f>
        <v/>
      </c>
      <c r="S18" s="87" t="n">
        <v>164</v>
      </c>
      <c r="T18" s="85">
        <f>S18-R18</f>
        <v/>
      </c>
      <c r="U18" s="85" t="n"/>
      <c r="V18" s="85" t="n"/>
      <c r="W18" s="83" t="n"/>
      <c r="X18" s="83" t="n"/>
      <c r="Y18" s="83" t="n"/>
      <c r="Z18" s="83" t="n"/>
      <c r="AA18" s="83" t="n"/>
      <c r="AB18" s="83" t="n"/>
      <c r="AC18" s="83" t="n"/>
      <c r="AD18" s="80">
        <f>AD17+1</f>
        <v/>
      </c>
      <c r="AE18" s="83" t="n"/>
      <c r="AF18" s="87">
        <f>AG17</f>
        <v/>
      </c>
      <c r="AG18" s="87" t="n">
        <v>42</v>
      </c>
      <c r="AH18" s="85">
        <f>AG18-AF18</f>
        <v/>
      </c>
      <c r="AI18" s="85" t="n"/>
      <c r="AJ18" s="85" t="n"/>
      <c r="AK18" s="83" t="n"/>
      <c r="AL18" s="83" t="n"/>
      <c r="AM18" s="83" t="n"/>
      <c r="AN18" s="83" t="n"/>
      <c r="AO18" s="83" t="n"/>
      <c r="AP18" s="83" t="n"/>
      <c r="AQ18" s="83" t="n"/>
      <c r="AR18" s="73">
        <f>AR17+B18-J18-X18-AL18</f>
        <v/>
      </c>
    </row>
    <row r="19">
      <c r="A19" s="80">
        <f>A18+1</f>
        <v/>
      </c>
      <c r="B19" s="81" t="n"/>
      <c r="C19" s="81" t="n"/>
      <c r="D19" s="81">
        <f>E18</f>
        <v/>
      </c>
      <c r="E19" s="81" t="n">
        <v>386</v>
      </c>
      <c r="F19" s="81">
        <f>E19-D19</f>
        <v/>
      </c>
      <c r="G19" s="81" t="n"/>
      <c r="H19" s="81" t="n"/>
      <c r="I19" s="81" t="n"/>
      <c r="J19" s="81" t="n"/>
      <c r="K19" s="81" t="n"/>
      <c r="L19" s="81" t="n"/>
      <c r="M19" s="81" t="n"/>
      <c r="N19" s="81" t="n"/>
      <c r="O19" s="81" t="n"/>
      <c r="P19" s="80">
        <f>P18+1</f>
        <v/>
      </c>
      <c r="Q19" s="81" t="n"/>
      <c r="R19" s="87">
        <f>S18</f>
        <v/>
      </c>
      <c r="S19" s="87" t="n">
        <v>173</v>
      </c>
      <c r="T19" s="85">
        <f>S19-R19</f>
        <v/>
      </c>
      <c r="U19" s="85" t="n"/>
      <c r="V19" s="85" t="n"/>
      <c r="W19" s="83" t="n"/>
      <c r="X19" s="83" t="n"/>
      <c r="Y19" s="83" t="n"/>
      <c r="Z19" s="83" t="n"/>
      <c r="AA19" s="83" t="n"/>
      <c r="AB19" s="83" t="n"/>
      <c r="AC19" s="83" t="n"/>
      <c r="AD19" s="80">
        <f>AD18+1</f>
        <v/>
      </c>
      <c r="AE19" s="83" t="n"/>
      <c r="AF19" s="87">
        <f>AG18</f>
        <v/>
      </c>
      <c r="AG19" s="87" t="n">
        <v>46</v>
      </c>
      <c r="AH19" s="85">
        <f>AG19-AF19</f>
        <v/>
      </c>
      <c r="AI19" s="85" t="n"/>
      <c r="AJ19" s="85" t="n"/>
      <c r="AK19" s="83" t="n"/>
      <c r="AL19" s="83" t="n"/>
      <c r="AM19" s="83" t="n"/>
      <c r="AN19" s="83" t="n"/>
      <c r="AO19" s="83" t="n"/>
      <c r="AP19" s="83" t="n"/>
      <c r="AQ19" s="83" t="n"/>
      <c r="AR19" s="73">
        <f>AR18+B19-J19-X19-AL19</f>
        <v/>
      </c>
    </row>
    <row r="20">
      <c r="A20" s="80">
        <f>A19+1</f>
        <v/>
      </c>
      <c r="B20" s="81" t="n"/>
      <c r="C20" s="81" t="n"/>
      <c r="D20" s="81">
        <f>E19</f>
        <v/>
      </c>
      <c r="E20" s="81" t="n">
        <v>391</v>
      </c>
      <c r="F20" s="81">
        <f>E20-D20</f>
        <v/>
      </c>
      <c r="G20" s="81" t="n"/>
      <c r="H20" s="81" t="n"/>
      <c r="I20" s="81" t="n"/>
      <c r="J20" s="81" t="n"/>
      <c r="K20" s="81" t="n"/>
      <c r="L20" s="81" t="n"/>
      <c r="M20" s="81" t="n"/>
      <c r="N20" s="81" t="n"/>
      <c r="O20" s="81" t="n"/>
      <c r="P20" s="80">
        <f>P19+1</f>
        <v/>
      </c>
      <c r="Q20" s="81" t="n"/>
      <c r="R20" s="87">
        <f>S19</f>
        <v/>
      </c>
      <c r="S20" s="87" t="n">
        <v>179</v>
      </c>
      <c r="T20" s="85">
        <f>S20-R20</f>
        <v/>
      </c>
      <c r="U20" s="85" t="n"/>
      <c r="V20" s="85" t="n"/>
      <c r="W20" s="83" t="n"/>
      <c r="X20" s="83" t="n"/>
      <c r="Y20" s="83" t="n"/>
      <c r="Z20" s="83" t="n"/>
      <c r="AA20" s="83" t="n"/>
      <c r="AB20" s="83" t="n"/>
      <c r="AC20" s="83" t="n"/>
      <c r="AD20" s="80">
        <f>AD19+1</f>
        <v/>
      </c>
      <c r="AE20" s="83" t="n"/>
      <c r="AF20" s="87">
        <f>AG19</f>
        <v/>
      </c>
      <c r="AG20" s="87" t="n">
        <v>46</v>
      </c>
      <c r="AH20" s="85">
        <f>AG20-AF20</f>
        <v/>
      </c>
      <c r="AI20" s="85" t="n"/>
      <c r="AJ20" s="85" t="n"/>
      <c r="AK20" s="83" t="n"/>
      <c r="AL20" s="83" t="n"/>
      <c r="AM20" s="83" t="n"/>
      <c r="AN20" s="83" t="n"/>
      <c r="AO20" s="83" t="n"/>
      <c r="AP20" s="83" t="n"/>
      <c r="AQ20" s="83" t="n"/>
      <c r="AR20" s="73">
        <f>AR19+B20-J20-X20-AL20</f>
        <v/>
      </c>
    </row>
    <row r="21">
      <c r="A21" s="80">
        <f>A20+1</f>
        <v/>
      </c>
      <c r="B21" s="81" t="n"/>
      <c r="C21" s="81" t="n"/>
      <c r="D21" s="81">
        <f>E20</f>
        <v/>
      </c>
      <c r="E21" s="81" t="n">
        <v>398</v>
      </c>
      <c r="F21" s="81">
        <f>E21-D21</f>
        <v/>
      </c>
      <c r="G21" s="81" t="n"/>
      <c r="H21" s="81" t="n"/>
      <c r="I21" s="81" t="n"/>
      <c r="J21" s="81" t="n">
        <v>370</v>
      </c>
      <c r="K21" s="81" t="n">
        <v>394</v>
      </c>
      <c r="L21" s="81">
        <f>K21-K5</f>
        <v/>
      </c>
      <c r="M21" s="117">
        <f>J21/L21</f>
        <v/>
      </c>
      <c r="N21" s="81" t="n"/>
      <c r="O21" s="81" t="n"/>
      <c r="P21" s="80">
        <f>P20+1</f>
        <v/>
      </c>
      <c r="Q21" s="81" t="n"/>
      <c r="R21" s="87">
        <f>S20</f>
        <v/>
      </c>
      <c r="S21" s="87" t="n">
        <v>183</v>
      </c>
      <c r="T21" s="85">
        <f>S21-R21</f>
        <v/>
      </c>
      <c r="U21" s="85" t="n"/>
      <c r="V21" s="85" t="n"/>
      <c r="W21" s="83" t="n"/>
      <c r="X21" s="83" t="n">
        <v>425</v>
      </c>
      <c r="Y21" s="83" t="n">
        <v>181</v>
      </c>
      <c r="Z21" s="83">
        <f>Y21-Y5</f>
        <v/>
      </c>
      <c r="AA21" s="103">
        <f>X21/Z21</f>
        <v/>
      </c>
      <c r="AB21" s="83" t="n"/>
      <c r="AC21" s="83" t="n"/>
      <c r="AD21" s="80">
        <f>AD20+1</f>
        <v/>
      </c>
      <c r="AE21" s="83" t="n"/>
      <c r="AF21" s="87">
        <f>AG20</f>
        <v/>
      </c>
      <c r="AG21" s="87" t="n">
        <v>50</v>
      </c>
      <c r="AH21" s="85">
        <f>AG21-AF21</f>
        <v/>
      </c>
      <c r="AI21" s="85" t="n"/>
      <c r="AJ21" s="85" t="n"/>
      <c r="AK21" s="83" t="n"/>
      <c r="AL21" s="83" t="n"/>
      <c r="AM21" s="83" t="n"/>
      <c r="AN21" s="83" t="n"/>
      <c r="AO21" s="83" t="n"/>
      <c r="AP21" s="83" t="n"/>
      <c r="AQ21" s="83" t="n"/>
      <c r="AR21" s="73">
        <f>AR20+B21-J21-X21-AL21</f>
        <v/>
      </c>
    </row>
    <row r="22">
      <c r="A22" s="80">
        <f>A21+1</f>
        <v/>
      </c>
      <c r="B22" s="118" t="n">
        <v>1400</v>
      </c>
      <c r="C22" s="81" t="n"/>
      <c r="D22" s="81">
        <f>E21</f>
        <v/>
      </c>
      <c r="E22" s="81" t="n">
        <v>404</v>
      </c>
      <c r="F22" s="81">
        <f>E22-D22</f>
        <v/>
      </c>
      <c r="G22" s="81" t="n"/>
      <c r="H22" s="81" t="n"/>
      <c r="I22" s="81" t="n"/>
      <c r="J22" s="81" t="n"/>
      <c r="K22" s="81" t="n"/>
      <c r="L22" s="81" t="n"/>
      <c r="M22" s="81" t="n"/>
      <c r="N22" s="81" t="n"/>
      <c r="O22" s="81" t="n"/>
      <c r="P22" s="80">
        <f>P21+1</f>
        <v/>
      </c>
      <c r="Q22" s="81" t="n"/>
      <c r="R22" s="87">
        <f>S21</f>
        <v/>
      </c>
      <c r="S22" s="87" t="n">
        <v>187</v>
      </c>
      <c r="T22" s="85">
        <f>S22-R22</f>
        <v/>
      </c>
      <c r="U22" s="85" t="n"/>
      <c r="V22" s="85" t="n"/>
      <c r="W22" s="83" t="n"/>
      <c r="X22" s="83" t="n"/>
      <c r="Y22" s="83" t="n"/>
      <c r="Z22" s="83" t="n"/>
      <c r="AA22" s="83" t="n"/>
      <c r="AB22" s="83" t="n"/>
      <c r="AC22" s="83" t="n"/>
      <c r="AD22" s="80">
        <f>AD21+1</f>
        <v/>
      </c>
      <c r="AE22" s="83" t="n"/>
      <c r="AF22" s="87">
        <f>AG21</f>
        <v/>
      </c>
      <c r="AG22" s="87" t="n">
        <v>56</v>
      </c>
      <c r="AH22" s="85">
        <f>AG22-AF22</f>
        <v/>
      </c>
      <c r="AI22" s="85" t="n"/>
      <c r="AJ22" s="85" t="n"/>
      <c r="AK22" s="83" t="n"/>
      <c r="AL22" s="83" t="n">
        <v>315</v>
      </c>
      <c r="AM22" s="83" t="n">
        <v>51</v>
      </c>
      <c r="AN22" s="83" t="n"/>
      <c r="AO22" s="83" t="n"/>
      <c r="AP22" s="83" t="n"/>
      <c r="AQ22" s="83" t="n"/>
      <c r="AR22" s="73">
        <f>AR21+B22-J22-X22-AL22</f>
        <v/>
      </c>
    </row>
    <row r="23">
      <c r="A23" s="80">
        <f>A22+1</f>
        <v/>
      </c>
      <c r="B23" s="81" t="n"/>
      <c r="C23" s="81" t="n"/>
      <c r="D23" s="81">
        <f>E22</f>
        <v/>
      </c>
      <c r="E23" s="81" t="n">
        <v>409</v>
      </c>
      <c r="F23" s="81">
        <f>E23-D23</f>
        <v/>
      </c>
      <c r="G23" s="81" t="n"/>
      <c r="H23" s="81" t="n"/>
      <c r="I23" s="81" t="n"/>
      <c r="J23" s="81" t="n"/>
      <c r="K23" s="81" t="n"/>
      <c r="L23" s="81" t="n"/>
      <c r="M23" s="81" t="n"/>
      <c r="N23" s="81" t="n"/>
      <c r="O23" s="81" t="n"/>
      <c r="P23" s="80">
        <f>P22+1</f>
        <v/>
      </c>
      <c r="Q23" s="81" t="n"/>
      <c r="R23" s="87">
        <f>S22</f>
        <v/>
      </c>
      <c r="S23" s="87" t="n">
        <v>189</v>
      </c>
      <c r="T23" s="85">
        <f>S23-R23</f>
        <v/>
      </c>
      <c r="U23" s="85" t="n"/>
      <c r="V23" s="85" t="n"/>
      <c r="W23" s="83" t="n"/>
      <c r="X23" s="83" t="n"/>
      <c r="Y23" s="83" t="n"/>
      <c r="Z23" s="83" t="n"/>
      <c r="AA23" s="83" t="n"/>
      <c r="AB23" s="83" t="n"/>
      <c r="AC23" s="83" t="n"/>
      <c r="AD23" s="80">
        <f>AD22+1</f>
        <v/>
      </c>
      <c r="AE23" s="83" t="n"/>
      <c r="AF23" s="87">
        <f>AG22</f>
        <v/>
      </c>
      <c r="AG23" s="87" t="n">
        <v>56</v>
      </c>
      <c r="AH23" s="85">
        <f>AG23-AF23</f>
        <v/>
      </c>
      <c r="AI23" s="85" t="n"/>
      <c r="AJ23" s="85" t="n"/>
      <c r="AK23" s="83" t="n"/>
      <c r="AL23" s="83" t="n"/>
      <c r="AM23" s="83" t="n"/>
      <c r="AN23" s="83" t="n"/>
      <c r="AO23" s="83" t="n"/>
      <c r="AP23" s="83" t="n"/>
      <c r="AQ23" s="83" t="n"/>
      <c r="AR23" s="73">
        <f>AR22+B23-J23-X23-AL23</f>
        <v/>
      </c>
    </row>
    <row r="24">
      <c r="A24" s="80">
        <f>A23+1</f>
        <v/>
      </c>
      <c r="B24" s="81" t="n"/>
      <c r="C24" s="81" t="n"/>
      <c r="D24" s="81">
        <f>E23</f>
        <v/>
      </c>
      <c r="E24" s="81" t="n">
        <v>414</v>
      </c>
      <c r="F24" s="81">
        <f>E24-D24</f>
        <v/>
      </c>
      <c r="G24" s="81" t="n"/>
      <c r="H24" s="81" t="n"/>
      <c r="I24" s="81" t="n"/>
      <c r="J24" s="81" t="n"/>
      <c r="K24" s="81" t="n"/>
      <c r="L24" s="81" t="n"/>
      <c r="M24" s="81" t="n"/>
      <c r="N24" s="81" t="n"/>
      <c r="O24" s="81" t="n"/>
      <c r="P24" s="80">
        <f>P23+1</f>
        <v/>
      </c>
      <c r="Q24" s="81" t="n"/>
      <c r="R24" s="87">
        <f>S23</f>
        <v/>
      </c>
      <c r="S24" s="87" t="n">
        <v>194</v>
      </c>
      <c r="T24" s="85">
        <f>S24-R24</f>
        <v/>
      </c>
      <c r="U24" s="85" t="n"/>
      <c r="V24" s="85" t="n"/>
      <c r="W24" s="83" t="n"/>
      <c r="X24" s="83" t="n"/>
      <c r="Y24" s="83" t="n"/>
      <c r="Z24" s="83" t="n"/>
      <c r="AA24" s="83" t="n"/>
      <c r="AB24" s="83" t="n"/>
      <c r="AC24" s="83" t="n"/>
      <c r="AD24" s="80">
        <f>AD23+1</f>
        <v/>
      </c>
      <c r="AE24" s="83" t="n"/>
      <c r="AF24" s="87">
        <f>AG23</f>
        <v/>
      </c>
      <c r="AG24" s="87" t="n">
        <v>62</v>
      </c>
      <c r="AH24" s="85">
        <f>AG24-AF24</f>
        <v/>
      </c>
      <c r="AI24" s="85" t="n"/>
      <c r="AJ24" s="85" t="n"/>
      <c r="AK24" s="83" t="n"/>
      <c r="AL24" s="83" t="n"/>
      <c r="AM24" s="83" t="n"/>
      <c r="AN24" s="83" t="n"/>
      <c r="AO24" s="83" t="n"/>
      <c r="AP24" s="83" t="n"/>
      <c r="AQ24" s="83" t="n"/>
      <c r="AR24" s="73">
        <f>AR23+B24-J24-X24-AL24</f>
        <v/>
      </c>
    </row>
    <row r="25">
      <c r="A25" s="80">
        <f>A24+1</f>
        <v/>
      </c>
      <c r="B25" s="81" t="n"/>
      <c r="C25" s="81" t="n"/>
      <c r="D25" s="81">
        <f>E24</f>
        <v/>
      </c>
      <c r="E25" s="81" t="n">
        <v>429</v>
      </c>
      <c r="F25" s="81">
        <f>E25-D25</f>
        <v/>
      </c>
      <c r="G25" s="81" t="n"/>
      <c r="H25" s="81" t="n"/>
      <c r="I25" s="81" t="n"/>
      <c r="J25" s="81" t="n"/>
      <c r="K25" s="81" t="n"/>
      <c r="L25" s="81" t="n"/>
      <c r="M25" s="81" t="n"/>
      <c r="N25" s="81" t="n"/>
      <c r="O25" s="81" t="n"/>
      <c r="P25" s="80">
        <f>P24+1</f>
        <v/>
      </c>
      <c r="Q25" s="81" t="n"/>
      <c r="R25" s="87">
        <f>S24</f>
        <v/>
      </c>
      <c r="S25" s="87" t="n">
        <v>209</v>
      </c>
      <c r="T25" s="85">
        <f>S25-R25</f>
        <v/>
      </c>
      <c r="U25" s="85" t="n"/>
      <c r="V25" s="85" t="n"/>
      <c r="W25" s="83" t="n"/>
      <c r="X25" s="83" t="n"/>
      <c r="Y25" s="83" t="n"/>
      <c r="Z25" s="83" t="n"/>
      <c r="AA25" s="83" t="n"/>
      <c r="AB25" s="83" t="n"/>
      <c r="AC25" s="83" t="n"/>
      <c r="AD25" s="80">
        <f>AD24+1</f>
        <v/>
      </c>
      <c r="AE25" s="83" t="n"/>
      <c r="AF25" s="87">
        <f>AG24</f>
        <v/>
      </c>
      <c r="AG25" s="87" t="n">
        <v>66</v>
      </c>
      <c r="AH25" s="85">
        <f>AG25-AF25</f>
        <v/>
      </c>
      <c r="AI25" s="85" t="n"/>
      <c r="AJ25" s="85" t="n"/>
      <c r="AK25" s="83" t="n"/>
      <c r="AL25" s="83" t="n"/>
      <c r="AM25" s="83" t="n"/>
      <c r="AN25" s="83" t="n"/>
      <c r="AO25" s="83" t="n"/>
      <c r="AP25" s="83" t="n"/>
      <c r="AQ25" s="83" t="n"/>
      <c r="AR25" s="73">
        <f>AR24+B25-J25-X25-AL25</f>
        <v/>
      </c>
    </row>
    <row r="26">
      <c r="A26" s="80">
        <f>A25+1</f>
        <v/>
      </c>
      <c r="B26" s="81" t="n"/>
      <c r="C26" s="81" t="n"/>
      <c r="D26" s="81">
        <f>E25</f>
        <v/>
      </c>
      <c r="E26" s="81" t="n">
        <v>439</v>
      </c>
      <c r="F26" s="81">
        <f>E26-D26</f>
        <v/>
      </c>
      <c r="G26" s="81" t="n"/>
      <c r="H26" s="81" t="n"/>
      <c r="I26" s="81" t="n"/>
      <c r="J26" s="81" t="n"/>
      <c r="K26" s="81" t="n"/>
      <c r="L26" s="81" t="n"/>
      <c r="M26" s="81" t="n"/>
      <c r="N26" s="81" t="n"/>
      <c r="O26" s="81" t="n"/>
      <c r="P26" s="80">
        <f>P25+1</f>
        <v/>
      </c>
      <c r="Q26" s="81" t="n"/>
      <c r="R26" s="87">
        <f>S25</f>
        <v/>
      </c>
      <c r="S26" s="87" t="n">
        <v>215</v>
      </c>
      <c r="T26" s="85">
        <f>S26-R26</f>
        <v/>
      </c>
      <c r="U26" s="85" t="n"/>
      <c r="V26" s="85" t="n"/>
      <c r="W26" s="83" t="n"/>
      <c r="X26" s="83" t="n"/>
      <c r="Y26" s="83" t="n"/>
      <c r="Z26" s="83" t="n"/>
      <c r="AA26" s="83" t="n"/>
      <c r="AB26" s="83" t="n"/>
      <c r="AC26" s="83" t="n"/>
      <c r="AD26" s="80">
        <f>AD25+1</f>
        <v/>
      </c>
      <c r="AE26" s="83" t="n"/>
      <c r="AF26" s="87">
        <f>AG25</f>
        <v/>
      </c>
      <c r="AG26" s="87" t="n">
        <v>68</v>
      </c>
      <c r="AH26" s="85">
        <f>AG26-AF26</f>
        <v/>
      </c>
      <c r="AI26" s="85" t="n"/>
      <c r="AJ26" s="85" t="n"/>
      <c r="AK26" s="83" t="n"/>
      <c r="AL26" s="83" t="n"/>
      <c r="AM26" s="83" t="n"/>
      <c r="AN26" s="83" t="n"/>
      <c r="AO26" s="83" t="n"/>
      <c r="AP26" s="83" t="n"/>
      <c r="AQ26" s="83" t="n"/>
      <c r="AR26" s="73">
        <f>AR25+B26-J26-X26-AL26</f>
        <v/>
      </c>
    </row>
    <row r="27">
      <c r="A27" s="80">
        <f>A26+1</f>
        <v/>
      </c>
      <c r="B27" s="81" t="n"/>
      <c r="C27" s="81" t="n"/>
      <c r="D27" s="81">
        <f>E26</f>
        <v/>
      </c>
      <c r="E27" s="81" t="n">
        <v>450</v>
      </c>
      <c r="F27" s="81">
        <f>E27-D27</f>
        <v/>
      </c>
      <c r="G27" s="81" t="n"/>
      <c r="H27" s="81" t="n"/>
      <c r="I27" s="81" t="n"/>
      <c r="J27" s="81" t="n">
        <v>555</v>
      </c>
      <c r="K27" s="81" t="n">
        <v>442</v>
      </c>
      <c r="L27" s="81">
        <f>K27-K21</f>
        <v/>
      </c>
      <c r="M27" s="81">
        <f>J27/L27</f>
        <v/>
      </c>
      <c r="N27" s="81" t="n"/>
      <c r="O27" s="81" t="n"/>
      <c r="P27" s="80">
        <f>P26+1</f>
        <v/>
      </c>
      <c r="Q27" s="81" t="n"/>
      <c r="R27" s="87">
        <f>S26</f>
        <v/>
      </c>
      <c r="S27" s="87" t="n">
        <v>225</v>
      </c>
      <c r="T27" s="85">
        <f>S27-R27</f>
        <v/>
      </c>
      <c r="U27" s="85" t="n"/>
      <c r="V27" s="85" t="n"/>
      <c r="W27" s="83" t="n"/>
      <c r="X27" s="83" t="n"/>
      <c r="Y27" s="83" t="n"/>
      <c r="Z27" s="83" t="n"/>
      <c r="AA27" s="83" t="n"/>
      <c r="AB27" s="83" t="n"/>
      <c r="AC27" s="83" t="n"/>
      <c r="AD27" s="80">
        <f>AD26+1</f>
        <v/>
      </c>
      <c r="AE27" s="83" t="n"/>
      <c r="AF27" s="87">
        <f>AG26</f>
        <v/>
      </c>
      <c r="AG27" s="87" t="n">
        <v>70</v>
      </c>
      <c r="AH27" s="85">
        <f>AG27-AF27</f>
        <v/>
      </c>
      <c r="AI27" s="85" t="n"/>
      <c r="AJ27" s="85" t="n"/>
      <c r="AK27" s="83" t="n"/>
      <c r="AL27" s="83" t="n"/>
      <c r="AM27" s="83" t="n"/>
      <c r="AN27" s="83" t="n"/>
      <c r="AO27" s="83" t="n"/>
      <c r="AP27" s="83" t="n"/>
      <c r="AQ27" s="83" t="n"/>
      <c r="AR27" s="73">
        <f>AR26+B27-J27-X27-AL27</f>
        <v/>
      </c>
    </row>
    <row r="28">
      <c r="A28" s="80">
        <f>A27+1</f>
        <v/>
      </c>
      <c r="B28" s="81" t="n"/>
      <c r="C28" s="81" t="n"/>
      <c r="D28" s="81">
        <f>E27</f>
        <v/>
      </c>
      <c r="E28" s="81" t="n">
        <v>462</v>
      </c>
      <c r="F28" s="81">
        <f>E28-D28</f>
        <v/>
      </c>
      <c r="G28" s="81" t="n"/>
      <c r="H28" s="81" t="n"/>
      <c r="I28" s="81" t="n"/>
      <c r="J28" s="81" t="n"/>
      <c r="K28" s="81" t="n"/>
      <c r="L28" s="81" t="n"/>
      <c r="M28" s="81" t="n"/>
      <c r="N28" s="81" t="n"/>
      <c r="O28" s="81" t="n"/>
      <c r="P28" s="80">
        <f>P27+1</f>
        <v/>
      </c>
      <c r="Q28" s="81" t="n"/>
      <c r="R28" s="87">
        <f>S27</f>
        <v/>
      </c>
      <c r="S28" s="87" t="n">
        <v>233</v>
      </c>
      <c r="T28" s="85">
        <f>S28-R28</f>
        <v/>
      </c>
      <c r="U28" s="85" t="n"/>
      <c r="V28" s="85" t="n"/>
      <c r="W28" s="83" t="n"/>
      <c r="X28" s="83" t="n"/>
      <c r="Y28" s="83" t="n"/>
      <c r="Z28" s="83" t="n"/>
      <c r="AA28" s="83" t="n"/>
      <c r="AB28" s="83" t="n"/>
      <c r="AC28" s="83" t="n"/>
      <c r="AD28" s="80">
        <f>AD27+1</f>
        <v/>
      </c>
      <c r="AE28" s="83" t="n"/>
      <c r="AF28" s="87">
        <f>AG27</f>
        <v/>
      </c>
      <c r="AG28" s="115" t="n">
        <v>73</v>
      </c>
      <c r="AH28" s="85">
        <f>AG28-AF28</f>
        <v/>
      </c>
      <c r="AI28" s="85" t="n"/>
      <c r="AJ28" s="85" t="n"/>
      <c r="AK28" s="83" t="n"/>
      <c r="AL28" s="83" t="n"/>
      <c r="AM28" s="83" t="n"/>
      <c r="AN28" s="83" t="n"/>
      <c r="AO28" s="83" t="n"/>
      <c r="AP28" s="83" t="n"/>
      <c r="AQ28" s="83" t="n"/>
      <c r="AR28" s="73">
        <f>AR27+B28-J28-X28-AL28</f>
        <v/>
      </c>
    </row>
    <row r="29">
      <c r="A29" s="80">
        <f>A28+1</f>
        <v/>
      </c>
      <c r="B29" s="81" t="n"/>
      <c r="C29" s="81" t="n"/>
      <c r="D29" s="81">
        <f>E28</f>
        <v/>
      </c>
      <c r="E29" s="81" t="n">
        <v>470</v>
      </c>
      <c r="F29" s="81">
        <f>E29-D29</f>
        <v/>
      </c>
      <c r="G29" s="81" t="n"/>
      <c r="H29" s="81" t="n"/>
      <c r="I29" s="81" t="n"/>
      <c r="J29" s="81" t="n"/>
      <c r="K29" s="81" t="n"/>
      <c r="L29" s="81" t="n"/>
      <c r="M29" s="81" t="n"/>
      <c r="N29" s="81" t="n"/>
      <c r="O29" s="81" t="n"/>
      <c r="P29" s="80">
        <f>P28+1</f>
        <v/>
      </c>
      <c r="Q29" s="81" t="n"/>
      <c r="R29" s="87">
        <f>S28</f>
        <v/>
      </c>
      <c r="S29" s="87" t="n">
        <v>238</v>
      </c>
      <c r="T29" s="85">
        <f>S29-R29</f>
        <v/>
      </c>
      <c r="U29" s="85" t="n"/>
      <c r="V29" s="85" t="n"/>
      <c r="W29" s="83" t="n"/>
      <c r="X29" s="83" t="n"/>
      <c r="Y29" s="83" t="n"/>
      <c r="Z29" s="83" t="n"/>
      <c r="AA29" s="83" t="n"/>
      <c r="AB29" s="83" t="n"/>
      <c r="AC29" s="83" t="n"/>
      <c r="AD29" s="80">
        <f>AD28+1</f>
        <v/>
      </c>
      <c r="AE29" s="83" t="n"/>
      <c r="AF29" s="87">
        <f>AG28</f>
        <v/>
      </c>
      <c r="AG29" s="115" t="n">
        <v>73</v>
      </c>
      <c r="AH29" s="85">
        <f>AG29-AF29</f>
        <v/>
      </c>
      <c r="AI29" s="85" t="n"/>
      <c r="AJ29" s="85" t="n"/>
      <c r="AK29" s="83" t="n"/>
      <c r="AL29" s="83" t="n"/>
      <c r="AM29" s="83" t="n"/>
      <c r="AN29" s="83" t="n"/>
      <c r="AO29" s="83" t="n"/>
      <c r="AP29" s="83" t="n"/>
      <c r="AQ29" s="83" t="n"/>
      <c r="AR29" s="73">
        <f>AR28+B29-J29-X29-AL29</f>
        <v/>
      </c>
    </row>
    <row r="30">
      <c r="A30" s="80">
        <f>A29+1</f>
        <v/>
      </c>
      <c r="B30" s="81" t="n"/>
      <c r="C30" s="81" t="n"/>
      <c r="D30" s="81">
        <f>E29</f>
        <v/>
      </c>
      <c r="E30" s="81" t="n">
        <v>482</v>
      </c>
      <c r="F30" s="81">
        <f>E30-D30</f>
        <v/>
      </c>
      <c r="G30" s="81" t="n"/>
      <c r="H30" s="81" t="n"/>
      <c r="I30" s="81" t="n"/>
      <c r="J30" s="81" t="n"/>
      <c r="K30" s="81" t="n"/>
      <c r="L30" s="81" t="n"/>
      <c r="M30" s="81" t="n"/>
      <c r="N30" s="81" t="n"/>
      <c r="O30" s="81" t="n"/>
      <c r="P30" s="80">
        <f>P29+1</f>
        <v/>
      </c>
      <c r="Q30" s="81" t="n"/>
      <c r="R30" s="87">
        <f>S29</f>
        <v/>
      </c>
      <c r="S30" s="87" t="n">
        <v>250</v>
      </c>
      <c r="T30" s="85">
        <f>S30-R30</f>
        <v/>
      </c>
      <c r="U30" s="85" t="n"/>
      <c r="V30" s="85" t="n"/>
      <c r="W30" s="83" t="n"/>
      <c r="X30" s="83" t="n">
        <v>450</v>
      </c>
      <c r="Y30" s="83" t="n">
        <v>240</v>
      </c>
      <c r="Z30" s="83">
        <f>Y30-Y21</f>
        <v/>
      </c>
      <c r="AA30" s="83">
        <f>X30/Z30</f>
        <v/>
      </c>
      <c r="AB30" s="83" t="n"/>
      <c r="AC30" s="83" t="n"/>
      <c r="AD30" s="80">
        <f>AD29+1</f>
        <v/>
      </c>
      <c r="AE30" s="83" t="n"/>
      <c r="AF30" s="87">
        <f>AG29</f>
        <v/>
      </c>
      <c r="AG30" s="115" t="n">
        <v>75</v>
      </c>
      <c r="AH30" s="85">
        <f>AG30-AF30</f>
        <v/>
      </c>
      <c r="AI30" s="85" t="n"/>
      <c r="AJ30" s="85" t="n"/>
      <c r="AK30" s="83" t="n"/>
      <c r="AL30" s="83" t="n"/>
      <c r="AM30" s="83" t="n"/>
      <c r="AN30" s="83" t="n"/>
      <c r="AO30" s="83" t="n"/>
      <c r="AP30" s="83" t="n"/>
      <c r="AQ30" s="83" t="n"/>
      <c r="AR30" s="73">
        <f>AR29+B30-J30-X30-AL30</f>
        <v/>
      </c>
    </row>
    <row r="31">
      <c r="A31" s="80">
        <f>A30+1</f>
        <v/>
      </c>
      <c r="B31" s="81" t="n"/>
      <c r="C31" s="81" t="n"/>
      <c r="D31" s="81">
        <f>E30</f>
        <v/>
      </c>
      <c r="E31" s="81" t="n">
        <v>496</v>
      </c>
      <c r="F31" s="81">
        <f>E31-D31</f>
        <v/>
      </c>
      <c r="G31" s="81" t="n"/>
      <c r="H31" s="81" t="n"/>
      <c r="I31" s="81" t="n"/>
      <c r="J31" s="81" t="n">
        <v>200</v>
      </c>
      <c r="K31" s="81" t="inlineStr">
        <is>
          <t>N/F</t>
        </is>
      </c>
      <c r="L31" s="81" t="n"/>
      <c r="M31" s="81" t="n"/>
      <c r="N31" s="81" t="n"/>
      <c r="O31" s="81" t="n"/>
      <c r="P31" s="80">
        <f>P30+1</f>
        <v/>
      </c>
      <c r="Q31" s="81" t="n"/>
      <c r="R31" s="87">
        <f>S30</f>
        <v/>
      </c>
      <c r="S31" s="87" t="n">
        <v>265</v>
      </c>
      <c r="T31" s="85">
        <f>S31-R31</f>
        <v/>
      </c>
      <c r="U31" s="85" t="n"/>
      <c r="V31" s="85" t="n"/>
      <c r="W31" s="83" t="n"/>
      <c r="X31" s="83" t="n"/>
      <c r="Y31" s="83" t="n"/>
      <c r="Z31" s="83" t="n"/>
      <c r="AA31" s="83" t="n"/>
      <c r="AB31" s="83" t="n"/>
      <c r="AC31" s="83" t="n"/>
      <c r="AD31" s="80">
        <f>AD30+1</f>
        <v/>
      </c>
      <c r="AE31" s="83" t="n"/>
      <c r="AF31" s="87">
        <f>AG30</f>
        <v/>
      </c>
      <c r="AG31" s="115" t="n">
        <v>76</v>
      </c>
      <c r="AH31" s="85">
        <f>AG31-AF31</f>
        <v/>
      </c>
      <c r="AI31" s="85" t="n"/>
      <c r="AJ31" s="85" t="n"/>
      <c r="AK31" s="83" t="n"/>
      <c r="AL31" s="83" t="n"/>
      <c r="AM31" s="83" t="n"/>
      <c r="AN31" s="83" t="n"/>
      <c r="AO31" s="83" t="n"/>
      <c r="AP31" s="83" t="n"/>
      <c r="AQ31" s="83" t="n"/>
      <c r="AR31" s="73">
        <f>AR30+B31-J31-X31-AL31</f>
        <v/>
      </c>
    </row>
    <row r="32">
      <c r="A32" s="80">
        <f>A31+1</f>
        <v/>
      </c>
      <c r="B32" s="81" t="n"/>
      <c r="C32" s="81" t="n"/>
      <c r="D32" s="81">
        <f>E31</f>
        <v/>
      </c>
      <c r="E32" s="81" t="n">
        <v>507</v>
      </c>
      <c r="F32" s="81">
        <f>E32-D32</f>
        <v/>
      </c>
      <c r="G32" s="81" t="n"/>
      <c r="H32" s="81" t="n"/>
      <c r="I32" s="81" t="n"/>
      <c r="J32" s="81" t="n"/>
      <c r="K32" s="81" t="n"/>
      <c r="L32" s="81" t="n"/>
      <c r="M32" s="81" t="n"/>
      <c r="N32" s="81" t="n"/>
      <c r="O32" s="81" t="n"/>
      <c r="P32" s="80">
        <f>P31+1</f>
        <v/>
      </c>
      <c r="Q32" s="81" t="n"/>
      <c r="R32" s="87">
        <f>S31</f>
        <v/>
      </c>
      <c r="S32" s="87" t="n">
        <v>275</v>
      </c>
      <c r="T32" s="85">
        <f>S32-R32</f>
        <v/>
      </c>
      <c r="U32" s="85" t="n"/>
      <c r="V32" s="85" t="n"/>
      <c r="W32" s="83" t="n"/>
      <c r="X32" s="83" t="n"/>
      <c r="Y32" s="83" t="n"/>
      <c r="Z32" s="83" t="n"/>
      <c r="AA32" s="83" t="n"/>
      <c r="AB32" s="83" t="n"/>
      <c r="AC32" s="83" t="n"/>
      <c r="AD32" s="80">
        <f>AD31+1</f>
        <v/>
      </c>
      <c r="AE32" s="83" t="n"/>
      <c r="AF32" s="87">
        <f>AG31</f>
        <v/>
      </c>
      <c r="AG32" s="115" t="n">
        <v>79</v>
      </c>
      <c r="AH32" s="85">
        <f>AG32-AF32</f>
        <v/>
      </c>
      <c r="AI32" s="85" t="n"/>
      <c r="AJ32" s="85" t="n"/>
      <c r="AK32" s="83" t="n"/>
      <c r="AL32" s="83" t="n"/>
      <c r="AM32" s="83" t="n"/>
      <c r="AN32" s="83" t="n"/>
      <c r="AO32" s="83" t="n"/>
      <c r="AP32" s="83" t="n"/>
      <c r="AQ32" s="83" t="n"/>
      <c r="AR32" s="73">
        <f>AR31+B32-J32-X32-AL32</f>
        <v/>
      </c>
    </row>
    <row r="33">
      <c r="A33" s="80">
        <f>A32+1</f>
        <v/>
      </c>
      <c r="B33" s="81" t="n"/>
      <c r="C33" s="81" t="n"/>
      <c r="D33" s="81">
        <f>E32</f>
        <v/>
      </c>
      <c r="E33" s="81" t="n">
        <v>520</v>
      </c>
      <c r="F33" s="81">
        <f>E33-D33</f>
        <v/>
      </c>
      <c r="G33" s="81" t="n"/>
      <c r="H33" s="81" t="n"/>
      <c r="I33" s="81" t="n"/>
      <c r="J33" s="81" t="n">
        <v>550</v>
      </c>
      <c r="K33" s="81" t="n">
        <v>502</v>
      </c>
      <c r="L33" s="81">
        <f>K33-K27</f>
        <v/>
      </c>
      <c r="M33" s="81">
        <f>(J33+J31)/L33</f>
        <v/>
      </c>
      <c r="N33" s="81" t="n"/>
      <c r="O33" s="81" t="n"/>
      <c r="P33" s="80">
        <f>P32+1</f>
        <v/>
      </c>
      <c r="Q33" s="81" t="n"/>
      <c r="R33" s="87">
        <f>S32</f>
        <v/>
      </c>
      <c r="S33" s="87" t="n">
        <v>283</v>
      </c>
      <c r="T33" s="85">
        <f>S33-R33</f>
        <v/>
      </c>
      <c r="U33" s="85" t="n"/>
      <c r="V33" s="85" t="n"/>
      <c r="W33" s="83" t="n"/>
      <c r="X33" s="83" t="n"/>
      <c r="Y33" s="83" t="n"/>
      <c r="Z33" s="83" t="n"/>
      <c r="AA33" s="83" t="n"/>
      <c r="AB33" s="83" t="n"/>
      <c r="AC33" s="83" t="n"/>
      <c r="AD33" s="80">
        <f>AD32+1</f>
        <v/>
      </c>
      <c r="AE33" s="83" t="n"/>
      <c r="AF33" s="87">
        <f>AG32</f>
        <v/>
      </c>
      <c r="AG33" s="115" t="n">
        <v>83</v>
      </c>
      <c r="AH33" s="85">
        <f>AG33-AF33</f>
        <v/>
      </c>
      <c r="AI33" s="85" t="n"/>
      <c r="AJ33" s="85" t="n"/>
      <c r="AK33" s="83" t="n"/>
      <c r="AL33" s="83" t="n"/>
      <c r="AM33" s="83" t="n"/>
      <c r="AN33" s="83" t="n"/>
      <c r="AO33" s="83" t="n"/>
      <c r="AP33" s="83" t="n"/>
      <c r="AQ33" s="83" t="n"/>
      <c r="AR33" s="73">
        <f>AR32+B33-J33-X33-AL33</f>
        <v/>
      </c>
      <c r="AS33" s="119" t="n"/>
    </row>
    <row r="34">
      <c r="A34" s="80">
        <f>A33+1</f>
        <v/>
      </c>
      <c r="B34" s="118" t="n">
        <v>1400</v>
      </c>
      <c r="C34" s="81" t="n"/>
      <c r="D34" s="81">
        <f>E33</f>
        <v/>
      </c>
      <c r="E34" s="81" t="n">
        <v>531</v>
      </c>
      <c r="F34" s="81">
        <f>E34-D34</f>
        <v/>
      </c>
      <c r="G34" s="81" t="n"/>
      <c r="H34" s="81" t="n"/>
      <c r="I34" s="81" t="n"/>
      <c r="J34" s="81" t="n"/>
      <c r="K34" s="81" t="n"/>
      <c r="L34" s="81" t="n"/>
      <c r="M34" s="81" t="n"/>
      <c r="N34" s="81" t="n"/>
      <c r="O34" s="81" t="n"/>
      <c r="P34" s="80">
        <f>P33+1</f>
        <v/>
      </c>
      <c r="Q34" s="81" t="n"/>
      <c r="R34" s="87">
        <f>S33</f>
        <v/>
      </c>
      <c r="S34" s="87" t="n">
        <v>285</v>
      </c>
      <c r="T34" s="85">
        <f>S34-R34</f>
        <v/>
      </c>
      <c r="U34" s="85" t="n"/>
      <c r="V34" s="85" t="n"/>
      <c r="W34" s="83" t="n"/>
      <c r="X34" s="83" t="n"/>
      <c r="Y34" s="83" t="n"/>
      <c r="Z34" s="83" t="n"/>
      <c r="AA34" s="83" t="n"/>
      <c r="AB34" s="83" t="n"/>
      <c r="AC34" s="83" t="n"/>
      <c r="AD34" s="80">
        <f>AD33+1</f>
        <v/>
      </c>
      <c r="AE34" s="83" t="n"/>
      <c r="AF34" s="87">
        <f>AG33</f>
        <v/>
      </c>
      <c r="AG34" s="115" t="n">
        <v>87</v>
      </c>
      <c r="AH34" s="85">
        <f>AG34-AF34</f>
        <v/>
      </c>
      <c r="AI34" s="85" t="n"/>
      <c r="AJ34" s="85" t="n"/>
      <c r="AK34" s="83" t="n"/>
      <c r="AL34" s="83" t="n"/>
      <c r="AM34" s="83" t="n"/>
      <c r="AN34" s="83" t="n"/>
      <c r="AO34" s="83" t="n"/>
      <c r="AP34" s="83" t="n"/>
      <c r="AQ34" s="83" t="n"/>
      <c r="AR34" s="73">
        <f>AR33+B34-J34-X34-AL34</f>
        <v/>
      </c>
    </row>
    <row r="35">
      <c r="A35" s="80">
        <f>A34+1</f>
        <v/>
      </c>
      <c r="B35" s="81" t="n"/>
      <c r="C35" s="81" t="n"/>
      <c r="D35" s="81">
        <f>E34</f>
        <v/>
      </c>
      <c r="E35" s="81" t="n">
        <v>544</v>
      </c>
      <c r="F35" s="81">
        <f>E35-D35</f>
        <v/>
      </c>
      <c r="G35" s="81" t="n"/>
      <c r="H35" s="81" t="n"/>
      <c r="I35" s="81" t="n"/>
      <c r="J35" s="81" t="n">
        <v>330</v>
      </c>
      <c r="K35" s="81" t="n">
        <v>531</v>
      </c>
      <c r="L35" s="81">
        <f>K35-K33</f>
        <v/>
      </c>
      <c r="M35" s="117">
        <f>J35/L35</f>
        <v/>
      </c>
      <c r="N35" s="81" t="n"/>
      <c r="O35" s="81" t="n"/>
      <c r="P35" s="80">
        <f>P34+1</f>
        <v/>
      </c>
      <c r="Q35" s="81" t="n"/>
      <c r="R35" s="87">
        <f>S34</f>
        <v/>
      </c>
      <c r="S35" s="87" t="n">
        <v>293</v>
      </c>
      <c r="T35" s="85">
        <f>S35-R35</f>
        <v/>
      </c>
      <c r="U35" s="85" t="n"/>
      <c r="V35" s="85" t="n"/>
      <c r="W35" s="83" t="n"/>
      <c r="X35" s="83" t="n">
        <v>485</v>
      </c>
      <c r="Y35" s="83" t="n">
        <v>286</v>
      </c>
      <c r="Z35" s="83">
        <f>Y35-Y30</f>
        <v/>
      </c>
      <c r="AA35" s="83">
        <f>X35/Z35</f>
        <v/>
      </c>
      <c r="AB35" s="83" t="n"/>
      <c r="AC35" s="83" t="n"/>
      <c r="AD35" s="80">
        <f>AD34+1</f>
        <v/>
      </c>
      <c r="AE35" s="83" t="n"/>
      <c r="AF35" s="87">
        <f>AG34</f>
        <v/>
      </c>
      <c r="AG35" s="115" t="n">
        <v>90</v>
      </c>
      <c r="AH35" s="85">
        <f>AG35-AF35</f>
        <v/>
      </c>
      <c r="AI35" s="85" t="n"/>
      <c r="AJ35" s="85" t="n"/>
      <c r="AK35" s="83" t="n"/>
      <c r="AL35" s="83" t="n"/>
      <c r="AM35" s="83" t="n"/>
      <c r="AN35" s="83" t="n"/>
      <c r="AO35" s="83" t="n"/>
      <c r="AP35" s="83" t="n"/>
      <c r="AQ35" s="83" t="n"/>
      <c r="AR35" s="73">
        <f>AR34+B35-J35-X35-AL35</f>
        <v/>
      </c>
    </row>
    <row r="36">
      <c r="A36" s="80">
        <f>A35+1</f>
        <v/>
      </c>
      <c r="B36" s="81" t="n"/>
      <c r="C36" s="81" t="n"/>
      <c r="D36" s="81">
        <f>E35</f>
        <v/>
      </c>
      <c r="E36" s="81" t="n">
        <v>559</v>
      </c>
      <c r="F36" s="81">
        <f>E36-D36</f>
        <v/>
      </c>
      <c r="G36" s="81" t="n"/>
      <c r="H36" s="81" t="n"/>
      <c r="I36" s="81" t="n"/>
      <c r="J36" s="81" t="n"/>
      <c r="K36" s="81" t="n"/>
      <c r="L36" s="81" t="n"/>
      <c r="M36" s="81" t="n"/>
      <c r="N36" s="81" t="n"/>
      <c r="O36" s="81" t="n"/>
      <c r="P36" s="80">
        <f>P35+1</f>
        <v/>
      </c>
      <c r="Q36" s="81" t="n"/>
      <c r="R36" s="87">
        <f>S35</f>
        <v/>
      </c>
      <c r="S36" s="87" t="n">
        <v>301</v>
      </c>
      <c r="T36" s="85">
        <f>S36-R36</f>
        <v/>
      </c>
      <c r="U36" s="85" t="n"/>
      <c r="V36" s="85" t="n"/>
      <c r="W36" s="83" t="n"/>
      <c r="X36" s="83" t="n"/>
      <c r="Y36" s="83" t="n"/>
      <c r="Z36" s="83" t="n"/>
      <c r="AA36" s="83" t="n"/>
      <c r="AB36" s="83" t="n"/>
      <c r="AC36" s="83" t="n"/>
      <c r="AD36" s="80">
        <f>AD35+1</f>
        <v/>
      </c>
      <c r="AE36" s="83" t="n"/>
      <c r="AF36" s="87">
        <f>AG35</f>
        <v/>
      </c>
      <c r="AG36" s="115" t="n">
        <v>95</v>
      </c>
      <c r="AH36" s="85">
        <f>AG36-AF36</f>
        <v/>
      </c>
      <c r="AI36" s="85" t="n"/>
      <c r="AJ36" s="85" t="n"/>
      <c r="AK36" s="83" t="n"/>
      <c r="AL36" s="83" t="n">
        <v>200</v>
      </c>
      <c r="AM36" s="83" t="n">
        <v>91</v>
      </c>
      <c r="AN36" s="83" t="n"/>
      <c r="AO36" s="83" t="n"/>
      <c r="AP36" s="83" t="n"/>
      <c r="AQ36" s="83" t="n"/>
      <c r="AR36" s="73">
        <f>AR35+B36-J36-X36-AL36</f>
        <v/>
      </c>
    </row>
    <row r="37">
      <c r="A37" s="89" t="n"/>
      <c r="B37" s="90">
        <f>SUM(B6:B36)</f>
        <v/>
      </c>
      <c r="C37" s="89" t="inlineStr">
        <is>
          <t xml:space="preserve">Total </t>
        </is>
      </c>
      <c r="D37" s="89" t="n"/>
      <c r="E37" s="89" t="n"/>
      <c r="F37" s="90">
        <f>SUM(F6:F36)</f>
        <v/>
      </c>
      <c r="G37" s="90" t="n"/>
      <c r="H37" s="90" t="n"/>
      <c r="I37" s="90">
        <f>SUM(I6:I36)</f>
        <v/>
      </c>
      <c r="J37" s="90">
        <f>SUM(J6:J36)</f>
        <v/>
      </c>
      <c r="K37" s="89" t="n"/>
      <c r="L37" s="90">
        <f>SUM(L6:L36)</f>
        <v/>
      </c>
      <c r="M37" s="89">
        <f>J37/L37</f>
        <v/>
      </c>
      <c r="N37" s="89" t="n"/>
      <c r="O37" s="91" t="n"/>
      <c r="P37" s="92" t="n"/>
      <c r="Q37" s="92" t="inlineStr">
        <is>
          <t xml:space="preserve">Total </t>
        </is>
      </c>
      <c r="R37" s="92" t="n"/>
      <c r="S37" s="92" t="n"/>
      <c r="T37" s="90">
        <f>SUM(T6:T36)</f>
        <v/>
      </c>
      <c r="U37" s="90" t="n"/>
      <c r="V37" s="90" t="n"/>
      <c r="W37" s="90">
        <f>SUM(W6:W36)</f>
        <v/>
      </c>
      <c r="X37" s="90">
        <f>SUM(X6:X36)</f>
        <v/>
      </c>
      <c r="Y37" s="89" t="n"/>
      <c r="Z37" s="90">
        <f>SUM(Z6:Z36)</f>
        <v/>
      </c>
      <c r="AA37" s="89">
        <f>X37/Z37</f>
        <v/>
      </c>
      <c r="AB37" s="93" t="n"/>
      <c r="AC37" s="94" t="n"/>
      <c r="AD37" s="92" t="n"/>
      <c r="AE37" s="92" t="inlineStr">
        <is>
          <t xml:space="preserve">Total </t>
        </is>
      </c>
      <c r="AF37" s="92" t="n"/>
      <c r="AG37" s="92" t="n"/>
      <c r="AH37" s="90">
        <f>SUM(AH6:AH36)</f>
        <v/>
      </c>
      <c r="AI37" s="114" t="n"/>
      <c r="AJ37" s="114" t="n"/>
      <c r="AK37" s="90">
        <f>SUM(AK6:AK36)</f>
        <v/>
      </c>
      <c r="AL37" s="90">
        <f>SUM(AL6:AL36)</f>
        <v/>
      </c>
      <c r="AM37" s="89" t="n"/>
      <c r="AN37" s="90">
        <f>AM36-AM17</f>
        <v/>
      </c>
      <c r="AO37" s="89">
        <f>AL37/AN37</f>
        <v/>
      </c>
      <c r="AP37" s="83" t="n"/>
      <c r="AQ37" s="94" t="n"/>
      <c r="AR37" s="73">
        <f>AR36</f>
        <v/>
      </c>
    </row>
    <row r="39">
      <c r="A39" s="116" t="inlineStr">
        <is>
          <t>Monthly Hiring Charges</t>
        </is>
      </c>
      <c r="C39" s="108" t="n">
        <v>720000</v>
      </c>
      <c r="D39" s="110" t="n"/>
      <c r="P39" s="116" t="inlineStr">
        <is>
          <t>Monthly Hiring Charges</t>
        </is>
      </c>
      <c r="R39" s="108" t="n">
        <v>720000</v>
      </c>
      <c r="S39" s="108" t="n"/>
      <c r="AD39" s="116" t="inlineStr">
        <is>
          <t>Monthly Hiring Charges</t>
        </is>
      </c>
      <c r="AF39" s="108" t="n">
        <v>500000</v>
      </c>
    </row>
    <row r="40">
      <c r="A40" s="116" t="inlineStr">
        <is>
          <t>Per Day Rate/31</t>
        </is>
      </c>
      <c r="C40" s="108">
        <f>C39/31</f>
        <v/>
      </c>
      <c r="D40" s="110" t="n"/>
      <c r="E40" s="41" t="n"/>
      <c r="F40" s="41" t="n"/>
      <c r="G40" s="41" t="n"/>
      <c r="H40" s="41" t="n"/>
      <c r="P40" s="116" t="inlineStr">
        <is>
          <t>Per Day Rate/31</t>
        </is>
      </c>
      <c r="R40" s="108">
        <f>R39/31</f>
        <v/>
      </c>
      <c r="S40" s="41" t="n"/>
      <c r="T40" s="41" t="n"/>
      <c r="U40" s="41" t="n"/>
      <c r="V40" s="41" t="n"/>
      <c r="W40" s="41" t="n"/>
      <c r="AD40" s="116" t="inlineStr">
        <is>
          <t>Per Day Rate/31</t>
        </is>
      </c>
      <c r="AF40" s="108">
        <f>AF39/31</f>
        <v/>
      </c>
    </row>
    <row r="41">
      <c r="A41" s="116" t="inlineStr">
        <is>
          <t>Per Hours Rate</t>
        </is>
      </c>
      <c r="C41" s="108">
        <f>C40/24</f>
        <v/>
      </c>
      <c r="D41" s="110" t="n"/>
      <c r="E41" s="41" t="n"/>
      <c r="F41" s="41" t="n"/>
      <c r="G41" s="41" t="n"/>
      <c r="H41" s="41" t="n"/>
      <c r="P41" s="116" t="inlineStr">
        <is>
          <t>Per Hours Rate</t>
        </is>
      </c>
      <c r="R41" s="108">
        <f>R40/24</f>
        <v/>
      </c>
      <c r="S41" s="41" t="n"/>
      <c r="T41" s="41" t="n"/>
      <c r="U41" s="41" t="n"/>
      <c r="V41" s="41" t="n"/>
      <c r="W41" s="41" t="n"/>
      <c r="AD41" s="116" t="inlineStr">
        <is>
          <t>Per Hours Rate</t>
        </is>
      </c>
      <c r="AF41" s="108">
        <f>AF40/24</f>
        <v/>
      </c>
    </row>
    <row r="42">
      <c r="A42" s="116" t="inlineStr">
        <is>
          <t>Total KM Running</t>
        </is>
      </c>
      <c r="C42" s="108" t="n">
        <v>206</v>
      </c>
      <c r="D42" s="110" t="n"/>
      <c r="E42" s="41" t="n"/>
      <c r="F42" s="41" t="n"/>
      <c r="G42" s="41" t="n"/>
      <c r="H42" s="41" t="n"/>
      <c r="P42" s="116" t="inlineStr">
        <is>
          <t>Total KM Running</t>
        </is>
      </c>
      <c r="R42" s="108" t="n">
        <v>154</v>
      </c>
      <c r="S42" s="41" t="n"/>
      <c r="T42" s="41" t="n"/>
      <c r="U42" s="41" t="n"/>
      <c r="V42" s="41" t="n"/>
      <c r="W42" s="41" t="n"/>
      <c r="AD42" s="116" t="inlineStr">
        <is>
          <t>Total KM Running</t>
        </is>
      </c>
      <c r="AF42" s="108" t="n">
        <v>65</v>
      </c>
    </row>
    <row r="43">
      <c r="A43" s="116" t="inlineStr">
        <is>
          <t>Diesel Cap</t>
        </is>
      </c>
      <c r="C43" s="108" t="n">
        <v>19</v>
      </c>
      <c r="D43" s="110" t="n"/>
      <c r="E43" s="41" t="n"/>
      <c r="F43" s="41" t="n"/>
      <c r="G43" s="41" t="n"/>
      <c r="H43" s="41" t="n"/>
      <c r="P43" s="116" t="inlineStr">
        <is>
          <t>Diesel Cap</t>
        </is>
      </c>
      <c r="R43" s="108" t="n">
        <v>19</v>
      </c>
      <c r="S43" s="41" t="n"/>
      <c r="T43" s="41" t="n"/>
      <c r="U43" s="41" t="n"/>
      <c r="V43" s="41" t="n"/>
      <c r="W43" s="41" t="n"/>
      <c r="AD43" s="116" t="inlineStr">
        <is>
          <t>Diesel Cap</t>
        </is>
      </c>
      <c r="AF43" s="108" t="n">
        <v>17</v>
      </c>
    </row>
    <row r="44">
      <c r="A44" s="116" t="inlineStr">
        <is>
          <t>Disel Qty</t>
        </is>
      </c>
      <c r="C44" s="108">
        <f>C42*C43</f>
        <v/>
      </c>
      <c r="D44" s="110" t="n"/>
      <c r="E44" s="41" t="n"/>
      <c r="F44" s="41" t="n"/>
      <c r="G44" s="41" t="n"/>
      <c r="H44" s="41" t="n"/>
      <c r="P44" s="116" t="inlineStr">
        <is>
          <t>Disel Qty</t>
        </is>
      </c>
      <c r="R44" s="108">
        <f>R42*R43</f>
        <v/>
      </c>
      <c r="S44" s="41" t="n"/>
      <c r="T44" s="41" t="n"/>
      <c r="U44" s="41" t="n"/>
      <c r="V44" s="41" t="n"/>
      <c r="W44" s="41" t="n"/>
      <c r="AD44" s="116" t="inlineStr">
        <is>
          <t>Disel Qty</t>
        </is>
      </c>
      <c r="AF44" s="108">
        <f>AF42*AF43</f>
        <v/>
      </c>
    </row>
    <row r="45">
      <c r="A45" s="116" t="inlineStr">
        <is>
          <t>Diesel Rate</t>
        </is>
      </c>
      <c r="C45" s="108" t="n">
        <v>100.2</v>
      </c>
      <c r="D45" s="110" t="n"/>
      <c r="E45" s="41" t="n"/>
      <c r="F45" s="41" t="n"/>
      <c r="G45" s="41" t="n"/>
      <c r="H45" s="41" t="n"/>
      <c r="P45" s="116" t="inlineStr">
        <is>
          <t>Diesel Rate</t>
        </is>
      </c>
      <c r="R45" s="108" t="n">
        <v>100.2</v>
      </c>
      <c r="S45" s="41" t="n"/>
      <c r="T45" s="41" t="n"/>
      <c r="U45" s="41" t="n"/>
      <c r="V45" s="41" t="n"/>
      <c r="W45" s="41" t="n"/>
      <c r="AD45" s="116" t="inlineStr">
        <is>
          <t>Diesel Rate</t>
        </is>
      </c>
      <c r="AF45" s="108" t="n">
        <v>100.2</v>
      </c>
    </row>
    <row r="46">
      <c r="A46" s="116" t="inlineStr">
        <is>
          <t>Diesel Amount</t>
        </is>
      </c>
      <c r="C46" s="108">
        <f>C44*C45</f>
        <v/>
      </c>
      <c r="D46" s="110" t="n"/>
      <c r="E46" s="41" t="n"/>
      <c r="F46" s="41" t="n"/>
      <c r="G46" s="41" t="n"/>
      <c r="H46" s="41" t="n"/>
      <c r="P46" s="116" t="inlineStr">
        <is>
          <t>Diesel Amount</t>
        </is>
      </c>
      <c r="R46" s="108">
        <f>R44*R45</f>
        <v/>
      </c>
      <c r="S46" s="41" t="n"/>
      <c r="T46" s="41" t="n"/>
      <c r="U46" s="41" t="n"/>
      <c r="V46" s="41" t="n"/>
      <c r="W46" s="41" t="n"/>
      <c r="AD46" s="116" t="inlineStr">
        <is>
          <t>Diesel Amount</t>
        </is>
      </c>
      <c r="AF46" s="108">
        <f>AF44*AF45</f>
        <v/>
      </c>
    </row>
    <row r="47">
      <c r="D47" s="41" t="n"/>
      <c r="E47" s="41" t="n"/>
      <c r="F47" s="41" t="n"/>
      <c r="G47" s="41" t="n"/>
      <c r="H47" s="41" t="n"/>
      <c r="S47" s="41" t="n"/>
      <c r="T47" s="41" t="n"/>
      <c r="U47" s="41" t="n"/>
      <c r="V47" s="41" t="n"/>
      <c r="W47" s="41" t="n"/>
    </row>
    <row r="48">
      <c r="A48" t="inlineStr">
        <is>
          <t>Raise tax invoice with full hiring charges for machine</t>
        </is>
      </c>
      <c r="P48" t="inlineStr">
        <is>
          <t>Raise tax invoice with full hiring charges for machine</t>
        </is>
      </c>
      <c r="AD48" t="inlineStr">
        <is>
          <t>Raise tax invoice with full hiring charges for machine</t>
        </is>
      </c>
    </row>
    <row r="49">
      <c r="A49" t="inlineStr">
        <is>
          <t>Raise Diesel bill as per mentioned calculation</t>
        </is>
      </c>
      <c r="P49" t="inlineStr">
        <is>
          <t>Raise Diesel bill as per mentioned calculation</t>
        </is>
      </c>
      <c r="AD49" t="inlineStr">
        <is>
          <t>Raise Diesel bill as per mentioned calculation</t>
        </is>
      </c>
    </row>
    <row r="50">
      <c r="A50" t="inlineStr">
        <is>
          <t>Nitesh Choudhary</t>
        </is>
      </c>
      <c r="P50" t="inlineStr">
        <is>
          <t>Nitesh Choudhary</t>
        </is>
      </c>
      <c r="AD50" t="inlineStr">
        <is>
          <t>Nitesh Choudhary</t>
        </is>
      </c>
    </row>
    <row r="51">
      <c r="A51" s="109" t="n">
        <v>46240</v>
      </c>
      <c r="P51" s="109" t="n">
        <v>46240</v>
      </c>
      <c r="AD51" s="109" t="n">
        <v>46240</v>
      </c>
    </row>
  </sheetData>
  <mergeCells count="12">
    <mergeCell ref="AD3:AQ3"/>
    <mergeCell ref="AL2:AQ2"/>
    <mergeCell ref="P3:AC3"/>
    <mergeCell ref="K2:O2"/>
    <mergeCell ref="AD2:AK2"/>
    <mergeCell ref="A1:O1"/>
    <mergeCell ref="AD1:AQ1"/>
    <mergeCell ref="P1:AC1"/>
    <mergeCell ref="A2:J2"/>
    <mergeCell ref="P2:W2"/>
    <mergeCell ref="A3:O3"/>
    <mergeCell ref="X2:AC2"/>
  </mergeCells>
  <pageMargins left="0.7" right="0.7" top="0.75" bottom="0.75" header="0.3" footer="0.3"/>
</worksheet>
</file>

<file path=xl/worksheets/sheet8.xml><?xml version="1.0" encoding="utf-8"?>
<worksheet xmlns="http://schemas.openxmlformats.org/spreadsheetml/2006/main">
  <sheetPr codeName="Sheet8">
    <outlinePr summaryBelow="1" summaryRight="1"/>
    <pageSetUpPr/>
  </sheetPr>
  <dimension ref="A1:AV48"/>
  <sheetViews>
    <sheetView zoomScaleNormal="100" workbookViewId="0">
      <pane xSplit="3" ySplit="5" topLeftCell="N6" activePane="bottomRight" state="frozen"/>
      <selection pane="topRight" activeCell="D1" sqref="D1"/>
      <selection pane="bottomLeft" activeCell="A6" sqref="A6"/>
      <selection pane="bottomRight" activeCell="Q6" sqref="Q6"/>
    </sheetView>
  </sheetViews>
  <sheetFormatPr baseColWidth="8" defaultRowHeight="15"/>
  <cols>
    <col width="18.140625" bestFit="1" customWidth="1" min="2" max="2"/>
    <col width="9" bestFit="1" customWidth="1" min="3" max="3"/>
    <col width="19.42578125" customWidth="1" min="4" max="4"/>
    <col width="13.7109375" bestFit="1" customWidth="1" min="5" max="5"/>
    <col width="14" bestFit="1" customWidth="1" min="6" max="6"/>
    <col width="14.28515625" bestFit="1" customWidth="1" min="7" max="7"/>
    <col width="12.42578125" bestFit="1" customWidth="1" min="8" max="8"/>
    <col width="10.140625" bestFit="1" customWidth="1" min="9" max="9"/>
    <col width="6.7109375" bestFit="1" customWidth="1" min="10" max="10"/>
    <col width="5.28515625" bestFit="1" customWidth="1" min="11" max="11"/>
    <col width="6.28515625" bestFit="1" customWidth="1" min="12" max="12"/>
    <col width="12" bestFit="1" customWidth="1" min="13" max="13"/>
    <col width="9.140625" customWidth="1" min="14" max="17"/>
    <col width="16.28515625" customWidth="1" min="18" max="18"/>
    <col width="14.85546875" customWidth="1" min="19" max="19"/>
    <col width="14" bestFit="1" customWidth="1" min="20" max="20"/>
    <col width="9.140625" customWidth="1" min="21" max="22"/>
    <col width="10.140625" bestFit="1" customWidth="1" min="23" max="23"/>
    <col width="6.7109375" bestFit="1" customWidth="1" min="24" max="24"/>
    <col width="9.140625" customWidth="1" min="25" max="30"/>
    <col width="8.42578125" customWidth="1" min="31" max="31"/>
    <col width="14" bestFit="1" customWidth="1" min="32" max="32"/>
    <col width="13.7109375" bestFit="1" customWidth="1" min="33" max="33"/>
    <col width="14" bestFit="1" customWidth="1" min="34" max="34"/>
    <col width="9.140625" customWidth="1" min="35" max="37"/>
    <col width="14" bestFit="1" customWidth="1" min="44" max="44"/>
  </cols>
  <sheetData>
    <row r="1">
      <c r="A1" s="124" t="inlineStr">
        <is>
          <t>Ekta Enterprises</t>
        </is>
      </c>
      <c r="B1" s="125" t="n"/>
      <c r="C1" s="125" t="n"/>
      <c r="D1" s="125" t="n"/>
      <c r="E1" s="125" t="n"/>
      <c r="F1" s="125" t="n"/>
      <c r="G1" s="125" t="n"/>
      <c r="H1" s="125" t="n"/>
      <c r="I1" s="125" t="n"/>
      <c r="J1" s="125" t="n"/>
      <c r="K1" s="125" t="n"/>
      <c r="L1" s="125" t="n"/>
      <c r="M1" s="125" t="n"/>
      <c r="N1" s="125" t="n"/>
      <c r="O1" s="126" t="n"/>
      <c r="P1" s="127" t="inlineStr">
        <is>
          <t>Ekta Enterprises</t>
        </is>
      </c>
      <c r="Q1" s="125" t="n"/>
      <c r="R1" s="125" t="n"/>
      <c r="S1" s="125" t="n"/>
      <c r="T1" s="125" t="n"/>
      <c r="U1" s="125" t="n"/>
      <c r="V1" s="125" t="n"/>
      <c r="W1" s="125" t="n"/>
      <c r="X1" s="125" t="n"/>
      <c r="Y1" s="125" t="n"/>
      <c r="Z1" s="125" t="n"/>
      <c r="AA1" s="125" t="n"/>
      <c r="AB1" s="125" t="n"/>
      <c r="AC1" s="126" t="n"/>
      <c r="AD1" s="127" t="inlineStr">
        <is>
          <t>Ekta Enterprises</t>
        </is>
      </c>
      <c r="AE1" s="125" t="n"/>
      <c r="AF1" s="125" t="n"/>
      <c r="AG1" s="125" t="n"/>
      <c r="AH1" s="125" t="n"/>
      <c r="AI1" s="125" t="n"/>
      <c r="AJ1" s="125" t="n"/>
      <c r="AK1" s="125" t="n"/>
      <c r="AL1" s="125" t="n"/>
      <c r="AM1" s="125" t="n"/>
      <c r="AN1" s="125" t="n"/>
      <c r="AO1" s="125" t="n"/>
      <c r="AP1" s="125" t="n"/>
      <c r="AQ1" s="126" t="n"/>
      <c r="AR1" s="41" t="n"/>
    </row>
    <row r="2">
      <c r="A2" s="124" t="inlineStr">
        <is>
          <t>REACH STACKER NO. XCMG-2-Diesel Cap - 19 Liters Per Hour</t>
        </is>
      </c>
      <c r="B2" s="125" t="n"/>
      <c r="C2" s="125" t="n"/>
      <c r="D2" s="125" t="n"/>
      <c r="E2" s="125" t="n"/>
      <c r="F2" s="125" t="n"/>
      <c r="G2" s="125" t="n"/>
      <c r="H2" s="125" t="n"/>
      <c r="I2" s="125" t="n"/>
      <c r="J2" s="126" t="n"/>
      <c r="K2" s="128" t="n">
        <v>46235</v>
      </c>
      <c r="L2" s="125" t="n"/>
      <c r="M2" s="125" t="n"/>
      <c r="N2" s="125" t="n"/>
      <c r="O2" s="126" t="n"/>
      <c r="P2" s="127" t="inlineStr">
        <is>
          <t>REACH STACKER NO. XCMG-1-Diesel Cap - 19 Liters Per Hour</t>
        </is>
      </c>
      <c r="Q2" s="125" t="n"/>
      <c r="R2" s="125" t="n"/>
      <c r="S2" s="125" t="n"/>
      <c r="T2" s="125" t="n"/>
      <c r="U2" s="125" t="n"/>
      <c r="V2" s="125" t="n"/>
      <c r="W2" s="126" t="n"/>
      <c r="X2" s="128" t="n">
        <v>46235</v>
      </c>
      <c r="Y2" s="125" t="n"/>
      <c r="Z2" s="125" t="n"/>
      <c r="AA2" s="125" t="n"/>
      <c r="AB2" s="125" t="n"/>
      <c r="AC2" s="126" t="n"/>
      <c r="AD2" s="127" t="inlineStr">
        <is>
          <t>REACH STACKER NO. Fork Lift 35 Ton-Diesel Cap - 17 Liters Per Hour</t>
        </is>
      </c>
      <c r="AE2" s="125" t="n"/>
      <c r="AF2" s="125" t="n"/>
      <c r="AG2" s="125" t="n"/>
      <c r="AH2" s="125" t="n"/>
      <c r="AI2" s="125" t="n"/>
      <c r="AJ2" s="125" t="n"/>
      <c r="AK2" s="126" t="n"/>
      <c r="AL2" s="128" t="n">
        <v>46235</v>
      </c>
      <c r="AM2" s="125" t="n"/>
      <c r="AN2" s="125" t="n"/>
      <c r="AO2" s="125" t="n"/>
      <c r="AP2" s="125" t="n"/>
      <c r="AQ2" s="126" t="n"/>
      <c r="AR2" s="41" t="n"/>
    </row>
    <row r="3">
      <c r="A3" s="124" t="inlineStr">
        <is>
          <t>LOCATION : JSW AARKONAM</t>
        </is>
      </c>
      <c r="B3" s="125" t="n"/>
      <c r="C3" s="125" t="n"/>
      <c r="D3" s="125" t="n"/>
      <c r="E3" s="125" t="n"/>
      <c r="F3" s="125" t="n"/>
      <c r="G3" s="125" t="n"/>
      <c r="H3" s="125" t="n"/>
      <c r="I3" s="125" t="n"/>
      <c r="J3" s="125" t="n"/>
      <c r="K3" s="125" t="n"/>
      <c r="L3" s="125" t="n"/>
      <c r="M3" s="125" t="n"/>
      <c r="N3" s="125" t="n"/>
      <c r="O3" s="126" t="n"/>
      <c r="P3" s="127" t="inlineStr">
        <is>
          <t>LOCATION : JSW AARKONAM</t>
        </is>
      </c>
      <c r="Q3" s="125" t="n"/>
      <c r="R3" s="125" t="n"/>
      <c r="S3" s="125" t="n"/>
      <c r="T3" s="125" t="n"/>
      <c r="U3" s="125" t="n"/>
      <c r="V3" s="125" t="n"/>
      <c r="W3" s="125" t="n"/>
      <c r="X3" s="125" t="n"/>
      <c r="Y3" s="125" t="n"/>
      <c r="Z3" s="125" t="n"/>
      <c r="AA3" s="125" t="n"/>
      <c r="AB3" s="125" t="n"/>
      <c r="AC3" s="126" t="n"/>
      <c r="AD3" s="127" t="inlineStr">
        <is>
          <t>LOCATION : JSW AARKONAM</t>
        </is>
      </c>
      <c r="AE3" s="125" t="n"/>
      <c r="AF3" s="125" t="n"/>
      <c r="AG3" s="125" t="n"/>
      <c r="AH3" s="125" t="n"/>
      <c r="AI3" s="125" t="n"/>
      <c r="AJ3" s="125" t="n"/>
      <c r="AK3" s="125" t="n"/>
      <c r="AL3" s="125" t="n"/>
      <c r="AM3" s="125" t="n"/>
      <c r="AN3" s="125" t="n"/>
      <c r="AO3" s="125" t="n"/>
      <c r="AP3" s="125" t="n"/>
      <c r="AQ3" s="126" t="n"/>
      <c r="AR3" s="41" t="n"/>
    </row>
    <row r="4">
      <c r="A4" s="124" t="inlineStr">
        <is>
          <t>DATE</t>
        </is>
      </c>
      <c r="B4" s="124" t="inlineStr">
        <is>
          <t>DIESEL PURCHASED</t>
        </is>
      </c>
      <c r="C4" s="124" t="inlineStr">
        <is>
          <t>ACTIVITY</t>
        </is>
      </c>
      <c r="D4" s="124" t="inlineStr">
        <is>
          <t>OPERING HMR</t>
        </is>
      </c>
      <c r="E4" s="124" t="inlineStr">
        <is>
          <t>CLOSING HMR</t>
        </is>
      </c>
      <c r="F4" s="124" t="inlineStr">
        <is>
          <t>Running Hours</t>
        </is>
      </c>
      <c r="G4" s="124" t="inlineStr">
        <is>
          <t>BD START TIME</t>
        </is>
      </c>
      <c r="H4" s="124" t="inlineStr">
        <is>
          <t>BD END TIME</t>
        </is>
      </c>
      <c r="I4" s="124" t="inlineStr">
        <is>
          <t>BD HOURS</t>
        </is>
      </c>
      <c r="J4" s="124" t="inlineStr">
        <is>
          <t>DIESEL</t>
        </is>
      </c>
      <c r="K4" s="124" t="inlineStr">
        <is>
          <t>HMR</t>
        </is>
      </c>
      <c r="L4" s="124" t="inlineStr">
        <is>
          <t>HOUR</t>
        </is>
      </c>
      <c r="M4" s="124" t="inlineStr">
        <is>
          <t>AVERAGE</t>
        </is>
      </c>
      <c r="N4" s="124" t="inlineStr">
        <is>
          <t>OPERATOR SIGNATURE</t>
        </is>
      </c>
      <c r="O4" s="124" t="inlineStr">
        <is>
          <t>JSW SIGNATURE</t>
        </is>
      </c>
      <c r="P4" s="127" t="inlineStr">
        <is>
          <t>DATE</t>
        </is>
      </c>
      <c r="Q4" s="127" t="inlineStr">
        <is>
          <t>ACTIVITY</t>
        </is>
      </c>
      <c r="R4" s="127" t="inlineStr">
        <is>
          <t>OPERING HMR</t>
        </is>
      </c>
      <c r="S4" s="127" t="inlineStr">
        <is>
          <t>CLOSING HMR</t>
        </is>
      </c>
      <c r="T4" s="127" t="inlineStr">
        <is>
          <t>Running Hours</t>
        </is>
      </c>
      <c r="U4" s="124" t="inlineStr">
        <is>
          <t>BD START TIME</t>
        </is>
      </c>
      <c r="V4" s="124" t="inlineStr">
        <is>
          <t>BD END TIME</t>
        </is>
      </c>
      <c r="W4" s="127" t="inlineStr">
        <is>
          <t>BD HOURS</t>
        </is>
      </c>
      <c r="X4" s="127" t="inlineStr">
        <is>
          <t>DIESEL</t>
        </is>
      </c>
      <c r="Y4" s="124" t="inlineStr">
        <is>
          <t>HMR</t>
        </is>
      </c>
      <c r="Z4" s="124" t="inlineStr">
        <is>
          <t>HOUR</t>
        </is>
      </c>
      <c r="AA4" s="124" t="inlineStr">
        <is>
          <t>AVERAGE</t>
        </is>
      </c>
      <c r="AB4" s="124" t="inlineStr">
        <is>
          <t>OPERATOR SIGNATURE</t>
        </is>
      </c>
      <c r="AC4" s="124" t="inlineStr">
        <is>
          <t>JSW SIGNATURE</t>
        </is>
      </c>
      <c r="AD4" s="127" t="inlineStr">
        <is>
          <t>DATE</t>
        </is>
      </c>
      <c r="AE4" s="127" t="inlineStr">
        <is>
          <t>ACTIVITY</t>
        </is>
      </c>
      <c r="AF4" s="127" t="inlineStr">
        <is>
          <t>OPERING HMR</t>
        </is>
      </c>
      <c r="AG4" s="127" t="inlineStr">
        <is>
          <t>CLOSING HMR</t>
        </is>
      </c>
      <c r="AH4" s="127" t="inlineStr">
        <is>
          <t>Running Hours</t>
        </is>
      </c>
      <c r="AI4" s="124" t="inlineStr">
        <is>
          <t>BD START TIME</t>
        </is>
      </c>
      <c r="AJ4" s="124" t="inlineStr">
        <is>
          <t>BD END TIME</t>
        </is>
      </c>
      <c r="AK4" s="127" t="inlineStr">
        <is>
          <t>BD HOURS</t>
        </is>
      </c>
      <c r="AL4" s="127" t="inlineStr">
        <is>
          <t>DIESEL</t>
        </is>
      </c>
      <c r="AM4" s="124" t="inlineStr">
        <is>
          <t>HMR</t>
        </is>
      </c>
      <c r="AN4" s="124" t="inlineStr">
        <is>
          <t>HOUR</t>
        </is>
      </c>
      <c r="AO4" s="124" t="inlineStr">
        <is>
          <t>AVERAGE</t>
        </is>
      </c>
      <c r="AP4" s="124" t="inlineStr">
        <is>
          <t>OPERATOR SIGNATURE</t>
        </is>
      </c>
      <c r="AQ4" s="124" t="inlineStr">
        <is>
          <t>JSW SIGNATURE</t>
        </is>
      </c>
      <c r="AR4" s="124" t="inlineStr">
        <is>
          <t>Diesel Balance</t>
        </is>
      </c>
    </row>
    <row r="5">
      <c r="A5" s="124" t="n"/>
      <c r="B5" s="124" t="n"/>
      <c r="C5" s="124" t="n"/>
      <c r="D5" s="124" t="n"/>
      <c r="E5" s="124" t="n"/>
      <c r="F5" s="124" t="n"/>
      <c r="G5" s="124" t="n"/>
      <c r="H5" s="124" t="n"/>
      <c r="I5" s="124" t="n"/>
      <c r="J5" s="124" t="n"/>
      <c r="K5" s="124" t="n">
        <v>531</v>
      </c>
      <c r="L5" s="124" t="n"/>
      <c r="M5" s="124" t="n"/>
      <c r="N5" s="124" t="n"/>
      <c r="O5" s="124" t="n"/>
      <c r="P5" s="127" t="n"/>
      <c r="Q5" s="127" t="n"/>
      <c r="R5" s="127" t="n"/>
      <c r="S5" s="127" t="n"/>
      <c r="T5" s="127" t="n"/>
      <c r="U5" s="124" t="n"/>
      <c r="V5" s="124" t="n"/>
      <c r="W5" s="127" t="n"/>
      <c r="X5" s="127" t="n"/>
      <c r="Y5" s="124" t="n">
        <v>286</v>
      </c>
      <c r="Z5" s="124" t="n"/>
      <c r="AA5" s="124" t="n"/>
      <c r="AB5" s="124" t="n"/>
      <c r="AC5" s="124" t="n"/>
      <c r="AD5" s="127" t="n"/>
      <c r="AE5" s="127" t="n"/>
      <c r="AF5" s="127" t="n"/>
      <c r="AG5" s="127" t="n"/>
      <c r="AH5" s="127" t="n"/>
      <c r="AI5" s="124" t="n"/>
      <c r="AJ5" s="124" t="n"/>
      <c r="AK5" s="127" t="n"/>
      <c r="AL5" s="127" t="n"/>
      <c r="AM5" s="124" t="n">
        <v>51</v>
      </c>
      <c r="AN5" s="124" t="n"/>
      <c r="AO5" s="124" t="n"/>
      <c r="AP5" s="124" t="n"/>
      <c r="AQ5" s="124" t="n"/>
      <c r="AR5" s="124" t="n">
        <v>620</v>
      </c>
    </row>
    <row r="6">
      <c r="A6" s="80" t="n">
        <v>46235</v>
      </c>
      <c r="B6" s="81" t="n"/>
      <c r="C6" s="81" t="n"/>
      <c r="D6" s="81" t="n">
        <v>559</v>
      </c>
      <c r="E6" s="81" t="n">
        <v>572</v>
      </c>
      <c r="F6" s="81">
        <f>E6-D6</f>
        <v/>
      </c>
      <c r="G6" s="81" t="n"/>
      <c r="H6" s="81" t="n"/>
      <c r="I6" s="81" t="n"/>
      <c r="J6" s="81" t="n"/>
      <c r="K6" s="81" t="n"/>
      <c r="L6" s="81" t="n"/>
      <c r="M6" s="81" t="n"/>
      <c r="N6" s="81" t="n"/>
      <c r="O6" s="81" t="n"/>
      <c r="P6" s="80" t="n">
        <v>46235</v>
      </c>
      <c r="Q6" s="81" t="n"/>
      <c r="R6" s="87" t="n">
        <v>301</v>
      </c>
      <c r="S6" s="84" t="n">
        <v>311</v>
      </c>
      <c r="T6" s="85">
        <f>S6-R6</f>
        <v/>
      </c>
      <c r="U6" s="85" t="n"/>
      <c r="V6" s="85" t="n"/>
      <c r="W6" s="83" t="n"/>
      <c r="X6" s="86" t="n"/>
      <c r="Y6" s="86" t="n"/>
      <c r="Z6" s="86" t="n"/>
      <c r="AA6" s="86" t="n"/>
      <c r="AB6" s="86" t="n"/>
      <c r="AC6" s="83" t="n"/>
      <c r="AD6" s="80" t="n">
        <v>46235</v>
      </c>
      <c r="AE6" s="83" t="n"/>
      <c r="AF6" s="115" t="n">
        <v>95</v>
      </c>
      <c r="AG6" s="84" t="n">
        <v>101.9</v>
      </c>
      <c r="AH6" s="85">
        <f>AG6-AF6</f>
        <v/>
      </c>
      <c r="AI6" s="85" t="n"/>
      <c r="AJ6" s="85" t="n"/>
      <c r="AK6" s="83" t="n"/>
      <c r="AL6" s="86" t="n"/>
      <c r="AM6" s="86" t="n"/>
      <c r="AN6" s="86" t="n"/>
      <c r="AO6" s="120" t="n"/>
      <c r="AP6" s="86" t="n"/>
      <c r="AQ6" s="83" t="n"/>
      <c r="AR6" s="73">
        <f>AR5+B6-J6-X6-AL6</f>
        <v/>
      </c>
    </row>
    <row r="7">
      <c r="A7" s="80">
        <f>A6+1</f>
        <v/>
      </c>
      <c r="B7" s="118" t="n">
        <v>1800</v>
      </c>
      <c r="C7" s="81" t="n"/>
      <c r="D7" s="81">
        <f>E6</f>
        <v/>
      </c>
      <c r="E7" s="81" t="n">
        <v>588</v>
      </c>
      <c r="F7" s="81">
        <f>E7-D7</f>
        <v/>
      </c>
      <c r="G7" s="81" t="n"/>
      <c r="H7" s="81" t="n"/>
      <c r="I7" s="81" t="n"/>
      <c r="J7" s="81" t="n">
        <v>275</v>
      </c>
      <c r="K7" s="81" t="n">
        <v>572</v>
      </c>
      <c r="L7" s="81">
        <f>K7-K5</f>
        <v/>
      </c>
      <c r="M7" s="117">
        <f>J7/L7</f>
        <v/>
      </c>
      <c r="N7" s="81" t="n"/>
      <c r="O7" s="81" t="n"/>
      <c r="P7" s="80">
        <f>P6+1</f>
        <v/>
      </c>
      <c r="Q7" s="81" t="n"/>
      <c r="R7" s="87">
        <f>S6</f>
        <v/>
      </c>
      <c r="S7" s="84" t="n">
        <v>323</v>
      </c>
      <c r="T7" s="85">
        <f>S7-R7</f>
        <v/>
      </c>
      <c r="U7" s="85" t="n"/>
      <c r="V7" s="85" t="n"/>
      <c r="W7" s="83" t="n"/>
      <c r="X7" s="83" t="n">
        <v>500</v>
      </c>
      <c r="Y7" s="83" t="n">
        <v>311</v>
      </c>
      <c r="Z7" s="83">
        <f>Y7-Y5</f>
        <v/>
      </c>
      <c r="AA7" s="83">
        <f>X7/Z7</f>
        <v/>
      </c>
      <c r="AB7" s="83" t="n"/>
      <c r="AC7" s="83" t="n"/>
      <c r="AD7" s="80">
        <f>AD6+1</f>
        <v/>
      </c>
      <c r="AE7" s="83" t="n"/>
      <c r="AF7" s="87">
        <f>AG6</f>
        <v/>
      </c>
      <c r="AG7" s="84" t="n">
        <v>113.5</v>
      </c>
      <c r="AH7" s="85">
        <f>AG7-AF7</f>
        <v/>
      </c>
      <c r="AI7" s="85" t="n"/>
      <c r="AJ7" s="85" t="n"/>
      <c r="AK7" s="83" t="n"/>
      <c r="AL7" s="83" t="n">
        <v>320</v>
      </c>
      <c r="AM7" s="83" t="n">
        <v>102</v>
      </c>
      <c r="AN7" s="83">
        <f>AM7-AM5</f>
        <v/>
      </c>
      <c r="AO7" s="103">
        <f>AL7/AN7</f>
        <v/>
      </c>
      <c r="AP7" s="83" t="n"/>
      <c r="AQ7" s="83" t="n"/>
      <c r="AR7" s="73">
        <f>AR6+B7-J7-X7-AL7</f>
        <v/>
      </c>
    </row>
    <row r="8">
      <c r="A8" s="80">
        <f>A7+1</f>
        <v/>
      </c>
      <c r="B8" s="81" t="n"/>
      <c r="C8" s="81" t="n"/>
      <c r="D8" s="81">
        <f>E7</f>
        <v/>
      </c>
      <c r="E8" s="81" t="n">
        <v>596</v>
      </c>
      <c r="F8" s="81">
        <f>E8-D8</f>
        <v/>
      </c>
      <c r="G8" s="81" t="n"/>
      <c r="H8" s="81" t="n"/>
      <c r="I8" s="81" t="n"/>
      <c r="J8" s="81" t="n"/>
      <c r="K8" s="81" t="n"/>
      <c r="L8" s="81" t="n"/>
      <c r="M8" s="81" t="n"/>
      <c r="N8" s="81" t="n"/>
      <c r="O8" s="81" t="n"/>
      <c r="P8" s="80">
        <f>P7+1</f>
        <v/>
      </c>
      <c r="Q8" s="81" t="n"/>
      <c r="R8" s="87">
        <f>S7</f>
        <v/>
      </c>
      <c r="S8" s="84" t="n">
        <v>328</v>
      </c>
      <c r="T8" s="85">
        <f>S8-R8</f>
        <v/>
      </c>
      <c r="U8" s="85" t="n"/>
      <c r="V8" s="85" t="n"/>
      <c r="W8" s="83" t="n"/>
      <c r="X8" s="83" t="n"/>
      <c r="Y8" s="83" t="n"/>
      <c r="Z8" s="83" t="n"/>
      <c r="AA8" s="83" t="n"/>
      <c r="AB8" s="83" t="n"/>
      <c r="AC8" s="83" t="n"/>
      <c r="AD8" s="80">
        <f>AD7+1</f>
        <v/>
      </c>
      <c r="AE8" s="83" t="n"/>
      <c r="AF8" s="87">
        <f>AG7</f>
        <v/>
      </c>
      <c r="AG8" s="84" t="n">
        <v>119</v>
      </c>
      <c r="AH8" s="85">
        <f>AG8-AF8</f>
        <v/>
      </c>
      <c r="AI8" s="85" t="n"/>
      <c r="AJ8" s="85" t="n"/>
      <c r="AK8" s="83" t="n"/>
      <c r="AL8" s="83" t="n"/>
      <c r="AM8" s="83" t="n"/>
      <c r="AN8" s="83" t="n"/>
      <c r="AO8" s="83" t="n"/>
      <c r="AP8" s="83" t="n"/>
      <c r="AQ8" s="83" t="n"/>
      <c r="AR8" s="73">
        <f>AR7+B8-J8-X8-AL8</f>
        <v/>
      </c>
    </row>
    <row r="9">
      <c r="A9" s="80">
        <f>A8+1</f>
        <v/>
      </c>
      <c r="B9" s="81" t="n"/>
      <c r="C9" s="81" t="n"/>
      <c r="D9" s="81">
        <f>E8</f>
        <v/>
      </c>
      <c r="E9" s="81" t="n">
        <v>605</v>
      </c>
      <c r="F9" s="81">
        <f>E9-D9</f>
        <v/>
      </c>
      <c r="G9" s="81" t="n"/>
      <c r="H9" s="81" t="n"/>
      <c r="I9" s="81" t="n"/>
      <c r="J9" s="81" t="n"/>
      <c r="K9" s="81" t="n"/>
      <c r="L9" s="81" t="n"/>
      <c r="M9" s="81" t="n"/>
      <c r="N9" s="81" t="n"/>
      <c r="O9" s="81" t="n"/>
      <c r="P9" s="80">
        <f>P8+1</f>
        <v/>
      </c>
      <c r="Q9" s="81" t="n"/>
      <c r="R9" s="87">
        <f>S8</f>
        <v/>
      </c>
      <c r="S9" s="84" t="n">
        <v>334</v>
      </c>
      <c r="T9" s="85">
        <f>S9-R9</f>
        <v/>
      </c>
      <c r="U9" s="85" t="n"/>
      <c r="V9" s="85" t="n"/>
      <c r="W9" s="83" t="n"/>
      <c r="X9" s="83" t="n"/>
      <c r="Y9" s="83" t="n"/>
      <c r="Z9" s="83" t="n"/>
      <c r="AA9" s="83" t="n"/>
      <c r="AB9" s="83" t="n"/>
      <c r="AC9" s="83" t="n"/>
      <c r="AD9" s="80">
        <f>AD8+1</f>
        <v/>
      </c>
      <c r="AE9" s="83" t="n"/>
      <c r="AF9" s="87">
        <f>AG8</f>
        <v/>
      </c>
      <c r="AG9" s="84" t="n">
        <v>124</v>
      </c>
      <c r="AH9" s="85">
        <f>AG9-AF9</f>
        <v/>
      </c>
      <c r="AI9" s="85" t="n"/>
      <c r="AJ9" s="85" t="n"/>
      <c r="AK9" s="83" t="n"/>
      <c r="AL9" s="83" t="n"/>
      <c r="AM9" s="83" t="n"/>
      <c r="AN9" s="83" t="n"/>
      <c r="AO9" s="83" t="n"/>
      <c r="AP9" s="83" t="n"/>
      <c r="AQ9" s="83" t="n"/>
      <c r="AR9" s="73">
        <f>AR8+B9-J9-X9-AL9-AS9</f>
        <v/>
      </c>
      <c r="AS9" t="n">
        <v>300</v>
      </c>
      <c r="AT9" t="inlineStr">
        <is>
          <t>Diesel filling sany machine in MLPM site</t>
        </is>
      </c>
    </row>
    <row r="10">
      <c r="A10" s="80">
        <f>A9+1</f>
        <v/>
      </c>
      <c r="B10" s="81" t="n"/>
      <c r="C10" s="81" t="n"/>
      <c r="D10" s="81">
        <f>E9</f>
        <v/>
      </c>
      <c r="E10" s="81" t="n">
        <v>616</v>
      </c>
      <c r="F10" s="81">
        <f>E10-D10</f>
        <v/>
      </c>
      <c r="G10" s="81" t="n"/>
      <c r="H10" s="81" t="n"/>
      <c r="I10" s="81" t="n"/>
      <c r="J10" s="81" t="n"/>
      <c r="K10" s="81" t="n"/>
      <c r="L10" s="81" t="n"/>
      <c r="M10" s="81" t="n"/>
      <c r="N10" s="81" t="n"/>
      <c r="O10" s="81" t="n"/>
      <c r="P10" s="80">
        <f>P9+1</f>
        <v/>
      </c>
      <c r="Q10" s="81" t="n"/>
      <c r="R10" s="87">
        <f>S9</f>
        <v/>
      </c>
      <c r="S10" s="84" t="n">
        <v>341</v>
      </c>
      <c r="T10" s="85">
        <f>S10-R10</f>
        <v/>
      </c>
      <c r="U10" s="85" t="n"/>
      <c r="V10" s="85" t="n"/>
      <c r="W10" s="83" t="n"/>
      <c r="X10" s="83" t="n"/>
      <c r="Y10" s="83" t="n"/>
      <c r="Z10" s="83" t="n"/>
      <c r="AA10" s="83" t="n"/>
      <c r="AB10" s="83" t="n"/>
      <c r="AC10" s="83" t="n"/>
      <c r="AD10" s="80">
        <f>AD9+1</f>
        <v/>
      </c>
      <c r="AE10" s="83" t="n"/>
      <c r="AF10" s="87">
        <f>AG9</f>
        <v/>
      </c>
      <c r="AG10" s="87" t="n">
        <v>129</v>
      </c>
      <c r="AH10" s="85">
        <f>AG10-AF10</f>
        <v/>
      </c>
      <c r="AI10" s="85" t="n"/>
      <c r="AJ10" s="85" t="n"/>
      <c r="AK10" s="83" t="n"/>
      <c r="AL10" s="83" t="n"/>
      <c r="AM10" s="83" t="n"/>
      <c r="AN10" s="83" t="n"/>
      <c r="AO10" s="83" t="n"/>
      <c r="AP10" s="83" t="n"/>
      <c r="AQ10" s="83" t="n"/>
      <c r="AR10" s="73">
        <f>AR9+B10-J10-X10-AL10-AS10</f>
        <v/>
      </c>
    </row>
    <row r="11">
      <c r="A11" s="80">
        <f>A10+1</f>
        <v/>
      </c>
      <c r="B11" s="81" t="n"/>
      <c r="C11" s="81" t="n"/>
      <c r="D11" s="81">
        <f>E10</f>
        <v/>
      </c>
      <c r="E11" s="81" t="n">
        <v>624</v>
      </c>
      <c r="F11" s="81">
        <f>E11-D11</f>
        <v/>
      </c>
      <c r="G11" s="81" t="n"/>
      <c r="H11" s="81" t="n"/>
      <c r="I11" s="81" t="n"/>
      <c r="J11" s="81" t="n">
        <v>400</v>
      </c>
      <c r="K11" s="81" t="n"/>
      <c r="L11" s="81" t="n"/>
      <c r="M11" s="81" t="n"/>
      <c r="N11" s="81" t="n"/>
      <c r="O11" s="81" t="n"/>
      <c r="P11" s="80">
        <f>P10+1</f>
        <v/>
      </c>
      <c r="Q11" s="81" t="n"/>
      <c r="R11" s="87">
        <f>S10</f>
        <v/>
      </c>
      <c r="S11" s="84" t="n">
        <v>344</v>
      </c>
      <c r="T11" s="85">
        <f>S11-R11</f>
        <v/>
      </c>
      <c r="U11" s="85" t="n"/>
      <c r="V11" s="85" t="n"/>
      <c r="W11" s="83" t="n"/>
      <c r="X11" s="83" t="n">
        <v>200</v>
      </c>
      <c r="Y11" s="83" t="n"/>
      <c r="Z11" s="83" t="n"/>
      <c r="AA11" s="83" t="n"/>
      <c r="AB11" s="83" t="n"/>
      <c r="AC11" s="83" t="n"/>
      <c r="AD11" s="80">
        <f>AD10+1</f>
        <v/>
      </c>
      <c r="AE11" s="83" t="n"/>
      <c r="AF11" s="87">
        <f>AG10</f>
        <v/>
      </c>
      <c r="AG11" s="87" t="n">
        <v>135.5</v>
      </c>
      <c r="AH11" s="85">
        <f>AG11-AF11</f>
        <v/>
      </c>
      <c r="AI11" s="85" t="n"/>
      <c r="AJ11" s="85" t="n"/>
      <c r="AK11" s="83" t="n"/>
      <c r="AL11" s="83" t="n">
        <v>200</v>
      </c>
      <c r="AM11" s="83" t="n"/>
      <c r="AN11" s="83" t="n"/>
      <c r="AO11" s="83" t="n"/>
      <c r="AP11" s="83" t="n"/>
      <c r="AQ11" s="83" t="n"/>
      <c r="AR11" s="73">
        <f>AR10+B11-J11-X11-AL11-AS11</f>
        <v/>
      </c>
    </row>
    <row r="12">
      <c r="A12" s="80">
        <f>A11+1</f>
        <v/>
      </c>
      <c r="B12" s="81" t="n"/>
      <c r="C12" s="81" t="n"/>
      <c r="D12" s="81">
        <f>E11</f>
        <v/>
      </c>
      <c r="E12" s="81" t="n">
        <v>635</v>
      </c>
      <c r="F12" s="81">
        <f>E12-D12</f>
        <v/>
      </c>
      <c r="G12" s="81" t="n"/>
      <c r="H12" s="81" t="n"/>
      <c r="I12" s="81" t="n"/>
      <c r="J12" s="81" t="n"/>
      <c r="K12" s="81" t="n"/>
      <c r="L12" s="81" t="n"/>
      <c r="M12" s="81" t="n"/>
      <c r="N12" s="81" t="n"/>
      <c r="O12" s="81" t="n"/>
      <c r="P12" s="80">
        <f>P11+1</f>
        <v/>
      </c>
      <c r="Q12" s="81" t="n"/>
      <c r="R12" s="87">
        <f>S11</f>
        <v/>
      </c>
      <c r="S12" s="84" t="n">
        <v>356</v>
      </c>
      <c r="T12" s="85">
        <f>S12-R12</f>
        <v/>
      </c>
      <c r="U12" s="85" t="n"/>
      <c r="V12" s="85" t="n"/>
      <c r="W12" s="83" t="n"/>
      <c r="X12" s="83" t="n"/>
      <c r="Y12" s="83" t="n"/>
      <c r="Z12" s="83" t="n"/>
      <c r="AA12" s="83" t="n"/>
      <c r="AB12" s="83" t="n"/>
      <c r="AC12" s="83" t="n"/>
      <c r="AD12" s="80">
        <f>AD11+1</f>
        <v/>
      </c>
      <c r="AE12" s="83" t="n"/>
      <c r="AF12" s="87">
        <f>AG11</f>
        <v/>
      </c>
      <c r="AG12" s="87" t="n">
        <v>145</v>
      </c>
      <c r="AH12" s="85">
        <f>AG12-AF12</f>
        <v/>
      </c>
      <c r="AI12" s="85" t="n"/>
      <c r="AJ12" s="85" t="n"/>
      <c r="AK12" s="83" t="n"/>
      <c r="AL12" s="83" t="n"/>
      <c r="AM12" s="83" t="n"/>
      <c r="AN12" s="83" t="n"/>
      <c r="AO12" s="83" t="n"/>
      <c r="AP12" s="83" t="n"/>
      <c r="AQ12" s="83" t="n"/>
      <c r="AR12" s="73">
        <f>AR11+B12-J12-X12-AL12-AS12</f>
        <v/>
      </c>
    </row>
    <row r="13">
      <c r="A13" s="80">
        <f>A12+1</f>
        <v/>
      </c>
      <c r="B13" s="81" t="n"/>
      <c r="C13" s="81" t="n"/>
      <c r="D13" s="81">
        <f>E12</f>
        <v/>
      </c>
      <c r="E13" s="81" t="n">
        <v>647</v>
      </c>
      <c r="F13" s="81">
        <f>E13-D13</f>
        <v/>
      </c>
      <c r="G13" s="81" t="n"/>
      <c r="H13" s="81" t="n"/>
      <c r="I13" s="81" t="n"/>
      <c r="J13" s="81" t="n"/>
      <c r="K13" s="81" t="n"/>
      <c r="L13" s="81" t="n"/>
      <c r="M13" s="81" t="n"/>
      <c r="N13" s="81" t="n"/>
      <c r="O13" s="81" t="n"/>
      <c r="P13" s="80">
        <f>P12+1</f>
        <v/>
      </c>
      <c r="Q13" s="81" t="n"/>
      <c r="R13" s="87">
        <f>S12</f>
        <v/>
      </c>
      <c r="S13" s="84" t="n">
        <v>367</v>
      </c>
      <c r="T13" s="85">
        <f>S13-R13</f>
        <v/>
      </c>
      <c r="U13" s="85" t="n"/>
      <c r="V13" s="85" t="n"/>
      <c r="W13" s="83" t="n"/>
      <c r="X13" s="83" t="n"/>
      <c r="Y13" s="83" t="n"/>
      <c r="Z13" s="83" t="n"/>
      <c r="AA13" s="83" t="n"/>
      <c r="AB13" s="83" t="n"/>
      <c r="AC13" s="83" t="n"/>
      <c r="AD13" s="80">
        <f>AD12+1</f>
        <v/>
      </c>
      <c r="AE13" s="83" t="n"/>
      <c r="AF13" s="87">
        <f>AG12</f>
        <v/>
      </c>
      <c r="AG13" s="87" t="n">
        <v>156.9</v>
      </c>
      <c r="AH13" s="85">
        <f>AG13-AF13</f>
        <v/>
      </c>
      <c r="AI13" s="85" t="n"/>
      <c r="AJ13" s="85" t="n"/>
      <c r="AK13" s="83" t="n"/>
      <c r="AL13" s="83" t="n"/>
      <c r="AM13" s="83" t="n"/>
      <c r="AN13" s="83" t="n"/>
      <c r="AO13" s="83" t="n"/>
      <c r="AP13" s="83" t="n"/>
      <c r="AQ13" s="83" t="n"/>
      <c r="AR13" s="73">
        <f>AR12+B13-J13-X13-AL13-AS13</f>
        <v/>
      </c>
    </row>
    <row r="14">
      <c r="A14" s="80">
        <f>A13+1</f>
        <v/>
      </c>
      <c r="B14" s="118" t="n">
        <v>1000</v>
      </c>
      <c r="C14" s="81" t="n"/>
      <c r="D14" s="81">
        <f>E13</f>
        <v/>
      </c>
      <c r="E14" s="81" t="n">
        <v>653</v>
      </c>
      <c r="F14" s="81">
        <f>E14-D14</f>
        <v/>
      </c>
      <c r="G14" s="81" t="n"/>
      <c r="H14" s="81" t="n"/>
      <c r="I14" s="81" t="n"/>
      <c r="J14" s="81" t="n"/>
      <c r="K14" s="81" t="n"/>
      <c r="L14" s="81" t="n"/>
      <c r="M14" s="81" t="n"/>
      <c r="N14" s="81" t="n"/>
      <c r="O14" s="81" t="n"/>
      <c r="P14" s="80">
        <f>P13+1</f>
        <v/>
      </c>
      <c r="Q14" s="81" t="n"/>
      <c r="R14" s="87">
        <f>S13</f>
        <v/>
      </c>
      <c r="S14" s="84" t="n">
        <v>373</v>
      </c>
      <c r="T14" s="85">
        <f>S14-R14</f>
        <v/>
      </c>
      <c r="U14" s="85" t="n"/>
      <c r="V14" s="85" t="n"/>
      <c r="W14" s="83" t="n"/>
      <c r="X14" s="83" t="n"/>
      <c r="Y14" s="83" t="n"/>
      <c r="Z14" s="83" t="n"/>
      <c r="AA14" s="83" t="n"/>
      <c r="AB14" s="83" t="n"/>
      <c r="AC14" s="83" t="n"/>
      <c r="AD14" s="80">
        <f>AD13+1</f>
        <v/>
      </c>
      <c r="AE14" s="83" t="n"/>
      <c r="AF14" s="87">
        <f>AG13</f>
        <v/>
      </c>
      <c r="AG14" s="87" t="n">
        <v>158.2</v>
      </c>
      <c r="AH14" s="85">
        <f>AG14-AF14</f>
        <v/>
      </c>
      <c r="AI14" s="85" t="n"/>
      <c r="AJ14" s="85" t="n"/>
      <c r="AK14" s="83" t="n"/>
      <c r="AL14" s="83" t="n"/>
      <c r="AM14" s="83" t="n"/>
      <c r="AN14" s="83" t="n"/>
      <c r="AO14" s="83" t="n"/>
      <c r="AP14" s="83" t="n"/>
      <c r="AQ14" s="83" t="n"/>
      <c r="AR14" s="73">
        <f>AR13+B14-J14-X14-AL14-AS14</f>
        <v/>
      </c>
      <c r="AS14" t="n">
        <v>200</v>
      </c>
      <c r="AT14" t="inlineStr">
        <is>
          <t>Diesel filling sany machine in MLPM site</t>
        </is>
      </c>
    </row>
    <row r="15">
      <c r="A15" s="80">
        <f>A14+1</f>
        <v/>
      </c>
      <c r="B15" s="81" t="n"/>
      <c r="C15" s="81" t="n"/>
      <c r="D15" s="81">
        <f>E14</f>
        <v/>
      </c>
      <c r="E15" s="81" t="n">
        <v>665</v>
      </c>
      <c r="F15" s="81">
        <f>E15-D15</f>
        <v/>
      </c>
      <c r="G15" s="81" t="n"/>
      <c r="H15" s="81" t="n"/>
      <c r="I15" s="81" t="n"/>
      <c r="J15" s="81" t="n">
        <v>500</v>
      </c>
      <c r="K15" s="81" t="n"/>
      <c r="L15" s="81" t="n"/>
      <c r="M15" s="81" t="n"/>
      <c r="N15" s="81" t="n"/>
      <c r="O15" s="81" t="n"/>
      <c r="P15" s="80">
        <f>P14+1</f>
        <v/>
      </c>
      <c r="Q15" s="81" t="n"/>
      <c r="R15" s="87">
        <f>S14</f>
        <v/>
      </c>
      <c r="S15" s="84" t="n">
        <v>382</v>
      </c>
      <c r="T15" s="85">
        <f>S15-R15</f>
        <v/>
      </c>
      <c r="U15" s="85" t="n"/>
      <c r="V15" s="85" t="n"/>
      <c r="W15" s="83" t="n"/>
      <c r="X15" s="83" t="n">
        <v>500</v>
      </c>
      <c r="Y15" s="83" t="n"/>
      <c r="Z15" s="83" t="n"/>
      <c r="AA15" s="83" t="n"/>
      <c r="AB15" s="83" t="n"/>
      <c r="AC15" s="83" t="n"/>
      <c r="AD15" s="80">
        <f>AD14+1</f>
        <v/>
      </c>
      <c r="AE15" s="83" t="n"/>
      <c r="AF15" s="87">
        <f>AG14</f>
        <v/>
      </c>
      <c r="AG15" s="87" t="n">
        <v>167.3</v>
      </c>
      <c r="AH15" s="85">
        <f>AG15-AF15</f>
        <v/>
      </c>
      <c r="AI15" s="85" t="n"/>
      <c r="AJ15" s="85" t="n"/>
      <c r="AK15" s="83" t="n"/>
      <c r="AL15" s="83" t="n"/>
      <c r="AM15" s="83" t="n"/>
      <c r="AN15" s="83" t="n"/>
      <c r="AO15" s="83" t="n"/>
      <c r="AP15" s="83" t="n"/>
      <c r="AQ15" s="83" t="n"/>
      <c r="AR15" s="73">
        <f>AR14+B15-J15-X15-AL15-AS15</f>
        <v/>
      </c>
    </row>
    <row r="16">
      <c r="A16" s="80">
        <f>A15+1</f>
        <v/>
      </c>
      <c r="B16" s="118" t="n">
        <v>1600</v>
      </c>
      <c r="C16" s="81" t="n"/>
      <c r="D16" s="81">
        <f>E15</f>
        <v/>
      </c>
      <c r="E16" s="81" t="n">
        <v>678</v>
      </c>
      <c r="F16" s="81">
        <f>E16-D16</f>
        <v/>
      </c>
      <c r="G16" s="81" t="n"/>
      <c r="H16" s="81" t="n"/>
      <c r="I16" s="81" t="n"/>
      <c r="J16" s="81" t="n"/>
      <c r="K16" s="81" t="n"/>
      <c r="L16" s="81" t="n"/>
      <c r="M16" s="81" t="n"/>
      <c r="N16" s="81" t="n"/>
      <c r="O16" s="81" t="n"/>
      <c r="P16" s="80">
        <f>P15+1</f>
        <v/>
      </c>
      <c r="Q16" s="81" t="n"/>
      <c r="R16" s="87">
        <f>S15</f>
        <v/>
      </c>
      <c r="S16" s="84" t="n">
        <v>395</v>
      </c>
      <c r="T16" s="85">
        <f>S16-R16</f>
        <v/>
      </c>
      <c r="U16" s="85" t="n"/>
      <c r="V16" s="85" t="n"/>
      <c r="W16" s="83" t="n"/>
      <c r="X16" s="83" t="n"/>
      <c r="Y16" s="83" t="n"/>
      <c r="Z16" s="83" t="n"/>
      <c r="AA16" s="83" t="n"/>
      <c r="AB16" s="83" t="n"/>
      <c r="AC16" s="83" t="n"/>
      <c r="AD16" s="80">
        <f>AD15+1</f>
        <v/>
      </c>
      <c r="AE16" s="83" t="n"/>
      <c r="AF16" s="87">
        <f>AG15</f>
        <v/>
      </c>
      <c r="AG16" s="87" t="n">
        <v>170</v>
      </c>
      <c r="AH16" s="85">
        <f>AG16-AF16</f>
        <v/>
      </c>
      <c r="AI16" s="85" t="n"/>
      <c r="AJ16" s="85" t="n"/>
      <c r="AK16" s="83" t="n"/>
      <c r="AL16" s="83" t="n">
        <v>400</v>
      </c>
      <c r="AM16" s="83" t="n"/>
      <c r="AN16" s="83" t="n"/>
      <c r="AO16" s="83" t="n"/>
      <c r="AP16" s="83" t="n"/>
      <c r="AQ16" s="83" t="n"/>
      <c r="AR16" s="73">
        <f>AR15+B16-J16-X16-AL16-AS16</f>
        <v/>
      </c>
    </row>
    <row r="17">
      <c r="A17" s="80">
        <f>A16+1</f>
        <v/>
      </c>
      <c r="B17" s="81" t="n"/>
      <c r="C17" s="81" t="n"/>
      <c r="D17" s="81">
        <f>E16</f>
        <v/>
      </c>
      <c r="E17" s="81" t="n">
        <v>698</v>
      </c>
      <c r="F17" s="81">
        <f>E17-D17</f>
        <v/>
      </c>
      <c r="G17" s="81" t="n"/>
      <c r="H17" s="81" t="n"/>
      <c r="I17" s="81" t="n"/>
      <c r="J17" s="81" t="n">
        <v>504</v>
      </c>
      <c r="K17" s="81" t="n"/>
      <c r="L17" s="81" t="n"/>
      <c r="M17" s="81" t="n"/>
      <c r="N17" s="81" t="n"/>
      <c r="O17" s="81" t="n"/>
      <c r="P17" s="80">
        <f>P16+1</f>
        <v/>
      </c>
      <c r="Q17" s="81" t="n"/>
      <c r="R17" s="87">
        <f>S16</f>
        <v/>
      </c>
      <c r="S17" s="87" t="n">
        <v>411</v>
      </c>
      <c r="T17" s="85">
        <f>S17-R17</f>
        <v/>
      </c>
      <c r="U17" s="85" t="n"/>
      <c r="V17" s="85" t="n"/>
      <c r="W17" s="83" t="n"/>
      <c r="X17" s="83" t="n">
        <v>462</v>
      </c>
      <c r="Y17" s="83" t="n"/>
      <c r="Z17" s="83" t="n"/>
      <c r="AA17" s="83" t="n"/>
      <c r="AB17" s="83" t="n"/>
      <c r="AC17" s="83" t="n"/>
      <c r="AD17" s="80">
        <f>AD16+1</f>
        <v/>
      </c>
      <c r="AE17" s="83" t="n"/>
      <c r="AF17" s="87">
        <f>AG16</f>
        <v/>
      </c>
      <c r="AG17" s="87" t="n">
        <v>178.6</v>
      </c>
      <c r="AH17" s="85">
        <f>AG17-AF17</f>
        <v/>
      </c>
      <c r="AI17" s="85" t="n"/>
      <c r="AJ17" s="85" t="n"/>
      <c r="AK17" s="83" t="n"/>
      <c r="AL17" s="83" t="n"/>
      <c r="AM17" s="83" t="n"/>
      <c r="AN17" s="83" t="n"/>
      <c r="AO17" s="83" t="n"/>
      <c r="AP17" s="83" t="n"/>
      <c r="AQ17" s="83" t="n"/>
      <c r="AR17" s="73">
        <f>AR16+B17-J17-X17-AL17-AS17</f>
        <v/>
      </c>
      <c r="AS17" t="n">
        <v>250</v>
      </c>
      <c r="AT17" t="inlineStr">
        <is>
          <t>Diesel filling sany machine in MLPM site</t>
        </is>
      </c>
    </row>
    <row r="18">
      <c r="A18" s="80">
        <f>A17+1</f>
        <v/>
      </c>
      <c r="B18" s="118" t="n">
        <v>1200</v>
      </c>
      <c r="C18" s="81" t="n"/>
      <c r="D18" s="81">
        <f>E17</f>
        <v/>
      </c>
      <c r="E18" s="81" t="n">
        <v>705</v>
      </c>
      <c r="F18" s="81">
        <f>E18-D18</f>
        <v/>
      </c>
      <c r="G18" s="81" t="n"/>
      <c r="H18" s="81" t="n"/>
      <c r="I18" s="81" t="n"/>
      <c r="J18" s="81" t="n"/>
      <c r="K18" s="81" t="n"/>
      <c r="L18" s="81" t="n"/>
      <c r="M18" s="81" t="n"/>
      <c r="N18" s="81" t="n"/>
      <c r="O18" s="81" t="n"/>
      <c r="P18" s="80">
        <f>P17+1</f>
        <v/>
      </c>
      <c r="Q18" s="81" t="n"/>
      <c r="R18" s="87">
        <f>S17</f>
        <v/>
      </c>
      <c r="S18" s="87" t="n">
        <v>420</v>
      </c>
      <c r="T18" s="85">
        <f>S18-R18</f>
        <v/>
      </c>
      <c r="U18" s="85" t="n"/>
      <c r="V18" s="85" t="n"/>
      <c r="W18" s="83" t="n"/>
      <c r="X18" s="83" t="n"/>
      <c r="Y18" s="83" t="n"/>
      <c r="Z18" s="83" t="n"/>
      <c r="AA18" s="83" t="n"/>
      <c r="AB18" s="83" t="n"/>
      <c r="AC18" s="83" t="n"/>
      <c r="AD18" s="80">
        <f>AD17+1</f>
        <v/>
      </c>
      <c r="AE18" s="83" t="n"/>
      <c r="AF18" s="87">
        <f>AG17</f>
        <v/>
      </c>
      <c r="AG18" s="87" t="n">
        <v>185.3</v>
      </c>
      <c r="AH18" s="85">
        <f>AG18-AF18</f>
        <v/>
      </c>
      <c r="AI18" s="85" t="n"/>
      <c r="AJ18" s="85" t="n"/>
      <c r="AK18" s="83" t="n"/>
      <c r="AL18" s="83" t="n"/>
      <c r="AM18" s="83" t="n"/>
      <c r="AN18" s="83" t="n"/>
      <c r="AO18" s="83" t="n"/>
      <c r="AP18" s="83" t="n"/>
      <c r="AQ18" s="83" t="n"/>
      <c r="AR18" s="73">
        <f>AR17+B18-J18-X18-AL18-AS18</f>
        <v/>
      </c>
      <c r="AS18" t="n">
        <v>200</v>
      </c>
      <c r="AT18" t="inlineStr">
        <is>
          <t>Diesel filling sany machine in MLPM site</t>
        </is>
      </c>
    </row>
    <row r="19">
      <c r="A19" s="80">
        <f>A18+1</f>
        <v/>
      </c>
      <c r="B19" s="81" t="n"/>
      <c r="C19" s="81" t="n"/>
      <c r="D19" s="81">
        <f>E18</f>
        <v/>
      </c>
      <c r="E19" s="81" t="n">
        <v>705</v>
      </c>
      <c r="F19" s="81">
        <f>E19-D19</f>
        <v/>
      </c>
      <c r="G19" s="81" t="n"/>
      <c r="H19" s="81" t="n"/>
      <c r="I19" s="81" t="n"/>
      <c r="J19" s="81" t="n"/>
      <c r="K19" s="81" t="n"/>
      <c r="L19" s="81" t="n"/>
      <c r="M19" s="81" t="n"/>
      <c r="N19" s="81" t="n"/>
      <c r="O19" s="81" t="n"/>
      <c r="P19" s="80">
        <f>P18+1</f>
        <v/>
      </c>
      <c r="Q19" s="81" t="n"/>
      <c r="R19" s="87">
        <f>S18</f>
        <v/>
      </c>
      <c r="S19" s="87" t="n">
        <v>420</v>
      </c>
      <c r="T19" s="85">
        <f>S19-R19</f>
        <v/>
      </c>
      <c r="U19" s="85" t="n"/>
      <c r="V19" s="85" t="n"/>
      <c r="W19" s="83" t="n"/>
      <c r="X19" s="83" t="n"/>
      <c r="Y19" s="83" t="n"/>
      <c r="Z19" s="83" t="n"/>
      <c r="AA19" s="83" t="n"/>
      <c r="AB19" s="83" t="n"/>
      <c r="AC19" s="83" t="n"/>
      <c r="AD19" s="80">
        <f>AD18+1</f>
        <v/>
      </c>
      <c r="AE19" s="83" t="n"/>
      <c r="AF19" s="87">
        <f>AG18</f>
        <v/>
      </c>
      <c r="AG19" s="87" t="n">
        <v>185.3</v>
      </c>
      <c r="AH19" s="85">
        <f>AG19-AF19</f>
        <v/>
      </c>
      <c r="AI19" s="85" t="n"/>
      <c r="AJ19" s="85" t="n"/>
      <c r="AK19" s="83" t="n"/>
      <c r="AL19" s="83" t="n"/>
      <c r="AM19" s="83" t="n"/>
      <c r="AN19" s="83" t="n"/>
      <c r="AO19" s="83" t="n"/>
      <c r="AP19" s="83" t="n"/>
      <c r="AQ19" s="83" t="n"/>
      <c r="AR19" s="73">
        <f>AR18+B19-J19-X19-AL19-AS19</f>
        <v/>
      </c>
    </row>
    <row r="20">
      <c r="A20" s="80">
        <f>A19+1</f>
        <v/>
      </c>
      <c r="B20" s="81" t="n"/>
      <c r="C20" s="81" t="n"/>
      <c r="D20" s="81">
        <f>E19</f>
        <v/>
      </c>
      <c r="E20" s="81" t="n">
        <v>720</v>
      </c>
      <c r="F20" s="81">
        <f>E20-D20</f>
        <v/>
      </c>
      <c r="G20" s="81" t="n"/>
      <c r="H20" s="81" t="n"/>
      <c r="I20" s="81" t="n"/>
      <c r="J20" s="81" t="n"/>
      <c r="K20" s="81" t="n"/>
      <c r="L20" s="81" t="n"/>
      <c r="M20" s="81" t="n"/>
      <c r="N20" s="81" t="n"/>
      <c r="O20" s="81" t="n"/>
      <c r="P20" s="80">
        <f>P19+1</f>
        <v/>
      </c>
      <c r="Q20" s="81" t="n"/>
      <c r="R20" s="87">
        <f>S19</f>
        <v/>
      </c>
      <c r="S20" s="87" t="n">
        <v>436</v>
      </c>
      <c r="T20" s="85">
        <f>S20-R20</f>
        <v/>
      </c>
      <c r="U20" s="85" t="n"/>
      <c r="V20" s="85" t="n"/>
      <c r="W20" s="83" t="n"/>
      <c r="X20" s="83" t="n"/>
      <c r="Y20" s="83" t="n"/>
      <c r="Z20" s="83" t="n"/>
      <c r="AA20" s="83" t="n"/>
      <c r="AB20" s="83" t="n"/>
      <c r="AC20" s="83" t="n"/>
      <c r="AD20" s="80">
        <f>AD19+1</f>
        <v/>
      </c>
      <c r="AE20" s="83" t="n"/>
      <c r="AF20" s="87">
        <f>AG19</f>
        <v/>
      </c>
      <c r="AG20" s="87" t="n">
        <v>198.2</v>
      </c>
      <c r="AH20" s="85">
        <f>AG20-AF20</f>
        <v/>
      </c>
      <c r="AI20" s="85" t="n"/>
      <c r="AJ20" s="85" t="n"/>
      <c r="AK20" s="83" t="n"/>
      <c r="AL20" s="83" t="n"/>
      <c r="AM20" s="83" t="n"/>
      <c r="AN20" s="83" t="n"/>
      <c r="AO20" s="83" t="n"/>
      <c r="AP20" s="83" t="n"/>
      <c r="AQ20" s="83" t="n"/>
      <c r="AR20" s="73">
        <f>AR19+B20-J20-X20-AL20-AS20</f>
        <v/>
      </c>
    </row>
    <row r="21">
      <c r="A21" s="80">
        <f>A20+1</f>
        <v/>
      </c>
      <c r="B21" s="81" t="n"/>
      <c r="C21" s="81" t="n"/>
      <c r="D21" s="81">
        <f>E20</f>
        <v/>
      </c>
      <c r="E21" s="81" t="n">
        <v>736</v>
      </c>
      <c r="F21" s="81">
        <f>E21-D21</f>
        <v/>
      </c>
      <c r="G21" s="81" t="n"/>
      <c r="H21" s="81" t="n"/>
      <c r="I21" s="81" t="n"/>
      <c r="J21" s="81" t="n">
        <v>462</v>
      </c>
      <c r="K21" s="81" t="n">
        <v>731</v>
      </c>
      <c r="L21" s="81">
        <f>K21-K7</f>
        <v/>
      </c>
      <c r="M21" s="117">
        <f>J21/L21</f>
        <v/>
      </c>
      <c r="N21" s="81" t="n"/>
      <c r="O21" s="81" t="n"/>
      <c r="P21" s="80">
        <f>P20+1</f>
        <v/>
      </c>
      <c r="Q21" s="81" t="n"/>
      <c r="R21" s="87">
        <f>S20</f>
        <v/>
      </c>
      <c r="S21" s="87" t="n">
        <v>448</v>
      </c>
      <c r="T21" s="85">
        <f>S21-R21</f>
        <v/>
      </c>
      <c r="U21" s="85" t="n"/>
      <c r="V21" s="85" t="n"/>
      <c r="W21" s="83" t="n"/>
      <c r="X21" s="83" t="n">
        <v>414</v>
      </c>
      <c r="Y21" s="83" t="n">
        <v>442</v>
      </c>
      <c r="Z21" s="83">
        <f>Y21-Y7</f>
        <v/>
      </c>
      <c r="AA21" s="103">
        <f>X21/Z21</f>
        <v/>
      </c>
      <c r="AB21" s="83" t="n"/>
      <c r="AC21" s="83" t="n"/>
      <c r="AD21" s="80">
        <f>AD20+1</f>
        <v/>
      </c>
      <c r="AE21" s="83" t="n"/>
      <c r="AF21" s="87">
        <f>AG20</f>
        <v/>
      </c>
      <c r="AG21" s="87" t="n">
        <v>198.5</v>
      </c>
      <c r="AH21" s="85">
        <f>AG21-AF21</f>
        <v/>
      </c>
      <c r="AI21" s="85" t="n"/>
      <c r="AJ21" s="85" t="n"/>
      <c r="AK21" s="83" t="n"/>
      <c r="AL21" s="83" t="n">
        <v>200</v>
      </c>
      <c r="AM21" s="83" t="n">
        <v>198.4</v>
      </c>
      <c r="AN21" s="83" t="inlineStr">
        <is>
          <t>N/F</t>
        </is>
      </c>
      <c r="AO21" s="83" t="n"/>
      <c r="AP21" s="83" t="n"/>
      <c r="AQ21" s="83" t="n"/>
      <c r="AR21" s="73">
        <f>AR20+B21-J21-X21-AL21-AS21</f>
        <v/>
      </c>
    </row>
    <row r="22">
      <c r="A22" s="80">
        <f>A21+1</f>
        <v/>
      </c>
      <c r="B22" s="81" t="n"/>
      <c r="C22" s="81" t="n"/>
      <c r="D22" s="81">
        <f>E21</f>
        <v/>
      </c>
      <c r="E22" s="81" t="n">
        <v>746</v>
      </c>
      <c r="F22" s="81">
        <f>E22-D22</f>
        <v/>
      </c>
      <c r="G22" s="81" t="n"/>
      <c r="H22" s="81" t="n"/>
      <c r="I22" s="81" t="n"/>
      <c r="J22" s="81" t="n"/>
      <c r="K22" s="81" t="n"/>
      <c r="L22" s="81" t="n"/>
      <c r="M22" s="81" t="n"/>
      <c r="N22" s="81" t="n"/>
      <c r="O22" s="81" t="n"/>
      <c r="P22" s="80">
        <f>P21+1</f>
        <v/>
      </c>
      <c r="Q22" s="81" t="n"/>
      <c r="R22" s="87">
        <f>S21</f>
        <v/>
      </c>
      <c r="S22" s="87" t="n">
        <v>456</v>
      </c>
      <c r="T22" s="85">
        <f>S22-R22</f>
        <v/>
      </c>
      <c r="U22" s="85" t="n"/>
      <c r="V22" s="85" t="n"/>
      <c r="W22" s="83" t="n"/>
      <c r="X22" s="83" t="n"/>
      <c r="Y22" s="83" t="n"/>
      <c r="Z22" s="83" t="n"/>
      <c r="AA22" s="83" t="n"/>
      <c r="AB22" s="83" t="n"/>
      <c r="AC22" s="83" t="n"/>
      <c r="AD22" s="80">
        <f>AD21+1</f>
        <v/>
      </c>
      <c r="AE22" s="83" t="n"/>
      <c r="AF22" s="87">
        <f>AG21</f>
        <v/>
      </c>
      <c r="AG22" s="87" t="n">
        <v>207</v>
      </c>
      <c r="AH22" s="85">
        <f>AG22-AF22</f>
        <v/>
      </c>
      <c r="AI22" s="85" t="n"/>
      <c r="AJ22" s="85" t="n"/>
      <c r="AK22" s="83" t="n"/>
      <c r="AL22" s="83" t="n"/>
      <c r="AM22" s="83" t="n"/>
      <c r="AN22" s="83" t="n"/>
      <c r="AO22" s="83" t="n"/>
      <c r="AP22" s="83" t="n"/>
      <c r="AQ22" s="83" t="n"/>
      <c r="AR22" s="73">
        <f>AR21+B22-J22-X22-AL22-AS22</f>
        <v/>
      </c>
    </row>
    <row r="23">
      <c r="A23" s="80">
        <f>A22+1</f>
        <v/>
      </c>
      <c r="B23" s="81" t="n"/>
      <c r="C23" s="81" t="n"/>
      <c r="D23" s="81">
        <f>E22</f>
        <v/>
      </c>
      <c r="E23" s="81" t="n">
        <v>755</v>
      </c>
      <c r="F23" s="81">
        <f>E23-D23</f>
        <v/>
      </c>
      <c r="G23" s="81" t="n"/>
      <c r="H23" s="81" t="n"/>
      <c r="I23" s="81" t="n"/>
      <c r="J23" s="81" t="n"/>
      <c r="K23" s="81" t="n"/>
      <c r="L23" s="81" t="n"/>
      <c r="M23" s="81" t="n"/>
      <c r="N23" s="81" t="n"/>
      <c r="O23" s="81" t="n"/>
      <c r="P23" s="80">
        <f>P22+1</f>
        <v/>
      </c>
      <c r="Q23" s="81" t="n"/>
      <c r="R23" s="87">
        <f>S22</f>
        <v/>
      </c>
      <c r="S23" s="87" t="n">
        <v>467</v>
      </c>
      <c r="T23" s="85">
        <f>S23-R23</f>
        <v/>
      </c>
      <c r="U23" s="85" t="n"/>
      <c r="V23" s="85" t="n"/>
      <c r="W23" s="83" t="n"/>
      <c r="X23" s="83" t="n"/>
      <c r="Y23" s="83" t="n"/>
      <c r="Z23" s="83" t="n"/>
      <c r="AA23" s="83" t="n"/>
      <c r="AB23" s="83" t="n"/>
      <c r="AC23" s="83" t="n"/>
      <c r="AD23" s="80">
        <f>AD22+1</f>
        <v/>
      </c>
      <c r="AE23" s="83" t="n"/>
      <c r="AF23" s="87">
        <f>AG22</f>
        <v/>
      </c>
      <c r="AG23" s="87" t="n">
        <v>213</v>
      </c>
      <c r="AH23" s="85">
        <f>AG23-AF23</f>
        <v/>
      </c>
      <c r="AI23" s="85" t="n"/>
      <c r="AJ23" s="85" t="n"/>
      <c r="AK23" s="83" t="n"/>
      <c r="AL23" s="83" t="n"/>
      <c r="AM23" s="83" t="n"/>
      <c r="AN23" s="83" t="n"/>
      <c r="AO23" s="83" t="n"/>
      <c r="AP23" s="83" t="n"/>
      <c r="AQ23" s="83" t="n"/>
      <c r="AR23" s="73">
        <f>AR22+B23-J23-X23-AL23-AS23</f>
        <v/>
      </c>
    </row>
    <row r="24">
      <c r="A24" s="80">
        <f>A23+1</f>
        <v/>
      </c>
      <c r="B24" s="118" t="n">
        <v>1400</v>
      </c>
      <c r="C24" s="81" t="n"/>
      <c r="D24" s="81">
        <f>E23</f>
        <v/>
      </c>
      <c r="E24" s="81" t="n">
        <v>770</v>
      </c>
      <c r="F24" s="81">
        <f>E24-D24</f>
        <v/>
      </c>
      <c r="G24" s="81" t="n"/>
      <c r="H24" s="81" t="n"/>
      <c r="I24" s="81" t="n"/>
      <c r="J24" s="81" t="n">
        <v>462</v>
      </c>
      <c r="K24" s="81" t="n">
        <v>765</v>
      </c>
      <c r="L24" s="81">
        <f>K24-K21</f>
        <v/>
      </c>
      <c r="M24" s="117">
        <f>J24/L24</f>
        <v/>
      </c>
      <c r="N24" s="81" t="n"/>
      <c r="O24" s="81" t="n"/>
      <c r="P24" s="80">
        <f>P23+1</f>
        <v/>
      </c>
      <c r="Q24" s="81" t="n"/>
      <c r="R24" s="87">
        <f>S23</f>
        <v/>
      </c>
      <c r="S24" s="87" t="n">
        <v>480</v>
      </c>
      <c r="T24" s="85">
        <f>S24-R24</f>
        <v/>
      </c>
      <c r="U24" s="85" t="n"/>
      <c r="V24" s="85" t="n"/>
      <c r="W24" s="83" t="n"/>
      <c r="X24" s="83" t="n">
        <v>462</v>
      </c>
      <c r="Y24" s="83" t="n">
        <v>475</v>
      </c>
      <c r="Z24" s="83">
        <f>Y24-Y21</f>
        <v/>
      </c>
      <c r="AA24" s="83">
        <f>X24/Z24</f>
        <v/>
      </c>
      <c r="AB24" s="83" t="n"/>
      <c r="AC24" s="83" t="n"/>
      <c r="AD24" s="80">
        <f>AD23+1</f>
        <v/>
      </c>
      <c r="AE24" s="83" t="n"/>
      <c r="AF24" s="87">
        <f>AG23</f>
        <v/>
      </c>
      <c r="AG24" s="87" t="n">
        <v>220.2</v>
      </c>
      <c r="AH24" s="85">
        <f>AG24-AF24</f>
        <v/>
      </c>
      <c r="AI24" s="85" t="n"/>
      <c r="AJ24" s="85" t="n"/>
      <c r="AK24" s="83" t="n"/>
      <c r="AL24" s="83" t="n"/>
      <c r="AM24" s="83" t="n"/>
      <c r="AN24" s="83" t="n"/>
      <c r="AO24" s="83" t="n"/>
      <c r="AP24" s="83" t="n"/>
      <c r="AQ24" s="83" t="n"/>
      <c r="AR24" s="73">
        <f>AR23+B24-J24-X24-AL24-AS24</f>
        <v/>
      </c>
      <c r="AS24" t="n">
        <v>200</v>
      </c>
      <c r="AT24" t="inlineStr">
        <is>
          <t>Diesel filling sany machine in MLPM site</t>
        </is>
      </c>
    </row>
    <row r="25">
      <c r="A25" s="80">
        <f>A24+1</f>
        <v/>
      </c>
      <c r="B25" s="81" t="n"/>
      <c r="C25" s="81" t="n"/>
      <c r="D25" s="81">
        <f>E24</f>
        <v/>
      </c>
      <c r="E25" s="81" t="n">
        <v>781</v>
      </c>
      <c r="F25" s="81">
        <f>E25-D25</f>
        <v/>
      </c>
      <c r="G25" s="81" t="n"/>
      <c r="H25" s="81" t="n"/>
      <c r="I25" s="81" t="n"/>
      <c r="J25" s="81" t="n"/>
      <c r="K25" s="81" t="n"/>
      <c r="L25" s="81" t="n"/>
      <c r="M25" s="81" t="n"/>
      <c r="N25" s="81" t="n"/>
      <c r="O25" s="81" t="n"/>
      <c r="P25" s="80">
        <f>P24+1</f>
        <v/>
      </c>
      <c r="Q25" s="81" t="n"/>
      <c r="R25" s="87">
        <f>S24</f>
        <v/>
      </c>
      <c r="S25" s="87" t="n">
        <v>491</v>
      </c>
      <c r="T25" s="85">
        <f>S25-R25</f>
        <v/>
      </c>
      <c r="U25" s="85" t="n"/>
      <c r="V25" s="85" t="n"/>
      <c r="W25" s="83" t="n"/>
      <c r="X25" s="83" t="n"/>
      <c r="Y25" s="83" t="n"/>
      <c r="Z25" s="83" t="n"/>
      <c r="AA25" s="83" t="n"/>
      <c r="AB25" s="83" t="n"/>
      <c r="AC25" s="83" t="n"/>
      <c r="AD25" s="80">
        <f>AD24+1</f>
        <v/>
      </c>
      <c r="AE25" s="83" t="n"/>
      <c r="AF25" s="87">
        <f>AG24</f>
        <v/>
      </c>
      <c r="AG25" s="87" t="n">
        <v>226.6</v>
      </c>
      <c r="AH25" s="85">
        <f>AG25-AF25</f>
        <v/>
      </c>
      <c r="AI25" s="85" t="n"/>
      <c r="AJ25" s="85" t="n"/>
      <c r="AK25" s="83" t="n"/>
      <c r="AL25" s="83" t="n"/>
      <c r="AM25" s="83" t="n"/>
      <c r="AN25" s="83" t="n"/>
      <c r="AO25" s="83" t="n"/>
      <c r="AP25" s="83" t="n"/>
      <c r="AQ25" s="83" t="n"/>
      <c r="AR25" s="73">
        <f>AR24+B25-J25-X25-AL25-AS25</f>
        <v/>
      </c>
    </row>
    <row r="26">
      <c r="A26" s="80">
        <f>A25+1</f>
        <v/>
      </c>
      <c r="B26" s="118" t="n">
        <v>1200</v>
      </c>
      <c r="C26" s="81" t="n"/>
      <c r="D26" s="81">
        <f>E25</f>
        <v/>
      </c>
      <c r="E26" s="81" t="n">
        <v>791</v>
      </c>
      <c r="F26" s="81">
        <f>E26-D26</f>
        <v/>
      </c>
      <c r="G26" s="81" t="n"/>
      <c r="H26" s="81" t="n"/>
      <c r="I26" s="81" t="n"/>
      <c r="J26" s="81" t="n"/>
      <c r="K26" s="81" t="n"/>
      <c r="L26" s="81" t="n"/>
      <c r="M26" s="81" t="n"/>
      <c r="N26" s="81" t="n"/>
      <c r="O26" s="81" t="n"/>
      <c r="P26" s="80">
        <f>P25+1</f>
        <v/>
      </c>
      <c r="Q26" s="81" t="n"/>
      <c r="R26" s="87">
        <f>S25</f>
        <v/>
      </c>
      <c r="S26" s="87" t="n">
        <v>507</v>
      </c>
      <c r="T26" s="85">
        <f>S26-R26</f>
        <v/>
      </c>
      <c r="U26" s="85" t="n"/>
      <c r="V26" s="85" t="n"/>
      <c r="W26" s="83" t="n"/>
      <c r="X26" s="83" t="n"/>
      <c r="Y26" s="83" t="n"/>
      <c r="Z26" s="83" t="n"/>
      <c r="AA26" s="83" t="n"/>
      <c r="AB26" s="83" t="n"/>
      <c r="AC26" s="83" t="n"/>
      <c r="AD26" s="80">
        <f>AD25+1</f>
        <v/>
      </c>
      <c r="AE26" s="83" t="n"/>
      <c r="AF26" s="87">
        <f>AG25</f>
        <v/>
      </c>
      <c r="AG26" s="87" t="n">
        <v>238.5</v>
      </c>
      <c r="AH26" s="85">
        <f>AG26-AF26</f>
        <v/>
      </c>
      <c r="AI26" s="85" t="n"/>
      <c r="AJ26" s="85" t="n"/>
      <c r="AK26" s="83" t="n"/>
      <c r="AL26" s="83" t="n">
        <v>245</v>
      </c>
      <c r="AM26" s="83" t="n">
        <v>226.5</v>
      </c>
      <c r="AN26" s="83" t="inlineStr">
        <is>
          <t>N/F</t>
        </is>
      </c>
      <c r="AO26" s="103" t="n"/>
      <c r="AP26" s="83" t="n"/>
      <c r="AQ26" s="83" t="n"/>
      <c r="AR26" s="73">
        <f>AR25+B26-J26-X26-AL26-AS26</f>
        <v/>
      </c>
    </row>
    <row r="27">
      <c r="A27" s="80">
        <f>A26+1</f>
        <v/>
      </c>
      <c r="B27" s="81" t="n"/>
      <c r="C27" s="81" t="n"/>
      <c r="D27" s="81">
        <f>E26</f>
        <v/>
      </c>
      <c r="E27" s="81" t="n">
        <v>803</v>
      </c>
      <c r="F27" s="81">
        <f>E27-D27</f>
        <v/>
      </c>
      <c r="G27" s="81" t="n"/>
      <c r="H27" s="81" t="n"/>
      <c r="I27" s="81" t="n"/>
      <c r="J27" s="81" t="n"/>
      <c r="K27" s="81" t="n"/>
      <c r="L27" s="81" t="n"/>
      <c r="M27" s="81" t="n"/>
      <c r="N27" s="81" t="n"/>
      <c r="O27" s="81" t="n"/>
      <c r="P27" s="80">
        <f>P26+1</f>
        <v/>
      </c>
      <c r="Q27" s="81" t="n"/>
      <c r="R27" s="87">
        <f>S26</f>
        <v/>
      </c>
      <c r="S27" s="87" t="n">
        <v>520</v>
      </c>
      <c r="T27" s="85">
        <f>S27-R27</f>
        <v/>
      </c>
      <c r="U27" s="85" t="n"/>
      <c r="V27" s="85" t="n"/>
      <c r="W27" s="83" t="n"/>
      <c r="X27" s="83" t="n">
        <v>420</v>
      </c>
      <c r="Y27" s="83" t="n">
        <v>514</v>
      </c>
      <c r="Z27" s="83">
        <f>Y27-Y24</f>
        <v/>
      </c>
      <c r="AA27" s="103">
        <f>X27/Z27</f>
        <v/>
      </c>
      <c r="AB27" s="83" t="n"/>
      <c r="AC27" s="83" t="n"/>
      <c r="AD27" s="80">
        <f>AD26+1</f>
        <v/>
      </c>
      <c r="AE27" s="83" t="n"/>
      <c r="AF27" s="87">
        <f>AG26</f>
        <v/>
      </c>
      <c r="AG27" s="87" t="n">
        <v>249.5</v>
      </c>
      <c r="AH27" s="85">
        <f>AG27-AF27</f>
        <v/>
      </c>
      <c r="AI27" s="85" t="n"/>
      <c r="AJ27" s="85" t="n"/>
      <c r="AK27" s="83" t="n"/>
      <c r="AL27" s="83" t="n"/>
      <c r="AM27" s="83" t="n"/>
      <c r="AN27" s="83" t="n"/>
      <c r="AO27" s="83" t="n"/>
      <c r="AP27" s="83" t="n"/>
      <c r="AQ27" s="83" t="n"/>
      <c r="AR27" s="73">
        <f>AR26+B27-J27-X27-AL27-AS27</f>
        <v/>
      </c>
      <c r="AS27">
        <f>250+10+10</f>
        <v/>
      </c>
      <c r="AT27" t="inlineStr">
        <is>
          <t>Diesel filling sany machine in MLPM site and 2 trailar 5200 , 1376</t>
        </is>
      </c>
    </row>
    <row r="28">
      <c r="A28" s="80">
        <f>A27+1</f>
        <v/>
      </c>
      <c r="B28" s="81" t="n"/>
      <c r="C28" s="81" t="n"/>
      <c r="D28" s="81">
        <f>E27</f>
        <v/>
      </c>
      <c r="E28" s="81" t="n">
        <v>815</v>
      </c>
      <c r="F28" s="81">
        <f>E28-D28</f>
        <v/>
      </c>
      <c r="G28" s="81" t="n"/>
      <c r="H28" s="81" t="n"/>
      <c r="I28" s="81" t="n"/>
      <c r="J28" s="81" t="n">
        <v>435</v>
      </c>
      <c r="K28" s="81" t="n">
        <v>805</v>
      </c>
      <c r="L28" s="81">
        <f>K28-K24</f>
        <v/>
      </c>
      <c r="M28" s="81">
        <f>J28/L28</f>
        <v/>
      </c>
      <c r="N28" s="81" t="n"/>
      <c r="O28" s="81" t="n"/>
      <c r="P28" s="80">
        <f>P27+1</f>
        <v/>
      </c>
      <c r="Q28" s="81" t="n"/>
      <c r="R28" s="87">
        <f>S27</f>
        <v/>
      </c>
      <c r="S28" s="87" t="n">
        <v>525</v>
      </c>
      <c r="T28" s="85">
        <f>S28-R28</f>
        <v/>
      </c>
      <c r="U28" s="85" t="n"/>
      <c r="V28" s="85" t="n"/>
      <c r="W28" s="83" t="n"/>
      <c r="X28" s="83" t="n"/>
      <c r="Y28" s="83" t="n"/>
      <c r="Z28" s="83" t="n"/>
      <c r="AA28" s="83" t="n"/>
      <c r="AB28" s="83" t="n"/>
      <c r="AC28" s="83" t="n"/>
      <c r="AD28" s="80">
        <f>AD27+1</f>
        <v/>
      </c>
      <c r="AE28" s="83" t="n"/>
      <c r="AF28" s="87">
        <f>AG27</f>
        <v/>
      </c>
      <c r="AG28" s="115" t="n">
        <v>256.3</v>
      </c>
      <c r="AH28" s="85">
        <f>AG28-AF28</f>
        <v/>
      </c>
      <c r="AI28" s="85" t="n"/>
      <c r="AJ28" s="85" t="n"/>
      <c r="AK28" s="83" t="n"/>
      <c r="AL28" s="83" t="n">
        <v>85</v>
      </c>
      <c r="AM28" s="83" t="n"/>
      <c r="AN28" s="83" t="n"/>
      <c r="AO28" s="103" t="n"/>
      <c r="AP28" s="83" t="n"/>
      <c r="AQ28" s="83" t="n"/>
      <c r="AR28" s="73">
        <f>AR27+B28-J28-X28-AL28-AS28</f>
        <v/>
      </c>
      <c r="AS28" t="n">
        <v>50</v>
      </c>
      <c r="AT28" t="inlineStr">
        <is>
          <t>Diesel filling sany machine in MLPM site</t>
        </is>
      </c>
    </row>
    <row r="29">
      <c r="A29" s="80">
        <f>A28+1</f>
        <v/>
      </c>
      <c r="B29" s="118" t="n">
        <v>1500</v>
      </c>
      <c r="C29" s="81" t="n"/>
      <c r="D29" s="81">
        <f>E28</f>
        <v/>
      </c>
      <c r="E29" s="81" t="n">
        <v>824</v>
      </c>
      <c r="F29" s="81">
        <f>E29-D29</f>
        <v/>
      </c>
      <c r="G29" s="81" t="n"/>
      <c r="H29" s="81" t="n"/>
      <c r="I29" s="81" t="n"/>
      <c r="J29" s="81" t="n"/>
      <c r="K29" s="81" t="n"/>
      <c r="L29" s="81" t="n"/>
      <c r="M29" s="81" t="n"/>
      <c r="N29" s="81" t="n"/>
      <c r="O29" s="81" t="n"/>
      <c r="P29" s="80">
        <f>P28+1</f>
        <v/>
      </c>
      <c r="Q29" s="81" t="n"/>
      <c r="R29" s="87">
        <f>S28</f>
        <v/>
      </c>
      <c r="S29" s="87" t="n">
        <v>535</v>
      </c>
      <c r="T29" s="85">
        <f>S29-R29</f>
        <v/>
      </c>
      <c r="U29" s="85" t="n"/>
      <c r="V29" s="85" t="n"/>
      <c r="W29" s="83" t="n"/>
      <c r="X29" s="83" t="n"/>
      <c r="Y29" s="83" t="n"/>
      <c r="Z29" s="83" t="n"/>
      <c r="AA29" s="83" t="n"/>
      <c r="AB29" s="83" t="n"/>
      <c r="AC29" s="83" t="n"/>
      <c r="AD29" s="80">
        <f>AD28+1</f>
        <v/>
      </c>
      <c r="AE29" s="83" t="n"/>
      <c r="AF29" s="87">
        <f>AG28</f>
        <v/>
      </c>
      <c r="AG29" s="115" t="n">
        <v>264.3</v>
      </c>
      <c r="AH29" s="85">
        <f>AG29-AF29</f>
        <v/>
      </c>
      <c r="AI29" s="85" t="n"/>
      <c r="AJ29" s="85" t="n"/>
      <c r="AK29" s="83" t="n"/>
      <c r="AL29" s="83" t="n">
        <v>340</v>
      </c>
      <c r="AM29" s="83" t="n">
        <v>258.2</v>
      </c>
      <c r="AN29" s="83">
        <f>AM29-AM26</f>
        <v/>
      </c>
      <c r="AO29" s="103">
        <f>(AL29+AL28)/AN29</f>
        <v/>
      </c>
      <c r="AP29" s="83" t="n"/>
      <c r="AQ29" s="83" t="n"/>
      <c r="AR29" s="73">
        <f>AR28+B29-J29-X29-AL29-AS29</f>
        <v/>
      </c>
      <c r="AS29" t="n">
        <v>300</v>
      </c>
      <c r="AT29" t="inlineStr">
        <is>
          <t>Diesel filling sany machine in MLPM site</t>
        </is>
      </c>
    </row>
    <row r="30">
      <c r="A30" s="80">
        <f>A29+1</f>
        <v/>
      </c>
      <c r="B30" s="81" t="n"/>
      <c r="C30" s="81" t="n"/>
      <c r="D30" s="81">
        <f>E29</f>
        <v/>
      </c>
      <c r="E30" s="81" t="n">
        <v>835</v>
      </c>
      <c r="F30" s="81">
        <f>E30-D30</f>
        <v/>
      </c>
      <c r="G30" s="81" t="n"/>
      <c r="H30" s="81" t="n"/>
      <c r="I30" s="81" t="n"/>
      <c r="J30" s="81" t="n"/>
      <c r="K30" s="81" t="n"/>
      <c r="L30" s="81" t="n"/>
      <c r="M30" s="81" t="n"/>
      <c r="N30" s="81" t="n"/>
      <c r="O30" s="81" t="n"/>
      <c r="P30" s="80">
        <f>P29+1</f>
        <v/>
      </c>
      <c r="Q30" s="81" t="n"/>
      <c r="R30" s="87">
        <f>S29</f>
        <v/>
      </c>
      <c r="S30" s="87" t="n">
        <v>548</v>
      </c>
      <c r="T30" s="85">
        <f>S30-R30</f>
        <v/>
      </c>
      <c r="U30" s="85" t="n"/>
      <c r="V30" s="85" t="n"/>
      <c r="W30" s="83" t="n"/>
      <c r="X30" s="83" t="n"/>
      <c r="Y30" s="83" t="n"/>
      <c r="Z30" s="83" t="n"/>
      <c r="AA30" s="83" t="n"/>
      <c r="AB30" s="83" t="n"/>
      <c r="AC30" s="83" t="n"/>
      <c r="AD30" s="80">
        <f>AD29+1</f>
        <v/>
      </c>
      <c r="AE30" s="83" t="n"/>
      <c r="AF30" s="87">
        <f>AG29</f>
        <v/>
      </c>
      <c r="AG30" s="115" t="n">
        <v>275.1</v>
      </c>
      <c r="AH30" s="85">
        <f>AG30-AF30</f>
        <v/>
      </c>
      <c r="AI30" s="85" t="n"/>
      <c r="AJ30" s="85" t="n"/>
      <c r="AK30" s="83" t="n"/>
      <c r="AL30" s="83" t="n"/>
      <c r="AM30" s="83" t="n"/>
      <c r="AN30" s="83" t="n"/>
      <c r="AO30" s="83" t="n"/>
      <c r="AP30" s="83" t="n"/>
      <c r="AQ30" s="83" t="n"/>
      <c r="AR30" s="73">
        <f>AR29+B30-J30-X30-AL30-AS30</f>
        <v/>
      </c>
    </row>
    <row r="31">
      <c r="A31" s="80">
        <f>A30+1</f>
        <v/>
      </c>
      <c r="B31" s="118" t="n">
        <v>1600</v>
      </c>
      <c r="C31" s="81" t="n"/>
      <c r="D31" s="81">
        <f>E30</f>
        <v/>
      </c>
      <c r="E31" s="81" t="n">
        <v>844</v>
      </c>
      <c r="F31" s="81">
        <f>E31-D31</f>
        <v/>
      </c>
      <c r="G31" s="81" t="n"/>
      <c r="H31" s="81" t="n"/>
      <c r="I31" s="81" t="n"/>
      <c r="J31" s="81" t="n">
        <v>365</v>
      </c>
      <c r="K31" s="81" t="n">
        <v>836</v>
      </c>
      <c r="L31" s="81" t="inlineStr">
        <is>
          <t>N/F</t>
        </is>
      </c>
      <c r="M31" s="81" t="n"/>
      <c r="N31" s="81" t="n"/>
      <c r="O31" s="81" t="n"/>
      <c r="P31" s="80">
        <f>P30+1</f>
        <v/>
      </c>
      <c r="Q31" s="81" t="n"/>
      <c r="R31" s="87">
        <f>S30</f>
        <v/>
      </c>
      <c r="S31" s="87" t="n">
        <v>555</v>
      </c>
      <c r="T31" s="85">
        <f>S31-R31</f>
        <v/>
      </c>
      <c r="U31" s="85" t="n"/>
      <c r="V31" s="85" t="n"/>
      <c r="W31" s="83" t="n"/>
      <c r="X31" s="83" t="n">
        <v>495</v>
      </c>
      <c r="Y31" s="83" t="n">
        <v>549</v>
      </c>
      <c r="Z31" s="83">
        <f>Y31-Y27</f>
        <v/>
      </c>
      <c r="AA31" s="103">
        <f>X31/Z31</f>
        <v/>
      </c>
      <c r="AB31" s="83" t="n"/>
      <c r="AC31" s="83" t="n"/>
      <c r="AD31" s="80">
        <f>AD30+1</f>
        <v/>
      </c>
      <c r="AE31" s="83" t="n"/>
      <c r="AF31" s="87">
        <f>AG30</f>
        <v/>
      </c>
      <c r="AG31" s="115" t="n">
        <v>280</v>
      </c>
      <c r="AH31" s="85">
        <f>AG31-AF31</f>
        <v/>
      </c>
      <c r="AI31" s="85" t="n"/>
      <c r="AJ31" s="85" t="n"/>
      <c r="AK31" s="83" t="n"/>
      <c r="AL31" s="83" t="n"/>
      <c r="AM31" s="83" t="n"/>
      <c r="AN31" s="83" t="n"/>
      <c r="AO31" s="83" t="n"/>
      <c r="AP31" s="83" t="n"/>
      <c r="AQ31" s="83" t="n"/>
      <c r="AR31" s="73">
        <f>AR30+B31-J31-X31-AL31-AS31</f>
        <v/>
      </c>
      <c r="AS31" t="n">
        <v>400</v>
      </c>
      <c r="AT31" t="inlineStr">
        <is>
          <t>Diesel filling sany machine in MLPM site</t>
        </is>
      </c>
    </row>
    <row r="32">
      <c r="A32" s="80">
        <f>A31+1</f>
        <v/>
      </c>
      <c r="B32" s="81" t="n"/>
      <c r="C32" s="81" t="n"/>
      <c r="D32" s="81">
        <f>E31</f>
        <v/>
      </c>
      <c r="E32" s="81" t="n">
        <v>860</v>
      </c>
      <c r="F32" s="81">
        <f>E32-D32</f>
        <v/>
      </c>
      <c r="G32" s="81" t="n"/>
      <c r="H32" s="81" t="n"/>
      <c r="I32" s="81" t="n"/>
      <c r="J32" s="81" t="n"/>
      <c r="K32" s="81" t="n"/>
      <c r="L32" s="81" t="n"/>
      <c r="M32" s="81" t="n"/>
      <c r="N32" s="81" t="n"/>
      <c r="O32" s="81" t="n"/>
      <c r="P32" s="80">
        <f>P31+1</f>
        <v/>
      </c>
      <c r="Q32" s="81" t="n"/>
      <c r="R32" s="87">
        <f>S31</f>
        <v/>
      </c>
      <c r="S32" s="87" t="n">
        <v>564</v>
      </c>
      <c r="T32" s="85">
        <f>S32-R32</f>
        <v/>
      </c>
      <c r="U32" s="85" t="n"/>
      <c r="V32" s="85" t="n"/>
      <c r="W32" s="83" t="n"/>
      <c r="X32" s="83" t="n"/>
      <c r="Y32" s="83" t="n"/>
      <c r="Z32" s="83" t="n"/>
      <c r="AA32" s="83" t="n"/>
      <c r="AB32" s="83" t="n"/>
      <c r="AC32" s="83" t="n"/>
      <c r="AD32" s="80">
        <f>AD31+1</f>
        <v/>
      </c>
      <c r="AE32" s="83" t="n"/>
      <c r="AF32" s="87">
        <f>AG31</f>
        <v/>
      </c>
      <c r="AG32" s="115" t="n">
        <v>288.7</v>
      </c>
      <c r="AH32" s="85">
        <f>AG32-AF32</f>
        <v/>
      </c>
      <c r="AI32" s="85" t="n"/>
      <c r="AJ32" s="85" t="n"/>
      <c r="AK32" s="83" t="n"/>
      <c r="AL32" s="83" t="n"/>
      <c r="AM32" s="83" t="n"/>
      <c r="AN32" s="83" t="n"/>
      <c r="AO32" s="83" t="n"/>
      <c r="AP32" s="83" t="n"/>
      <c r="AQ32" s="83" t="n"/>
      <c r="AR32" s="73">
        <f>AR31+B32-J32-X32-AL32-AS32</f>
        <v/>
      </c>
    </row>
    <row r="33">
      <c r="A33" s="80">
        <f>A32+1</f>
        <v/>
      </c>
      <c r="B33" s="81" t="n"/>
      <c r="C33" s="81" t="n"/>
      <c r="D33" s="81">
        <f>E32</f>
        <v/>
      </c>
      <c r="E33" s="81" t="n">
        <v>873</v>
      </c>
      <c r="F33" s="81">
        <f>E33-D33</f>
        <v/>
      </c>
      <c r="G33" s="81" t="n"/>
      <c r="H33" s="81" t="n"/>
      <c r="I33" s="81" t="n"/>
      <c r="J33" s="81" t="n"/>
      <c r="K33" s="81" t="n"/>
      <c r="L33" s="81" t="n"/>
      <c r="M33" s="81" t="n"/>
      <c r="N33" s="81" t="n"/>
      <c r="O33" s="81" t="n"/>
      <c r="P33" s="80">
        <f>P32+1</f>
        <v/>
      </c>
      <c r="Q33" s="81" t="n"/>
      <c r="R33" s="87">
        <f>S32</f>
        <v/>
      </c>
      <c r="S33" s="87" t="n">
        <v>574</v>
      </c>
      <c r="T33" s="85">
        <f>S33-R33</f>
        <v/>
      </c>
      <c r="U33" s="85" t="n"/>
      <c r="V33" s="85" t="n"/>
      <c r="W33" s="83" t="n"/>
      <c r="X33" s="83" t="n"/>
      <c r="Y33" s="83" t="n"/>
      <c r="Z33" s="83" t="n"/>
      <c r="AA33" s="83" t="n"/>
      <c r="AB33" s="83" t="n"/>
      <c r="AC33" s="83" t="n"/>
      <c r="AD33" s="80">
        <f>AD32+1</f>
        <v/>
      </c>
      <c r="AE33" s="83" t="n"/>
      <c r="AF33" s="87">
        <f>AG32</f>
        <v/>
      </c>
      <c r="AG33" s="115" t="n">
        <v>298</v>
      </c>
      <c r="AH33" s="85">
        <f>AG33-AF33</f>
        <v/>
      </c>
      <c r="AI33" s="85" t="n"/>
      <c r="AJ33" s="85" t="n"/>
      <c r="AK33" s="83" t="n"/>
      <c r="AL33" s="83" t="n"/>
      <c r="AM33" s="83" t="n"/>
      <c r="AN33" s="83" t="n"/>
      <c r="AO33" s="83" t="n"/>
      <c r="AP33" s="83" t="n"/>
      <c r="AQ33" s="83" t="n"/>
      <c r="AR33" s="73">
        <f>AR32+B33-J33-X33-AL33-AS33</f>
        <v/>
      </c>
    </row>
    <row r="34">
      <c r="A34" s="80">
        <f>A33+1</f>
        <v/>
      </c>
      <c r="B34" s="81" t="n"/>
      <c r="C34" s="81" t="n"/>
      <c r="D34" s="81">
        <f>E33</f>
        <v/>
      </c>
      <c r="E34" s="81" t="n">
        <v>888</v>
      </c>
      <c r="F34" s="81">
        <f>E34-D34</f>
        <v/>
      </c>
      <c r="G34" s="81" t="n"/>
      <c r="H34" s="81" t="n"/>
      <c r="I34" s="81" t="n"/>
      <c r="J34" s="81" t="n">
        <v>400</v>
      </c>
      <c r="K34" s="81" t="n">
        <v>873</v>
      </c>
      <c r="L34" s="81">
        <f>K34-K28</f>
        <v/>
      </c>
      <c r="M34" s="81">
        <f>(J34+J28)/L34</f>
        <v/>
      </c>
      <c r="N34" s="81" t="n"/>
      <c r="O34" s="81" t="n"/>
      <c r="P34" s="80">
        <f>P33+1</f>
        <v/>
      </c>
      <c r="Q34" s="81" t="n"/>
      <c r="R34" s="87">
        <f>S33</f>
        <v/>
      </c>
      <c r="S34" s="87" t="n">
        <v>584</v>
      </c>
      <c r="T34" s="85">
        <f>S34-R34</f>
        <v/>
      </c>
      <c r="U34" s="85" t="n"/>
      <c r="V34" s="85" t="n"/>
      <c r="W34" s="83" t="n"/>
      <c r="X34" s="83" t="n"/>
      <c r="Y34" s="83" t="n"/>
      <c r="Z34" s="83" t="n"/>
      <c r="AA34" s="83" t="n"/>
      <c r="AB34" s="83" t="n"/>
      <c r="AC34" s="83" t="n"/>
      <c r="AD34" s="80">
        <f>AD33+1</f>
        <v/>
      </c>
      <c r="AE34" s="83" t="n"/>
      <c r="AF34" s="87">
        <f>AG33</f>
        <v/>
      </c>
      <c r="AG34" s="115" t="n">
        <v>304.1</v>
      </c>
      <c r="AH34" s="85">
        <f>AG34-AF34</f>
        <v/>
      </c>
      <c r="AI34" s="85" t="n"/>
      <c r="AJ34" s="85" t="n"/>
      <c r="AK34" s="83" t="n"/>
      <c r="AL34" s="83" t="n">
        <v>200</v>
      </c>
      <c r="AM34" s="83" t="n">
        <v>298.1</v>
      </c>
      <c r="AN34" s="83" t="inlineStr">
        <is>
          <t>N/F</t>
        </is>
      </c>
      <c r="AO34" s="83" t="n"/>
      <c r="AP34" s="83" t="n"/>
      <c r="AQ34" s="83" t="n"/>
      <c r="AR34" s="73">
        <f>AR33+B34-J34-X34-AL34-AS34</f>
        <v/>
      </c>
    </row>
    <row r="35">
      <c r="A35" s="80">
        <f>A34+1</f>
        <v/>
      </c>
      <c r="B35" s="118" t="n">
        <v>1600</v>
      </c>
      <c r="C35" s="81" t="n"/>
      <c r="D35" s="81">
        <f>E34</f>
        <v/>
      </c>
      <c r="E35" s="81" t="n">
        <v>894</v>
      </c>
      <c r="F35" s="81">
        <f>E35-D35</f>
        <v/>
      </c>
      <c r="G35" s="81" t="n"/>
      <c r="H35" s="81" t="n"/>
      <c r="I35" s="81" t="n"/>
      <c r="J35" s="81" t="n"/>
      <c r="K35" s="81" t="n"/>
      <c r="L35" s="81" t="n"/>
      <c r="M35" s="117" t="n"/>
      <c r="N35" s="81" t="n"/>
      <c r="O35" s="81" t="n"/>
      <c r="P35" s="80">
        <f>P34+1</f>
        <v/>
      </c>
      <c r="Q35" s="81" t="n"/>
      <c r="R35" s="87">
        <f>S34</f>
        <v/>
      </c>
      <c r="S35" s="87" t="n">
        <v>593</v>
      </c>
      <c r="T35" s="85">
        <f>S35-R35</f>
        <v/>
      </c>
      <c r="U35" s="85" t="n"/>
      <c r="V35" s="85" t="n"/>
      <c r="W35" s="83" t="n"/>
      <c r="X35" s="83" t="n">
        <v>425</v>
      </c>
      <c r="Y35" s="83" t="n">
        <v>585</v>
      </c>
      <c r="Z35" s="83">
        <f>Y35-Y31</f>
        <v/>
      </c>
      <c r="AA35" s="83">
        <f>X35/Z35</f>
        <v/>
      </c>
      <c r="AB35" s="83" t="n"/>
      <c r="AC35" s="83" t="n"/>
      <c r="AD35" s="80">
        <f>AD34+1</f>
        <v/>
      </c>
      <c r="AE35" s="83" t="n"/>
      <c r="AF35" s="87">
        <f>AG34</f>
        <v/>
      </c>
      <c r="AG35" s="115" t="n">
        <v>307.9</v>
      </c>
      <c r="AH35" s="85">
        <f>AG35-AF35</f>
        <v/>
      </c>
      <c r="AI35" s="85" t="n"/>
      <c r="AJ35" s="85" t="n"/>
      <c r="AK35" s="83" t="n"/>
      <c r="AL35" s="83" t="n"/>
      <c r="AM35" s="83" t="n"/>
      <c r="AN35" s="83" t="n"/>
      <c r="AO35" s="83" t="n"/>
      <c r="AP35" s="83" t="n"/>
      <c r="AQ35" s="83" t="n"/>
      <c r="AR35" s="73">
        <f>AR34+B35-J35-X35-AL35-AS35</f>
        <v/>
      </c>
    </row>
    <row r="36">
      <c r="A36" s="80">
        <f>A35+1</f>
        <v/>
      </c>
      <c r="B36" s="81" t="n"/>
      <c r="C36" s="81" t="n"/>
      <c r="D36" s="81">
        <f>E35</f>
        <v/>
      </c>
      <c r="E36" s="81" t="n">
        <v>901</v>
      </c>
      <c r="F36" s="81">
        <f>E36-D36</f>
        <v/>
      </c>
      <c r="G36" s="81" t="n"/>
      <c r="H36" s="81" t="n"/>
      <c r="I36" s="81" t="n"/>
      <c r="J36" s="81" t="n"/>
      <c r="K36" s="81" t="n"/>
      <c r="L36" s="81" t="n"/>
      <c r="M36" s="81" t="n"/>
      <c r="N36" s="81" t="n"/>
      <c r="O36" s="81" t="n"/>
      <c r="P36" s="80">
        <f>P35+1</f>
        <v/>
      </c>
      <c r="Q36" s="81" t="n"/>
      <c r="R36" s="87">
        <f>S35</f>
        <v/>
      </c>
      <c r="S36" s="87" t="n">
        <v>601</v>
      </c>
      <c r="T36" s="85">
        <f>S36-R36</f>
        <v/>
      </c>
      <c r="U36" s="85" t="n"/>
      <c r="V36" s="85" t="n"/>
      <c r="W36" s="83" t="n"/>
      <c r="X36" s="83" t="n"/>
      <c r="Y36" s="83" t="n"/>
      <c r="Z36" s="83" t="n"/>
      <c r="AA36" s="83" t="n"/>
      <c r="AB36" s="83" t="n"/>
      <c r="AC36" s="83" t="n"/>
      <c r="AD36" s="80">
        <f>AD35+1</f>
        <v/>
      </c>
      <c r="AE36" s="83" t="n"/>
      <c r="AF36" s="87">
        <f>AG35</f>
        <v/>
      </c>
      <c r="AG36" s="115" t="n">
        <v>310.1</v>
      </c>
      <c r="AH36" s="85">
        <f>AG36-AF36</f>
        <v/>
      </c>
      <c r="AI36" s="85" t="n"/>
      <c r="AJ36" s="85" t="n"/>
      <c r="AK36" s="83" t="n"/>
      <c r="AL36" s="83" t="n"/>
      <c r="AM36" s="83" t="n"/>
      <c r="AN36" s="83" t="n"/>
      <c r="AO36" s="83" t="n"/>
      <c r="AP36" s="83" t="n"/>
      <c r="AQ36" s="83" t="n"/>
      <c r="AR36" s="73">
        <f>AR35+B36-J36-X36-AL36-AS36</f>
        <v/>
      </c>
      <c r="AS36" t="n">
        <v>400</v>
      </c>
      <c r="AT36" t="inlineStr">
        <is>
          <t>Diesel filling sany machine in MLPM site</t>
        </is>
      </c>
    </row>
    <row r="37">
      <c r="A37" s="89" t="n"/>
      <c r="B37" s="90">
        <f>SUM(B6:B36)</f>
        <v/>
      </c>
      <c r="C37" s="89" t="inlineStr">
        <is>
          <t xml:space="preserve">Total </t>
        </is>
      </c>
      <c r="D37" s="89" t="n"/>
      <c r="E37" s="89" t="n"/>
      <c r="F37" s="90">
        <f>SUM(F6:F36)</f>
        <v/>
      </c>
      <c r="G37" s="90" t="n"/>
      <c r="H37" s="90" t="n"/>
      <c r="I37" s="90">
        <f>SUM(I6:I36)</f>
        <v/>
      </c>
      <c r="J37" s="90">
        <f>SUM(J6:J36)</f>
        <v/>
      </c>
      <c r="K37" s="89" t="n"/>
      <c r="L37" s="90">
        <f>SUM(L6:L36)</f>
        <v/>
      </c>
      <c r="M37" s="89">
        <f>J37/L37</f>
        <v/>
      </c>
      <c r="N37" s="89" t="n"/>
      <c r="O37" s="91" t="n"/>
      <c r="P37" s="92" t="n"/>
      <c r="Q37" s="92" t="inlineStr">
        <is>
          <t xml:space="preserve">Total </t>
        </is>
      </c>
      <c r="R37" s="92" t="n"/>
      <c r="S37" s="92" t="n"/>
      <c r="T37" s="90">
        <f>SUM(T6:T36)</f>
        <v/>
      </c>
      <c r="U37" s="90" t="n"/>
      <c r="V37" s="90" t="n"/>
      <c r="W37" s="90">
        <f>SUM(W6:W36)</f>
        <v/>
      </c>
      <c r="X37" s="90">
        <f>SUM(X6:X36)</f>
        <v/>
      </c>
      <c r="Y37" s="89" t="n"/>
      <c r="Z37" s="90">
        <f>SUM(Z6:Z36)</f>
        <v/>
      </c>
      <c r="AA37" s="89">
        <f>X37/Z37</f>
        <v/>
      </c>
      <c r="AB37" s="93" t="n"/>
      <c r="AC37" s="94" t="n"/>
      <c r="AD37" s="92" t="n"/>
      <c r="AE37" s="92" t="inlineStr">
        <is>
          <t xml:space="preserve">Total </t>
        </is>
      </c>
      <c r="AF37" s="92" t="n"/>
      <c r="AG37" s="92" t="n"/>
      <c r="AH37" s="90">
        <f>SUM(AH6:AH36)</f>
        <v/>
      </c>
      <c r="AI37" s="114" t="n"/>
      <c r="AJ37" s="114" t="n"/>
      <c r="AK37" s="90">
        <f>SUM(AK6:AK36)</f>
        <v/>
      </c>
      <c r="AL37" s="90">
        <f>SUM(AL6:AL36)</f>
        <v/>
      </c>
      <c r="AM37" s="89" t="n"/>
      <c r="AN37" s="90">
        <f>SUM(AN6:AN36)</f>
        <v/>
      </c>
      <c r="AO37" s="89">
        <f>AL37/AN37</f>
        <v/>
      </c>
      <c r="AP37" s="83" t="n"/>
      <c r="AQ37" s="94" t="n"/>
      <c r="AR37" s="73">
        <f>AR36</f>
        <v/>
      </c>
      <c r="AU37" t="n">
        <v>1285</v>
      </c>
      <c r="AV37">
        <f>AR37-AU37</f>
        <v/>
      </c>
    </row>
    <row r="38">
      <c r="AR38" s="41" t="n">
        <v>1300</v>
      </c>
      <c r="AS38" t="inlineStr">
        <is>
          <t>DIESEL STOCK</t>
        </is>
      </c>
    </row>
    <row r="39">
      <c r="D39" t="inlineStr">
        <is>
          <t>Raise Tax invoice with full hiring charges</t>
        </is>
      </c>
      <c r="R39" t="inlineStr">
        <is>
          <t>Raise Tax invoice with full hiring charges</t>
        </is>
      </c>
      <c r="AE39" t="inlineStr">
        <is>
          <t>Raise Tax invoice with full hiring charges</t>
        </is>
      </c>
      <c r="AR39" s="41">
        <f>AR37-AR38</f>
        <v/>
      </c>
    </row>
    <row r="40">
      <c r="D40" t="inlineStr">
        <is>
          <t>Raise Diesel reimbursment as per below calculation</t>
        </is>
      </c>
      <c r="R40" t="inlineStr">
        <is>
          <t>Raise Diesel reimbursment as per below calculation</t>
        </is>
      </c>
      <c r="AE40" t="inlineStr">
        <is>
          <t>Raise Diesel reimbursment as per below calculation</t>
        </is>
      </c>
      <c r="AQ40" t="n">
        <v>1200</v>
      </c>
    </row>
    <row r="41">
      <c r="D41" t="inlineStr">
        <is>
          <t>Monthly Running</t>
        </is>
      </c>
      <c r="F41">
        <f>901-559</f>
        <v/>
      </c>
      <c r="R41" t="inlineStr">
        <is>
          <t>Monthly Running</t>
        </is>
      </c>
      <c r="T41">
        <f>601-301</f>
        <v/>
      </c>
      <c r="AE41" t="inlineStr">
        <is>
          <t>Monthly Running</t>
        </is>
      </c>
      <c r="AG41">
        <f>310-95</f>
        <v/>
      </c>
      <c r="AQ41" t="n">
        <v>1014</v>
      </c>
    </row>
    <row r="42">
      <c r="D42" t="inlineStr">
        <is>
          <t>Diesel Cap</t>
        </is>
      </c>
      <c r="F42" t="n">
        <v>19</v>
      </c>
      <c r="R42" t="inlineStr">
        <is>
          <t>Diesel Cap</t>
        </is>
      </c>
      <c r="T42" t="n">
        <v>19</v>
      </c>
      <c r="AE42" t="inlineStr">
        <is>
          <t>Diesel Cap</t>
        </is>
      </c>
      <c r="AG42" t="n">
        <v>17</v>
      </c>
      <c r="AQ42">
        <f>AQ40-AQ41</f>
        <v/>
      </c>
    </row>
    <row r="43">
      <c r="D43" t="inlineStr">
        <is>
          <t>Diesel Qty</t>
        </is>
      </c>
      <c r="F43">
        <f>F41*F42</f>
        <v/>
      </c>
      <c r="R43" t="inlineStr">
        <is>
          <t>Diesel Qty</t>
        </is>
      </c>
      <c r="T43">
        <f>T41*T42</f>
        <v/>
      </c>
      <c r="AE43" t="inlineStr">
        <is>
          <t>Diesel Qty</t>
        </is>
      </c>
      <c r="AG43">
        <f>AG41*AG42</f>
        <v/>
      </c>
    </row>
    <row r="44">
      <c r="D44" t="inlineStr">
        <is>
          <t>Diesel Rate</t>
        </is>
      </c>
      <c r="F44" t="n">
        <v>100.2</v>
      </c>
      <c r="R44" t="inlineStr">
        <is>
          <t>Diesel Rate</t>
        </is>
      </c>
      <c r="T44" t="n">
        <v>100.2</v>
      </c>
      <c r="AE44" t="inlineStr">
        <is>
          <t>Diesel Rate</t>
        </is>
      </c>
      <c r="AG44" t="n">
        <v>100.2</v>
      </c>
    </row>
    <row r="45">
      <c r="D45" t="inlineStr">
        <is>
          <t>Diesel Reimbursment</t>
        </is>
      </c>
      <c r="F45" s="108">
        <f>F44*F43</f>
        <v/>
      </c>
      <c r="R45" t="inlineStr">
        <is>
          <t>Diesel Reimbursment</t>
        </is>
      </c>
      <c r="T45" s="108">
        <f>T44*T43</f>
        <v/>
      </c>
      <c r="AE45" t="inlineStr">
        <is>
          <t>Diesel Reimbursment</t>
        </is>
      </c>
      <c r="AG45" s="108">
        <f>AG44*AG43</f>
        <v/>
      </c>
    </row>
    <row r="47">
      <c r="AE47" t="inlineStr">
        <is>
          <t>Poonam Goswami</t>
        </is>
      </c>
    </row>
    <row r="48">
      <c r="AE48" s="119" t="n">
        <v>46279</v>
      </c>
    </row>
  </sheetData>
  <mergeCells count="12">
    <mergeCell ref="AD3:AQ3"/>
    <mergeCell ref="AL2:AQ2"/>
    <mergeCell ref="P3:AC3"/>
    <mergeCell ref="K2:O2"/>
    <mergeCell ref="AD2:AK2"/>
    <mergeCell ref="A1:O1"/>
    <mergeCell ref="AD1:AQ1"/>
    <mergeCell ref="P1:AC1"/>
    <mergeCell ref="A2:J2"/>
    <mergeCell ref="P2:W2"/>
    <mergeCell ref="A3:O3"/>
    <mergeCell ref="X2:AC2"/>
  </mergeCells>
  <pageMargins left="0.7" right="0.7" top="0.75" bottom="0.75" header="0.3" footer="0.3"/>
</worksheet>
</file>

<file path=xl/worksheets/sheet9.xml><?xml version="1.0" encoding="utf-8"?>
<worksheet xmlns="http://schemas.openxmlformats.org/spreadsheetml/2006/main">
  <sheetPr codeName="Sheet9">
    <outlinePr summaryBelow="1" summaryRight="1"/>
    <pageSetUpPr/>
  </sheetPr>
  <dimension ref="A1:AQ50"/>
  <sheetViews>
    <sheetView tabSelected="1" zoomScaleNormal="100" workbookViewId="0">
      <pane xSplit="3" ySplit="5" topLeftCell="D7" activePane="bottomRight" state="frozen"/>
      <selection pane="topRight" activeCell="D1" sqref="D1"/>
      <selection pane="bottomLeft" activeCell="A6" sqref="A6"/>
      <selection pane="bottomRight" activeCell="A23" sqref="A23"/>
    </sheetView>
  </sheetViews>
  <sheetFormatPr baseColWidth="8" defaultRowHeight="15"/>
  <cols>
    <col width="9.85546875" customWidth="1" min="1" max="14"/>
    <col width="11" customWidth="1" min="15" max="15"/>
    <col width="9.7109375" bestFit="1" customWidth="1" min="16" max="16"/>
    <col width="9" bestFit="1" customWidth="1" min="17" max="17"/>
    <col width="14" bestFit="1" customWidth="1" min="18" max="18"/>
    <col width="12.140625" bestFit="1" customWidth="1" min="19" max="19"/>
    <col width="10.140625" bestFit="1" customWidth="1" min="20" max="20"/>
    <col width="20.7109375" bestFit="1" customWidth="1" min="21" max="21"/>
    <col width="19.85546875" bestFit="1" customWidth="1" min="22" max="22"/>
    <col width="16.7109375" bestFit="1" customWidth="1" min="23" max="23"/>
    <col width="17" bestFit="1" customWidth="1" min="24" max="24"/>
    <col width="16.7109375" bestFit="1" customWidth="1" min="25" max="25"/>
    <col width="12" bestFit="1" customWidth="1" min="26" max="26"/>
    <col width="30.85546875" customWidth="1" min="27" max="27"/>
    <col width="21.7109375" customWidth="1" min="28" max="28"/>
    <col width="15.5703125" bestFit="1" customWidth="1" min="29" max="29"/>
    <col width="14" bestFit="1" customWidth="1" min="30" max="30"/>
    <col width="13.7109375" bestFit="1" customWidth="1" min="31" max="31"/>
    <col width="14" bestFit="1" customWidth="1" min="32" max="32"/>
    <col width="14.28515625" bestFit="1" customWidth="1" min="33" max="33"/>
    <col width="12.42578125" bestFit="1" customWidth="1" min="34" max="34"/>
    <col width="10.140625" bestFit="1" customWidth="1" min="35" max="35"/>
    <col width="6.7109375" bestFit="1" customWidth="1" min="36" max="36"/>
    <col width="6" bestFit="1" customWidth="1" min="37" max="37"/>
    <col width="6.28515625" bestFit="1" customWidth="1" min="38" max="38"/>
    <col width="12" bestFit="1" customWidth="1" min="39" max="39"/>
    <col width="21.7109375" customWidth="1" min="40" max="40"/>
    <col width="15.5703125" customWidth="1" min="41" max="41"/>
    <col width="14" bestFit="1" customWidth="1" min="42" max="42"/>
    <col width="24.42578125" bestFit="1" customWidth="1" min="43" max="43"/>
    <col width="9.140625" customWidth="1" min="48" max="48"/>
  </cols>
  <sheetData>
    <row r="1">
      <c r="A1" s="124" t="inlineStr">
        <is>
          <t>Ekta Enterprises</t>
        </is>
      </c>
      <c r="B1" s="125" t="n"/>
      <c r="C1" s="125" t="n"/>
      <c r="D1" s="125" t="n"/>
      <c r="E1" s="125" t="n"/>
      <c r="F1" s="125" t="n"/>
      <c r="G1" s="125" t="n"/>
      <c r="H1" s="125" t="n"/>
      <c r="I1" s="125" t="n"/>
      <c r="J1" s="125" t="n"/>
      <c r="K1" s="125" t="n"/>
      <c r="L1" s="125" t="n"/>
      <c r="M1" s="125" t="n"/>
      <c r="N1" s="125" t="n"/>
      <c r="O1" s="126" t="n"/>
      <c r="P1" s="127" t="inlineStr">
        <is>
          <t>Ekta Enterprises</t>
        </is>
      </c>
      <c r="Q1" s="125" t="n"/>
      <c r="R1" s="125" t="n"/>
      <c r="S1" s="125" t="n"/>
      <c r="T1" s="125" t="n"/>
      <c r="U1" s="125" t="n"/>
      <c r="V1" s="125" t="n"/>
      <c r="W1" s="125" t="n"/>
      <c r="X1" s="125" t="n"/>
      <c r="Y1" s="125" t="n"/>
      <c r="Z1" s="125" t="n"/>
      <c r="AA1" s="125" t="n"/>
      <c r="AB1" s="126" t="n"/>
      <c r="AC1" s="127" t="inlineStr">
        <is>
          <t>Ekta Enterprises</t>
        </is>
      </c>
      <c r="AD1" s="125" t="n"/>
      <c r="AE1" s="125" t="n"/>
      <c r="AF1" s="125" t="n"/>
      <c r="AG1" s="125" t="n"/>
      <c r="AH1" s="125" t="n"/>
      <c r="AI1" s="125" t="n"/>
      <c r="AJ1" s="125" t="n"/>
      <c r="AK1" s="125" t="n"/>
      <c r="AL1" s="125" t="n"/>
      <c r="AM1" s="125" t="n"/>
      <c r="AN1" s="125" t="n"/>
      <c r="AO1" s="126" t="n"/>
      <c r="AP1" s="41" t="n"/>
    </row>
    <row r="2">
      <c r="A2" s="124" t="inlineStr">
        <is>
          <t>REACH STACKER NO. XCMG-2-Diesel Cap - 19 Liters Per Hour</t>
        </is>
      </c>
      <c r="B2" s="125" t="n"/>
      <c r="C2" s="125" t="n"/>
      <c r="D2" s="125" t="n"/>
      <c r="E2" s="125" t="n"/>
      <c r="F2" s="125" t="n"/>
      <c r="G2" s="125" t="n"/>
      <c r="H2" s="125" t="n"/>
      <c r="I2" s="125" t="n"/>
      <c r="J2" s="126" t="n"/>
      <c r="K2" s="128" t="n">
        <v>46266</v>
      </c>
      <c r="L2" s="125" t="n"/>
      <c r="M2" s="125" t="n"/>
      <c r="N2" s="125" t="n"/>
      <c r="O2" s="126" t="n"/>
      <c r="P2" s="127" t="inlineStr">
        <is>
          <t>REACH STACKER NO. XCMG-1-Diesel Cap - 19 Liters Per Hour</t>
        </is>
      </c>
      <c r="Q2" s="125" t="n"/>
      <c r="R2" s="125" t="n"/>
      <c r="S2" s="125" t="n"/>
      <c r="T2" s="125" t="n"/>
      <c r="U2" s="125" t="n"/>
      <c r="V2" s="126" t="n"/>
      <c r="W2" s="128" t="n">
        <v>46266</v>
      </c>
      <c r="X2" s="125" t="n"/>
      <c r="Y2" s="125" t="n"/>
      <c r="Z2" s="125" t="n"/>
      <c r="AA2" s="125" t="n"/>
      <c r="AB2" s="126" t="n"/>
      <c r="AC2" s="127" t="inlineStr">
        <is>
          <t>REACH STACKER NO. Fork Lift 35 Ton-Diesel Cap - 17 Liters Per Hour</t>
        </is>
      </c>
      <c r="AD2" s="125" t="n"/>
      <c r="AE2" s="125" t="n"/>
      <c r="AF2" s="125" t="n"/>
      <c r="AG2" s="125" t="n"/>
      <c r="AH2" s="125" t="n"/>
      <c r="AI2" s="126" t="n"/>
      <c r="AJ2" s="128" t="n">
        <v>46266</v>
      </c>
      <c r="AK2" s="125" t="n"/>
      <c r="AL2" s="125" t="n"/>
      <c r="AM2" s="125" t="n"/>
      <c r="AN2" s="125" t="n"/>
      <c r="AO2" s="126" t="n"/>
      <c r="AP2" s="41" t="n"/>
    </row>
    <row r="3">
      <c r="A3" s="124" t="inlineStr">
        <is>
          <t>LOCATION : JSW AARKONAM</t>
        </is>
      </c>
      <c r="B3" s="125" t="n"/>
      <c r="C3" s="125" t="n"/>
      <c r="D3" s="125" t="n"/>
      <c r="E3" s="125" t="n"/>
      <c r="F3" s="125" t="n"/>
      <c r="G3" s="125" t="n"/>
      <c r="H3" s="125" t="n"/>
      <c r="I3" s="125" t="n"/>
      <c r="J3" s="125" t="n"/>
      <c r="K3" s="125" t="n"/>
      <c r="L3" s="125" t="n"/>
      <c r="M3" s="125" t="n"/>
      <c r="N3" s="125" t="n"/>
      <c r="O3" s="126" t="n"/>
      <c r="P3" s="127" t="inlineStr">
        <is>
          <t>LOCATION : JSW AARKONAM</t>
        </is>
      </c>
      <c r="Q3" s="125" t="n"/>
      <c r="R3" s="125" t="n"/>
      <c r="S3" s="125" t="n"/>
      <c r="T3" s="125" t="n"/>
      <c r="U3" s="125" t="n"/>
      <c r="V3" s="125" t="n"/>
      <c r="W3" s="125" t="n"/>
      <c r="X3" s="125" t="n"/>
      <c r="Y3" s="125" t="n"/>
      <c r="Z3" s="125" t="n"/>
      <c r="AA3" s="125" t="n"/>
      <c r="AB3" s="126" t="n"/>
      <c r="AC3" s="127" t="inlineStr">
        <is>
          <t>LOCATION : JSW AARKONAM</t>
        </is>
      </c>
      <c r="AD3" s="125" t="n"/>
      <c r="AE3" s="125" t="n"/>
      <c r="AF3" s="125" t="n"/>
      <c r="AG3" s="125" t="n"/>
      <c r="AH3" s="125" t="n"/>
      <c r="AI3" s="125" t="n"/>
      <c r="AJ3" s="125" t="n"/>
      <c r="AK3" s="125" t="n"/>
      <c r="AL3" s="125" t="n"/>
      <c r="AM3" s="125" t="n"/>
      <c r="AN3" s="125" t="n"/>
      <c r="AO3" s="126" t="n"/>
      <c r="AP3" s="41" t="n"/>
    </row>
    <row r="4">
      <c r="A4" s="124" t="inlineStr">
        <is>
          <t>Date</t>
        </is>
      </c>
      <c r="B4" s="124" t="inlineStr">
        <is>
          <t>Diesel Received (Ltr)</t>
        </is>
      </c>
      <c r="C4" s="124" t="inlineStr">
        <is>
          <t>ACTIVITY</t>
        </is>
      </c>
      <c r="D4" s="124" t="inlineStr">
        <is>
          <t>OPERING HMR</t>
        </is>
      </c>
      <c r="E4" s="124" t="inlineStr">
        <is>
          <t>Closing HMR</t>
        </is>
      </c>
      <c r="F4" s="124" t="inlineStr">
        <is>
          <t>Total (Hrs)</t>
        </is>
      </c>
      <c r="G4" s="124" t="inlineStr">
        <is>
          <t>Breakdown Start Time</t>
        </is>
      </c>
      <c r="H4" s="124" t="inlineStr">
        <is>
          <t>Breakdown End Time</t>
        </is>
      </c>
      <c r="I4" s="124" t="inlineStr">
        <is>
          <t>Breakdown Hours</t>
        </is>
      </c>
      <c r="J4" s="124" t="inlineStr">
        <is>
          <t>Diesel Issued (Ltr)</t>
        </is>
      </c>
      <c r="K4" s="124" t="inlineStr">
        <is>
          <t>HMR at Diesel Fill</t>
        </is>
      </c>
      <c r="L4" s="124" t="inlineStr">
        <is>
          <t>HOUR</t>
        </is>
      </c>
      <c r="M4" s="124" t="inlineStr">
        <is>
          <t>Avg. Diesel Consumption (Ltr/Hr)</t>
        </is>
      </c>
      <c r="N4" s="124" t="inlineStr">
        <is>
          <t>OPERATOR SIGNATURE</t>
        </is>
      </c>
      <c r="O4" s="124" t="inlineStr">
        <is>
          <t>JSW SIGNATURE</t>
        </is>
      </c>
      <c r="P4" s="124" t="inlineStr">
        <is>
          <t>Date</t>
        </is>
      </c>
      <c r="Q4" s="124" t="inlineStr">
        <is>
          <t>ACTIVITY</t>
        </is>
      </c>
      <c r="R4" s="124" t="inlineStr">
        <is>
          <t>OPERING HMR</t>
        </is>
      </c>
      <c r="S4" s="124" t="inlineStr">
        <is>
          <t>Closing HMR</t>
        </is>
      </c>
      <c r="T4" s="124" t="inlineStr">
        <is>
          <t>Total (Hrs)</t>
        </is>
      </c>
      <c r="U4" s="124" t="inlineStr">
        <is>
          <t>Breakdown Start Time</t>
        </is>
      </c>
      <c r="V4" s="124" t="inlineStr">
        <is>
          <t>Breakdown End Time</t>
        </is>
      </c>
      <c r="W4" s="124" t="inlineStr">
        <is>
          <t>Breakdown Hours</t>
        </is>
      </c>
      <c r="X4" s="124" t="inlineStr">
        <is>
          <t>Diesel Issued (Ltr)</t>
        </is>
      </c>
      <c r="Y4" s="124" t="inlineStr">
        <is>
          <t>HMR at Diesel Fill</t>
        </is>
      </c>
      <c r="Z4" s="124" t="inlineStr">
        <is>
          <t>HOUR</t>
        </is>
      </c>
      <c r="AA4" s="124" t="inlineStr">
        <is>
          <t>Avg. Diesel Consumption (Ltr/Hr)</t>
        </is>
      </c>
      <c r="AB4" s="124" t="inlineStr">
        <is>
          <t>OPERATOR SIGNATURE</t>
        </is>
      </c>
      <c r="AC4" s="124" t="inlineStr">
        <is>
          <t>Date</t>
        </is>
      </c>
      <c r="AD4" s="124" t="inlineStr">
        <is>
          <t>ACTIVITY</t>
        </is>
      </c>
      <c r="AE4" s="124" t="inlineStr">
        <is>
          <t>OPERING HMR</t>
        </is>
      </c>
      <c r="AF4" s="124" t="inlineStr">
        <is>
          <t>Closing HMR</t>
        </is>
      </c>
      <c r="AG4" s="124" t="inlineStr">
        <is>
          <t>Total (Hrs)</t>
        </is>
      </c>
      <c r="AH4" s="124" t="inlineStr">
        <is>
          <t>Breakdown Start Time</t>
        </is>
      </c>
      <c r="AI4" s="124" t="inlineStr">
        <is>
          <t>Breakdown End Time</t>
        </is>
      </c>
      <c r="AJ4" s="124" t="inlineStr">
        <is>
          <t>Breakdown Hours</t>
        </is>
      </c>
      <c r="AK4" s="124" t="inlineStr">
        <is>
          <t>Diesel Issued (Ltr)</t>
        </is>
      </c>
      <c r="AL4" s="124" t="inlineStr">
        <is>
          <t>HMR at Diesel Fill</t>
        </is>
      </c>
      <c r="AM4" s="124" t="inlineStr">
        <is>
          <t>HOUR</t>
        </is>
      </c>
      <c r="AN4" s="124" t="inlineStr">
        <is>
          <t>Avg. Diesel Consumption (Ltr/Hr)</t>
        </is>
      </c>
      <c r="AO4" s="124" t="inlineStr">
        <is>
          <t>OPERATOR SIGNATURE</t>
        </is>
      </c>
      <c r="AP4" s="124" t="inlineStr">
        <is>
          <t>JSW SIGNATURE</t>
        </is>
      </c>
    </row>
    <row r="5">
      <c r="A5" s="124" t="n"/>
      <c r="B5" s="124" t="n"/>
      <c r="C5" s="124" t="n"/>
      <c r="D5" s="124" t="n"/>
      <c r="E5" s="124" t="n"/>
      <c r="F5" s="124" t="n"/>
      <c r="G5" s="124" t="n"/>
      <c r="H5" s="124" t="n"/>
      <c r="I5" s="124" t="n"/>
      <c r="J5" s="124" t="n"/>
      <c r="K5" s="124" t="n">
        <v>873</v>
      </c>
      <c r="L5" s="124" t="n"/>
      <c r="M5" s="124" t="n"/>
      <c r="N5" s="124" t="n"/>
      <c r="O5" s="124" t="n"/>
      <c r="P5" s="127" t="n"/>
      <c r="Q5" s="127" t="n"/>
      <c r="R5" s="127" t="n"/>
      <c r="S5" s="127" t="n"/>
      <c r="T5" s="127" t="n"/>
      <c r="U5" s="124" t="n"/>
      <c r="V5" s="124" t="n"/>
      <c r="W5" s="127" t="n"/>
      <c r="X5" s="127" t="n"/>
      <c r="Y5" s="124" t="n">
        <v>549</v>
      </c>
      <c r="Z5" s="124" t="n"/>
      <c r="AA5" s="124" t="n"/>
      <c r="AB5" s="124" t="n"/>
      <c r="AC5" s="127" t="n"/>
      <c r="AD5" s="127" t="n"/>
      <c r="AE5" s="127" t="n"/>
      <c r="AF5" s="127" t="n"/>
      <c r="AG5" s="124" t="n"/>
      <c r="AH5" s="124" t="n"/>
      <c r="AI5" s="127" t="n"/>
      <c r="AJ5" s="127" t="n"/>
      <c r="AK5" s="127" t="n"/>
      <c r="AL5" s="124" t="n">
        <v>298.1</v>
      </c>
      <c r="AM5" s="124" t="n"/>
      <c r="AN5" s="124" t="n"/>
      <c r="AO5" s="124" t="n"/>
      <c r="AP5" s="124" t="n">
        <v>2104</v>
      </c>
    </row>
    <row r="6">
      <c r="A6" s="122" t="n">
        <v>46266</v>
      </c>
      <c r="B6" s="81" t="n"/>
      <c r="C6" s="81" t="n"/>
      <c r="D6" s="81" t="n">
        <v>901</v>
      </c>
      <c r="E6" s="81" t="n">
        <v>909</v>
      </c>
      <c r="F6" s="81">
        <f>IF(OR(D6="",E6=""),"",E6-D6)</f>
        <v/>
      </c>
      <c r="G6" s="81" t="n"/>
      <c r="H6" s="81" t="n"/>
      <c r="I6" s="81" t="n"/>
      <c r="J6" s="81" t="n"/>
      <c r="K6" s="81" t="n"/>
      <c r="L6" s="81" t="n"/>
      <c r="M6" s="81" t="n"/>
      <c r="N6" s="81" t="n"/>
      <c r="O6" s="81" t="n"/>
      <c r="P6" s="122" t="n">
        <v>46266</v>
      </c>
      <c r="Q6" s="87" t="n"/>
      <c r="R6" s="87">
        <f>'Aug26-Update'!T36</f>
        <v/>
      </c>
      <c r="S6" s="84" t="n">
        <v>613</v>
      </c>
      <c r="T6" s="85">
        <f>IF(OR(R6="",S6=""),"",S6-R6)</f>
        <v/>
      </c>
      <c r="U6" s="85" t="n"/>
      <c r="V6" s="85" t="n"/>
      <c r="W6" s="83" t="n"/>
      <c r="X6" s="86" t="n"/>
      <c r="Y6" s="86" t="n"/>
      <c r="Z6" s="86" t="n"/>
      <c r="AA6" s="86" t="n"/>
      <c r="AB6" s="86" t="n"/>
      <c r="AC6" s="122" t="n">
        <v>46266</v>
      </c>
      <c r="AD6" s="115" t="n"/>
      <c r="AE6" s="115" t="n">
        <v>310.1</v>
      </c>
      <c r="AF6" s="84" t="n">
        <v>314</v>
      </c>
      <c r="AG6" s="85">
        <f>IF(OR(AE6="",AF6=""),"",AF6-AE6)</f>
        <v/>
      </c>
      <c r="AH6" s="85" t="n"/>
      <c r="AI6" s="83" t="n"/>
      <c r="AJ6" s="86" t="n"/>
      <c r="AK6" s="86" t="n"/>
      <c r="AL6" s="86" t="n"/>
      <c r="AM6" s="86" t="n"/>
      <c r="AN6" s="120" t="n"/>
      <c r="AO6" s="83" t="n"/>
      <c r="AP6" s="73">
        <f>AP5+B6-AK6-X6-J6</f>
        <v/>
      </c>
    </row>
    <row r="7">
      <c r="A7" s="122" t="n">
        <v>46267</v>
      </c>
      <c r="B7" s="81" t="n"/>
      <c r="C7" s="81" t="n"/>
      <c r="D7" s="81">
        <f>IF(E6="","",E6)</f>
        <v/>
      </c>
      <c r="E7" s="81" t="n">
        <v>923</v>
      </c>
      <c r="F7" s="81">
        <f>IF(OR(D7="",E7=""),"",E7-D7)</f>
        <v/>
      </c>
      <c r="G7" s="81" t="n"/>
      <c r="H7" s="81" t="n"/>
      <c r="I7" s="81" t="n"/>
      <c r="J7" s="81" t="n">
        <v>475</v>
      </c>
      <c r="K7" s="81" t="n">
        <v>909</v>
      </c>
      <c r="L7" s="81">
        <f>IF(OR(J7="",K7=""),"",IFERROR(K7-K5,""))</f>
        <v/>
      </c>
      <c r="M7" s="117">
        <f>IF(OR(J7="",K7=""),"",IFERROR(J7/L7,""))</f>
        <v/>
      </c>
      <c r="N7" s="81" t="n"/>
      <c r="O7" s="81" t="n"/>
      <c r="P7" s="122" t="n">
        <v>46267</v>
      </c>
      <c r="Q7" s="87" t="n"/>
      <c r="R7" s="87">
        <f>IF(S6="","",S6)</f>
        <v/>
      </c>
      <c r="S7" s="84" t="n">
        <v>630</v>
      </c>
      <c r="T7" s="85">
        <f>IF(OR(R7="",S7=""),"",S7-R7)</f>
        <v/>
      </c>
      <c r="U7" s="85" t="n"/>
      <c r="V7" s="85" t="n"/>
      <c r="W7" s="83" t="n"/>
      <c r="X7" s="86" t="n">
        <v>280</v>
      </c>
      <c r="Y7" s="83" t="n">
        <v>613</v>
      </c>
      <c r="Z7" s="83">
        <f>Y7-Y5</f>
        <v/>
      </c>
      <c r="AA7" s="83">
        <f>IF(OR(X7="",Y7=""),"",IFERROR(X7/Z7,""))</f>
        <v/>
      </c>
      <c r="AB7" s="83" t="n"/>
      <c r="AC7" s="122" t="n">
        <v>46267</v>
      </c>
      <c r="AD7" s="87" t="n"/>
      <c r="AE7" s="87">
        <f>IF(AF6="","",AF6)</f>
        <v/>
      </c>
      <c r="AF7" s="84" t="n">
        <v>323.1</v>
      </c>
      <c r="AG7" s="85">
        <f>IF(OR(AE7="",AF7=""),"",AF7-AE7)</f>
        <v/>
      </c>
      <c r="AH7" s="85" t="n"/>
      <c r="AI7" s="83" t="n"/>
      <c r="AJ7" s="83" t="n"/>
      <c r="AK7" s="83" t="n"/>
      <c r="AL7" s="83" t="n"/>
      <c r="AM7" s="83">
        <f>IF(OR(AK7="",AL7=""),"",IFERROR(AL7-AL5,""))</f>
        <v/>
      </c>
      <c r="AN7" s="103">
        <f>IF(OR(AK7="",AL7=""),"",IFERROR(AK7/AM7,""))</f>
        <v/>
      </c>
      <c r="AO7" s="83" t="n"/>
      <c r="AP7" s="73">
        <f>AP6+B7-AK7-X7-J7</f>
        <v/>
      </c>
    </row>
    <row r="8">
      <c r="A8" s="122" t="n">
        <v>46268</v>
      </c>
      <c r="B8" s="118" t="n">
        <v>1200</v>
      </c>
      <c r="C8" s="81" t="n"/>
      <c r="D8" s="81">
        <f>IF(E7="","",E7)</f>
        <v/>
      </c>
      <c r="E8" s="81" t="n">
        <v>941</v>
      </c>
      <c r="F8" s="81">
        <f>IF(OR(D8="",E8=""),"",E8-D8)</f>
        <v/>
      </c>
      <c r="G8" s="81" t="n"/>
      <c r="H8" s="81" t="n"/>
      <c r="I8" s="81" t="n"/>
      <c r="J8" s="81" t="n"/>
      <c r="K8" s="81" t="n"/>
      <c r="L8" s="81" t="n"/>
      <c r="M8" s="81" t="n"/>
      <c r="N8" s="81" t="n"/>
      <c r="O8" s="81" t="n"/>
      <c r="P8" s="122" t="n">
        <v>46268</v>
      </c>
      <c r="Q8" s="87" t="n"/>
      <c r="R8" s="87">
        <f>IF(S7="","",S7)</f>
        <v/>
      </c>
      <c r="S8" s="84" t="n">
        <v>647</v>
      </c>
      <c r="T8" s="85">
        <f>IF(OR(R8="",S8=""),"",S8-R8)</f>
        <v/>
      </c>
      <c r="U8" s="85" t="n"/>
      <c r="V8" s="85" t="n"/>
      <c r="W8" s="83" t="n"/>
      <c r="X8" s="83" t="n"/>
      <c r="Y8" s="83" t="n"/>
      <c r="Z8" s="83" t="n"/>
      <c r="AA8" s="83" t="n"/>
      <c r="AB8" s="83" t="n"/>
      <c r="AC8" s="122" t="n">
        <v>46268</v>
      </c>
      <c r="AD8" s="87" t="n"/>
      <c r="AE8" s="87">
        <f>IF(AF7="","",AF7)</f>
        <v/>
      </c>
      <c r="AF8" s="84" t="n">
        <v>328.2</v>
      </c>
      <c r="AG8" s="85">
        <f>IF(OR(AE8="",AF8=""),"",AF8-AE8)</f>
        <v/>
      </c>
      <c r="AH8" s="85" t="n"/>
      <c r="AI8" s="83" t="n"/>
      <c r="AJ8" s="83" t="n"/>
      <c r="AK8" s="83" t="n"/>
      <c r="AL8" s="83" t="n"/>
      <c r="AM8" s="83" t="n"/>
      <c r="AN8" s="83" t="n"/>
      <c r="AO8" s="83" t="n"/>
      <c r="AP8" s="73">
        <f>AP7+B8-AK8-X8-J8</f>
        <v/>
      </c>
    </row>
    <row r="9">
      <c r="A9" s="122" t="n">
        <v>46269</v>
      </c>
      <c r="B9" s="81" t="n"/>
      <c r="C9" s="81" t="n"/>
      <c r="D9" s="81">
        <f>IF(E8="","",E8)</f>
        <v/>
      </c>
      <c r="E9" s="81" t="n">
        <v>960</v>
      </c>
      <c r="F9" s="81">
        <f>IF(OR(D9="",E9=""),"",E9-D9)</f>
        <v/>
      </c>
      <c r="G9" s="81" t="n"/>
      <c r="H9" s="81" t="n"/>
      <c r="I9" s="81" t="n"/>
      <c r="J9" s="81" t="n">
        <v>385</v>
      </c>
      <c r="K9" s="81" t="n">
        <v>942</v>
      </c>
      <c r="L9" s="81">
        <f>K9-K7</f>
        <v/>
      </c>
      <c r="M9" s="81">
        <f>J9/L9</f>
        <v/>
      </c>
      <c r="N9" s="81" t="n"/>
      <c r="O9" s="81" t="n"/>
      <c r="P9" s="122" t="n">
        <v>46269</v>
      </c>
      <c r="Q9" s="87" t="n"/>
      <c r="R9" s="87">
        <f>IF(S8="","",S8)</f>
        <v/>
      </c>
      <c r="S9" s="84" t="n">
        <v>661</v>
      </c>
      <c r="T9" s="85">
        <f>IF(OR(R9="",S9=""),"",S9-R9)</f>
        <v/>
      </c>
      <c r="U9" s="85" t="n"/>
      <c r="V9" s="85" t="n"/>
      <c r="W9" s="83" t="n"/>
      <c r="X9" s="83" t="n"/>
      <c r="Y9" s="83" t="n"/>
      <c r="Z9" s="83" t="n"/>
      <c r="AA9" s="83" t="n"/>
      <c r="AB9" s="83" t="n"/>
      <c r="AC9" s="122" t="n">
        <v>46269</v>
      </c>
      <c r="AD9" s="87" t="n"/>
      <c r="AE9" s="87">
        <f>IF(AF8="","",AF8)</f>
        <v/>
      </c>
      <c r="AF9" s="84" t="n">
        <v>332.4</v>
      </c>
      <c r="AG9" s="85">
        <f>IF(OR(AE9="",AF9=""),"",AF9-AE9)</f>
        <v/>
      </c>
      <c r="AH9" s="85" t="n"/>
      <c r="AI9" s="83" t="n"/>
      <c r="AJ9" s="83" t="n"/>
      <c r="AK9" s="83" t="n"/>
      <c r="AL9" s="83" t="n"/>
      <c r="AM9" s="83" t="n"/>
      <c r="AN9" s="83" t="n"/>
      <c r="AO9" s="83" t="n"/>
      <c r="AP9" s="73">
        <f>AP8+B9-AK9-X9-J9</f>
        <v/>
      </c>
    </row>
    <row r="10">
      <c r="A10" s="122" t="n">
        <v>46270</v>
      </c>
      <c r="B10" s="118" t="n">
        <v>1200</v>
      </c>
      <c r="C10" s="81" t="n"/>
      <c r="D10" s="81">
        <f>IF(E9="","",E9)</f>
        <v/>
      </c>
      <c r="E10" s="81" t="n">
        <v>982</v>
      </c>
      <c r="F10" s="81">
        <f>IF(OR(D10="",E10=""),"",E10-D10)</f>
        <v/>
      </c>
      <c r="G10" s="81" t="n"/>
      <c r="H10" s="81" t="n"/>
      <c r="I10" s="81" t="n"/>
      <c r="J10" s="81" t="n">
        <v>400</v>
      </c>
      <c r="K10" s="81" t="inlineStr">
        <is>
          <t>N/F</t>
        </is>
      </c>
      <c r="L10" s="81" t="n"/>
      <c r="M10" s="81" t="n"/>
      <c r="N10" s="81" t="n"/>
      <c r="O10" s="81" t="n"/>
      <c r="P10" s="122" t="n">
        <v>46270</v>
      </c>
      <c r="Q10" s="87" t="n"/>
      <c r="R10" s="87">
        <f>IF(S9="","",S9)</f>
        <v/>
      </c>
      <c r="S10" s="84" t="n">
        <v>681</v>
      </c>
      <c r="T10" s="85">
        <f>IF(OR(R10="",S10=""),"",S10-R10)</f>
        <v/>
      </c>
      <c r="U10" s="85" t="n"/>
      <c r="V10" s="85" t="n"/>
      <c r="W10" s="83" t="n"/>
      <c r="X10" s="83" t="n"/>
      <c r="Y10" s="83" t="n"/>
      <c r="Z10" s="83" t="n"/>
      <c r="AA10" s="83" t="n"/>
      <c r="AB10" s="83" t="n"/>
      <c r="AC10" s="122" t="n">
        <v>46270</v>
      </c>
      <c r="AD10" s="87" t="n"/>
      <c r="AE10" s="87">
        <f>IF(AF9="","",AF9)</f>
        <v/>
      </c>
      <c r="AF10" s="87" t="n">
        <v>349.4</v>
      </c>
      <c r="AG10" s="85">
        <f>IF(OR(AE10="",AF10=""),"",AF10-AE10)</f>
        <v/>
      </c>
      <c r="AH10" s="85" t="n"/>
      <c r="AI10" s="83" t="n"/>
      <c r="AJ10" s="83" t="n"/>
      <c r="AK10" s="83" t="n"/>
      <c r="AL10" s="83" t="n"/>
      <c r="AM10" s="83" t="n"/>
      <c r="AN10" s="83" t="n"/>
      <c r="AO10" s="83" t="n"/>
      <c r="AP10" s="73">
        <f>AP9+B10-AK10-X10-J10</f>
        <v/>
      </c>
    </row>
    <row r="11">
      <c r="A11" s="122" t="n">
        <v>46271</v>
      </c>
      <c r="B11" s="81" t="n"/>
      <c r="C11" s="81" t="n"/>
      <c r="D11" s="81">
        <f>IF(E10="","",E10)</f>
        <v/>
      </c>
      <c r="E11" s="81" t="n">
        <v>996</v>
      </c>
      <c r="F11" s="81">
        <f>IF(OR(D11="",E11=""),"",E11-D11)</f>
        <v/>
      </c>
      <c r="G11" s="81" t="n"/>
      <c r="H11" s="81" t="n"/>
      <c r="I11" s="81" t="n"/>
      <c r="J11" s="81" t="n"/>
      <c r="K11" s="81" t="n"/>
      <c r="L11" s="81" t="n"/>
      <c r="M11" s="81" t="n"/>
      <c r="N11" s="81" t="n"/>
      <c r="O11" s="81" t="n"/>
      <c r="P11" s="122" t="n">
        <v>46271</v>
      </c>
      <c r="Q11" s="87" t="n"/>
      <c r="R11" s="87">
        <f>IF(S10="","",S10)</f>
        <v/>
      </c>
      <c r="S11" s="84" t="n">
        <v>693</v>
      </c>
      <c r="T11" s="85">
        <f>IF(OR(R11="",S11=""),"",S11-R11)</f>
        <v/>
      </c>
      <c r="U11" s="85" t="n"/>
      <c r="V11" s="85" t="n"/>
      <c r="W11" s="83" t="n"/>
      <c r="X11" s="83" t="n"/>
      <c r="Y11" s="83" t="n"/>
      <c r="Z11" s="83" t="n"/>
      <c r="AA11" s="83" t="n"/>
      <c r="AB11" s="83" t="n"/>
      <c r="AC11" s="122" t="n">
        <v>46271</v>
      </c>
      <c r="AD11" s="87" t="n"/>
      <c r="AE11" s="87">
        <f>IF(AF10="","",AF10)</f>
        <v/>
      </c>
      <c r="AF11" s="87" t="n">
        <v>357.3</v>
      </c>
      <c r="AG11" s="85">
        <f>IF(OR(AE11="",AF11=""),"",AF11-AE11)</f>
        <v/>
      </c>
      <c r="AH11" s="85" t="n"/>
      <c r="AI11" s="83" t="n"/>
      <c r="AJ11" s="83" t="n"/>
      <c r="AK11" s="83" t="n">
        <v>400</v>
      </c>
      <c r="AL11" s="83" t="n">
        <v>355.2</v>
      </c>
      <c r="AM11" s="83">
        <f>AL11-AL5</f>
        <v/>
      </c>
      <c r="AN11" s="83">
        <f>AK11/AM11</f>
        <v/>
      </c>
      <c r="AO11" s="83" t="n"/>
      <c r="AP11" s="73">
        <f>AP10+B11-AK11-X11-J11</f>
        <v/>
      </c>
    </row>
    <row r="12">
      <c r="A12" s="122" t="n">
        <v>46272</v>
      </c>
      <c r="B12" s="118" t="n">
        <v>600</v>
      </c>
      <c r="C12" s="81" t="n"/>
      <c r="D12" s="81">
        <f>IF(E11="","",E11)</f>
        <v/>
      </c>
      <c r="E12" s="81" t="n">
        <v>1005</v>
      </c>
      <c r="F12" s="81">
        <f>IF(OR(D12="",E12=""),"",E12-D12)</f>
        <v/>
      </c>
      <c r="G12" s="81" t="n"/>
      <c r="H12" s="81" t="n"/>
      <c r="I12" s="81" t="n"/>
      <c r="J12" s="81" t="n">
        <v>355</v>
      </c>
      <c r="K12" s="81" t="n">
        <v>997</v>
      </c>
      <c r="L12" s="81">
        <f>K12-K9</f>
        <v/>
      </c>
      <c r="M12" s="123">
        <f>(J12+J10)/L12</f>
        <v/>
      </c>
      <c r="N12" s="81" t="n"/>
      <c r="O12" s="81" t="n"/>
      <c r="P12" s="122" t="n">
        <v>46272</v>
      </c>
      <c r="Q12" s="87" t="n"/>
      <c r="R12" s="87">
        <f>IF(S11="","",S11)</f>
        <v/>
      </c>
      <c r="S12" s="84" t="n">
        <v>702</v>
      </c>
      <c r="T12" s="85">
        <f>IF(OR(R12="",S12=""),"",S12-R12)</f>
        <v/>
      </c>
      <c r="U12" s="85" t="n"/>
      <c r="V12" s="85" t="n"/>
      <c r="W12" s="83" t="n"/>
      <c r="X12" s="83" t="n">
        <v>510</v>
      </c>
      <c r="Y12" s="83" t="n">
        <v>699</v>
      </c>
      <c r="Z12" s="83">
        <f>Y12-X7</f>
        <v/>
      </c>
      <c r="AA12" s="83">
        <f>X12/Z12</f>
        <v/>
      </c>
      <c r="AB12" s="83" t="n"/>
      <c r="AC12" s="122" t="n">
        <v>46272</v>
      </c>
      <c r="AD12" s="87" t="n"/>
      <c r="AE12" s="87">
        <f>IF(AF11="","",AF11)</f>
        <v/>
      </c>
      <c r="AF12" s="87" t="n">
        <v>362.6</v>
      </c>
      <c r="AG12" s="85">
        <f>IF(OR(AE12="",AF12=""),"",AF12-AE12)</f>
        <v/>
      </c>
      <c r="AH12" s="85" t="n"/>
      <c r="AI12" s="83" t="n"/>
      <c r="AJ12" s="83" t="n"/>
      <c r="AK12" s="83" t="n"/>
      <c r="AL12" s="83" t="n"/>
      <c r="AM12" s="83" t="n"/>
      <c r="AN12" s="83" t="n"/>
      <c r="AO12" s="83" t="n"/>
      <c r="AP12" s="73">
        <f>AP11+B12-AK12-X12-J12</f>
        <v/>
      </c>
    </row>
    <row r="13">
      <c r="A13" s="122" t="n">
        <v>46273</v>
      </c>
      <c r="B13" s="81" t="n"/>
      <c r="C13" s="81" t="n"/>
      <c r="D13" s="81">
        <f>IF(E12="","",E12)</f>
        <v/>
      </c>
      <c r="E13" s="81" t="n">
        <v>1015</v>
      </c>
      <c r="F13" s="81">
        <f>IF(OR(D13="",E13=""),"",E13-D13)</f>
        <v/>
      </c>
      <c r="G13" s="81" t="n"/>
      <c r="H13" s="81" t="n"/>
      <c r="I13" s="81" t="n"/>
      <c r="J13" s="81" t="n"/>
      <c r="K13" s="81" t="n"/>
      <c r="L13" s="81" t="n"/>
      <c r="M13" s="81" t="n"/>
      <c r="N13" s="81" t="n"/>
      <c r="O13" s="81" t="n"/>
      <c r="P13" s="122" t="n">
        <v>46273</v>
      </c>
      <c r="Q13" s="87" t="n"/>
      <c r="R13" s="87">
        <f>IF(S12="","",S12)</f>
        <v/>
      </c>
      <c r="S13" s="84" t="n">
        <v>710</v>
      </c>
      <c r="T13" s="85">
        <f>IF(OR(R13="",S13=""),"",S13-R13)</f>
        <v/>
      </c>
      <c r="U13" s="85" t="n"/>
      <c r="V13" s="85" t="n"/>
      <c r="W13" s="83" t="n"/>
      <c r="X13" s="83" t="n"/>
      <c r="Y13" s="83" t="n"/>
      <c r="Z13" s="83" t="n"/>
      <c r="AA13" s="83" t="n"/>
      <c r="AB13" s="83" t="n"/>
      <c r="AC13" s="122" t="n">
        <v>46273</v>
      </c>
      <c r="AD13" s="87" t="n"/>
      <c r="AE13" s="87">
        <f>IF(AF12="","",AF12)</f>
        <v/>
      </c>
      <c r="AF13" s="87" t="n">
        <v>369.9</v>
      </c>
      <c r="AG13" s="85">
        <f>IF(OR(AE13="",AF13=""),"",AF13-AE13)</f>
        <v/>
      </c>
      <c r="AH13" s="85" t="n"/>
      <c r="AI13" s="83" t="n"/>
      <c r="AJ13" s="83" t="n"/>
      <c r="AK13" s="83" t="n"/>
      <c r="AL13" s="83" t="n"/>
      <c r="AM13" s="83" t="n"/>
      <c r="AN13" s="83" t="n"/>
      <c r="AO13" s="83" t="n"/>
      <c r="AP13" s="73">
        <f>AP12+B13-AK13-X13-J13</f>
        <v/>
      </c>
    </row>
    <row r="14">
      <c r="A14" s="122" t="n">
        <v>46274</v>
      </c>
      <c r="B14" s="81" t="n"/>
      <c r="C14" s="81" t="n"/>
      <c r="D14" s="81">
        <f>IF(E13="","",E13)</f>
        <v/>
      </c>
      <c r="E14" s="81" t="n">
        <v>1027</v>
      </c>
      <c r="F14" s="81">
        <f>IF(OR(D14="",E14=""),"",E14-D14)</f>
        <v/>
      </c>
      <c r="G14" s="81" t="n"/>
      <c r="H14" s="81" t="n"/>
      <c r="I14" s="81" t="n"/>
      <c r="J14" s="81" t="n"/>
      <c r="K14" s="81" t="n"/>
      <c r="L14" s="81" t="n"/>
      <c r="M14" s="81" t="n"/>
      <c r="N14" s="81" t="n"/>
      <c r="O14" s="81" t="n"/>
      <c r="P14" s="122" t="n">
        <v>46274</v>
      </c>
      <c r="Q14" s="87" t="n"/>
      <c r="R14" s="87">
        <f>IF(S13="","",S13)</f>
        <v/>
      </c>
      <c r="S14" s="84" t="n">
        <v>715</v>
      </c>
      <c r="T14" s="85">
        <f>IF(OR(R14="",S14=""),"",S14-R14)</f>
        <v/>
      </c>
      <c r="U14" s="85" t="n"/>
      <c r="V14" s="85" t="n"/>
      <c r="W14" s="83" t="n"/>
      <c r="X14" s="83" t="n"/>
      <c r="Y14" s="83" t="n"/>
      <c r="Z14" s="83" t="n"/>
      <c r="AA14" s="83" t="n"/>
      <c r="AB14" s="83" t="n"/>
      <c r="AC14" s="122" t="n">
        <v>46274</v>
      </c>
      <c r="AD14" s="87" t="n"/>
      <c r="AE14" s="87">
        <f>IF(AF13="","",AF13)</f>
        <v/>
      </c>
      <c r="AF14" s="87" t="n">
        <v>379.4</v>
      </c>
      <c r="AG14" s="85">
        <f>IF(OR(AE14="",AF14=""),"",AF14-AE14)</f>
        <v/>
      </c>
      <c r="AH14" s="85" t="n"/>
      <c r="AI14" s="83" t="n"/>
      <c r="AJ14" s="83" t="n"/>
      <c r="AK14" s="83" t="n"/>
      <c r="AL14" s="83" t="n"/>
      <c r="AM14" s="83" t="n"/>
      <c r="AN14" s="83" t="n"/>
      <c r="AO14" s="83" t="n"/>
      <c r="AP14" s="73">
        <f>AP13+B14-AK14-X14-J14</f>
        <v/>
      </c>
    </row>
    <row r="15">
      <c r="A15" s="122" t="n">
        <v>46275</v>
      </c>
      <c r="B15" s="118" t="n">
        <v>800</v>
      </c>
      <c r="C15" s="81" t="n"/>
      <c r="D15" s="81">
        <f>IF(E14="","",E14)</f>
        <v/>
      </c>
      <c r="E15" s="81" t="n">
        <v>1036</v>
      </c>
      <c r="F15" s="81">
        <f>IF(OR(D15="",E15=""),"",E15-D15)</f>
        <v/>
      </c>
      <c r="G15" s="81" t="n"/>
      <c r="H15" s="81" t="n"/>
      <c r="I15" s="81" t="n"/>
      <c r="J15" s="81" t="n">
        <v>382</v>
      </c>
      <c r="K15" s="81" t="n">
        <v>1031</v>
      </c>
      <c r="L15" s="81">
        <f>K15-K12</f>
        <v/>
      </c>
      <c r="M15" s="123">
        <f>J15/L15</f>
        <v/>
      </c>
      <c r="N15" s="81" t="n"/>
      <c r="O15" s="81" t="n"/>
      <c r="P15" s="122" t="n">
        <v>46275</v>
      </c>
      <c r="Q15" s="87" t="n"/>
      <c r="R15" s="87">
        <f>IF(S14="","",S14)</f>
        <v/>
      </c>
      <c r="S15" s="84" t="n">
        <v>721</v>
      </c>
      <c r="T15" s="85">
        <f>IF(OR(R15="",S15=""),"",S15-R15)</f>
        <v/>
      </c>
      <c r="U15" s="85" t="n"/>
      <c r="V15" s="85" t="n"/>
      <c r="W15" s="83" t="n"/>
      <c r="X15" s="83" t="n"/>
      <c r="Y15" s="83" t="n"/>
      <c r="Z15" s="83" t="n"/>
      <c r="AA15" s="83" t="n"/>
      <c r="AB15" s="83" t="n"/>
      <c r="AC15" s="122" t="n">
        <v>46275</v>
      </c>
      <c r="AD15" s="87" t="n"/>
      <c r="AE15" s="87">
        <f>IF(AF14="","",AF14)</f>
        <v/>
      </c>
      <c r="AF15" s="87" t="n">
        <v>386.4</v>
      </c>
      <c r="AG15" s="85">
        <f>IF(OR(AE15="",AF15=""),"",AF15-AE15)</f>
        <v/>
      </c>
      <c r="AH15" s="85" t="n"/>
      <c r="AI15" s="83" t="n"/>
      <c r="AJ15" s="83" t="n"/>
      <c r="AK15" s="83" t="n"/>
      <c r="AL15" s="83" t="n"/>
      <c r="AM15" s="83" t="n"/>
      <c r="AN15" s="83" t="n"/>
      <c r="AO15" s="83" t="n"/>
      <c r="AP15" s="73">
        <f>AP14+B15-AK15-X15-J15</f>
        <v/>
      </c>
    </row>
    <row r="16">
      <c r="A16" s="122" t="n">
        <v>46276</v>
      </c>
      <c r="B16" s="81" t="n"/>
      <c r="C16" s="81" t="n"/>
      <c r="D16" s="81">
        <f>IF(E15="","",E15)</f>
        <v/>
      </c>
      <c r="E16" s="81" t="n">
        <v>1046</v>
      </c>
      <c r="F16" s="81">
        <f>IF(OR(D16="",E16=""),"",E16-D16)</f>
        <v/>
      </c>
      <c r="G16" s="81" t="n"/>
      <c r="H16" s="81" t="n"/>
      <c r="I16" s="81" t="n"/>
      <c r="J16" s="81" t="n"/>
      <c r="K16" s="81" t="n"/>
      <c r="L16" s="81" t="n"/>
      <c r="M16" s="81" t="n"/>
      <c r="N16" s="81" t="n"/>
      <c r="O16" s="81" t="n"/>
      <c r="P16" s="122" t="n">
        <v>46276</v>
      </c>
      <c r="Q16" s="87" t="n"/>
      <c r="R16" s="87">
        <f>IF(S15="","",S15)</f>
        <v/>
      </c>
      <c r="S16" s="84" t="n">
        <v>731</v>
      </c>
      <c r="T16" s="85">
        <f>IF(OR(R16="",S16=""),"",S16-R16)</f>
        <v/>
      </c>
      <c r="U16" s="85" t="n"/>
      <c r="V16" s="85" t="n"/>
      <c r="W16" s="83" t="n"/>
      <c r="X16" s="83" t="n"/>
      <c r="Y16" s="83" t="n"/>
      <c r="Z16" s="83" t="n"/>
      <c r="AA16" s="83" t="n"/>
      <c r="AB16" s="83" t="n"/>
      <c r="AC16" s="122" t="n">
        <v>46276</v>
      </c>
      <c r="AD16" s="87" t="n"/>
      <c r="AE16" s="87">
        <f>IF(AF15="","",AF15)</f>
        <v/>
      </c>
      <c r="AF16" s="87" t="n">
        <v>392.7</v>
      </c>
      <c r="AG16" s="85">
        <f>IF(OR(AE16="",AF16=""),"",AF16-AE16)</f>
        <v/>
      </c>
      <c r="AH16" s="85" t="n"/>
      <c r="AI16" s="83" t="n"/>
      <c r="AJ16" s="83" t="n"/>
      <c r="AK16" s="83" t="n"/>
      <c r="AL16" s="83" t="n"/>
      <c r="AM16" s="83" t="n"/>
      <c r="AN16" s="83" t="n"/>
      <c r="AO16" s="83" t="n"/>
      <c r="AP16" s="73">
        <f>AP15+B16-AK16-X16-J16</f>
        <v/>
      </c>
    </row>
    <row r="17">
      <c r="A17" s="122" t="n">
        <v>46277</v>
      </c>
      <c r="B17" s="81" t="n"/>
      <c r="C17" s="81" t="n"/>
      <c r="D17" s="81">
        <f>IF(E16="","",E16)</f>
        <v/>
      </c>
      <c r="E17" s="81" t="n">
        <v>1054</v>
      </c>
      <c r="F17" s="81">
        <f>IF(OR(D17="",E17=""),"",E17-D17)</f>
        <v/>
      </c>
      <c r="G17" s="81" t="n"/>
      <c r="H17" s="81" t="n"/>
      <c r="I17" s="81" t="n"/>
      <c r="J17" s="81" t="n"/>
      <c r="K17" s="81" t="n"/>
      <c r="L17" s="81" t="n"/>
      <c r="M17" s="81" t="n"/>
      <c r="N17" s="81" t="n"/>
      <c r="O17" s="81" t="n"/>
      <c r="P17" s="122" t="n">
        <v>46277</v>
      </c>
      <c r="Q17" s="87" t="n"/>
      <c r="R17" s="87">
        <f>IF(S16="","",S16)</f>
        <v/>
      </c>
      <c r="S17" s="87" t="n">
        <v>739</v>
      </c>
      <c r="T17" s="85">
        <f>IF(OR(R17="",S17=""),"",S17-R17)</f>
        <v/>
      </c>
      <c r="U17" s="85" t="n"/>
      <c r="V17" s="85" t="n"/>
      <c r="W17" s="83" t="n"/>
      <c r="X17" s="83" t="n"/>
      <c r="Y17" s="83" t="n"/>
      <c r="Z17" s="83" t="n"/>
      <c r="AA17" s="83" t="n"/>
      <c r="AB17" s="83" t="n"/>
      <c r="AC17" s="122" t="n">
        <v>46277</v>
      </c>
      <c r="AD17" s="87" t="n"/>
      <c r="AE17" s="87">
        <f>IF(AF16="","",AF16)</f>
        <v/>
      </c>
      <c r="AF17" s="87" t="n">
        <v>398.6</v>
      </c>
      <c r="AG17" s="85">
        <f>IF(OR(AE17="",AF17=""),"",AF17-AE17)</f>
        <v/>
      </c>
      <c r="AH17" s="85" t="n"/>
      <c r="AI17" s="83" t="n"/>
      <c r="AJ17" s="83" t="n"/>
      <c r="AK17" s="83" t="n">
        <v>313</v>
      </c>
      <c r="AL17" s="83" t="inlineStr">
        <is>
          <t>?</t>
        </is>
      </c>
      <c r="AM17" s="83" t="n"/>
      <c r="AN17" s="83" t="n"/>
      <c r="AO17" s="83" t="n"/>
      <c r="AP17" s="73">
        <f>AP16+B17-AK17-X17-J17</f>
        <v/>
      </c>
    </row>
    <row r="18">
      <c r="A18" s="122" t="n">
        <v>46278</v>
      </c>
      <c r="B18" s="81" t="n"/>
      <c r="C18" s="81" t="n"/>
      <c r="D18" s="81">
        <f>IF(E17="","",E17)</f>
        <v/>
      </c>
      <c r="E18" s="81" t="n">
        <v>1057</v>
      </c>
      <c r="F18" s="81">
        <f>IF(OR(D18="",E18=""),"",E18-D18)</f>
        <v/>
      </c>
      <c r="G18" s="81" t="n"/>
      <c r="H18" s="81" t="n"/>
      <c r="I18" s="81" t="n"/>
      <c r="J18" s="81" t="n"/>
      <c r="K18" s="81" t="n"/>
      <c r="L18" s="81" t="n"/>
      <c r="M18" s="81" t="n"/>
      <c r="N18" s="81" t="n"/>
      <c r="O18" s="81" t="n"/>
      <c r="P18" s="122" t="n">
        <v>46278</v>
      </c>
      <c r="Q18" s="87" t="n"/>
      <c r="R18" s="87">
        <f>IF(S17="","",S17)</f>
        <v/>
      </c>
      <c r="S18" s="87" t="n">
        <v>742</v>
      </c>
      <c r="T18" s="85">
        <f>IF(OR(R18="",S18=""),"",S18-R18)</f>
        <v/>
      </c>
      <c r="U18" s="85" t="n"/>
      <c r="V18" s="85" t="n"/>
      <c r="W18" s="83" t="n"/>
      <c r="X18" s="83" t="n"/>
      <c r="Y18" s="83" t="n"/>
      <c r="Z18" s="83" t="n"/>
      <c r="AA18" s="83" t="n"/>
      <c r="AB18" s="83" t="n"/>
      <c r="AC18" s="122" t="n">
        <v>46278</v>
      </c>
      <c r="AD18" s="87" t="n"/>
      <c r="AE18" s="87">
        <f>IF(AF17="","",AF17)</f>
        <v/>
      </c>
      <c r="AF18" s="87" t="n">
        <v>401.5</v>
      </c>
      <c r="AG18" s="85">
        <f>IF(OR(AE18="",AF18=""),"",AF18-AE18)</f>
        <v/>
      </c>
      <c r="AH18" s="85" t="n"/>
      <c r="AI18" s="83" t="n"/>
      <c r="AJ18" s="83" t="n"/>
      <c r="AK18" s="83" t="n"/>
      <c r="AL18" s="83" t="n"/>
      <c r="AM18" s="83" t="n"/>
      <c r="AN18" s="83" t="n"/>
      <c r="AO18" s="83" t="n"/>
      <c r="AP18" s="73">
        <f>AP17+B18-AK18-X18-J18</f>
        <v/>
      </c>
    </row>
    <row r="19">
      <c r="A19" s="122" t="n">
        <v>46279</v>
      </c>
      <c r="B19" s="81" t="n"/>
      <c r="C19" s="81" t="n"/>
      <c r="D19" s="81">
        <f>IF(E18="","",E18)</f>
        <v/>
      </c>
      <c r="E19" s="81" t="n">
        <v>1068</v>
      </c>
      <c r="F19" s="81">
        <f>IF(OR(D19="",E19=""),"",E19-D19)</f>
        <v/>
      </c>
      <c r="G19" s="81" t="n"/>
      <c r="H19" s="81" t="n"/>
      <c r="I19" s="81" t="n"/>
      <c r="J19" s="81" t="n">
        <v>192.01</v>
      </c>
      <c r="K19" s="81" t="n">
        <v>1060</v>
      </c>
      <c r="L19" s="81">
        <f>K19-K15</f>
        <v/>
      </c>
      <c r="M19" s="81">
        <f>J19/L19</f>
        <v/>
      </c>
      <c r="N19" s="81" t="n"/>
      <c r="O19" s="81" t="n"/>
      <c r="P19" s="122" t="n">
        <v>46279</v>
      </c>
      <c r="Q19" s="87" t="n"/>
      <c r="R19" s="87">
        <f>IF(S18="","",S18)</f>
        <v/>
      </c>
      <c r="S19" s="87" t="n">
        <v>745</v>
      </c>
      <c r="T19" s="85">
        <f>IF(OR(R19="",S19=""),"",S19-R19)</f>
        <v/>
      </c>
      <c r="U19" s="85" t="n"/>
      <c r="V19" s="85" t="n"/>
      <c r="W19" s="83" t="n"/>
      <c r="X19" s="83" t="n">
        <v>120</v>
      </c>
      <c r="Y19" s="83" t="n">
        <v>743</v>
      </c>
      <c r="Z19" s="83">
        <f>Y19-Y12</f>
        <v/>
      </c>
      <c r="AA19" s="83">
        <f>X19/Z19</f>
        <v/>
      </c>
      <c r="AB19" s="83" t="n"/>
      <c r="AC19" s="122" t="n">
        <v>46279</v>
      </c>
      <c r="AD19" s="87" t="n"/>
      <c r="AE19" s="87">
        <f>IF(AF18="","",AF18)</f>
        <v/>
      </c>
      <c r="AF19" s="87" t="n">
        <v>403</v>
      </c>
      <c r="AG19" s="85">
        <f>IF(OR(AE19="",AF19=""),"",AF19-AE19)</f>
        <v/>
      </c>
      <c r="AH19" s="85" t="n"/>
      <c r="AI19" s="83" t="n"/>
      <c r="AJ19" s="83" t="n"/>
      <c r="AK19" s="83" t="n"/>
      <c r="AL19" s="83" t="n"/>
      <c r="AM19" s="83" t="n"/>
      <c r="AN19" s="83" t="n"/>
      <c r="AO19" s="83" t="n"/>
      <c r="AP19" s="73">
        <f>AP18+B19-AK19-X19-J19</f>
        <v/>
      </c>
    </row>
    <row r="20">
      <c r="A20" s="122" t="n">
        <v>46280</v>
      </c>
      <c r="B20" s="118" t="n">
        <v>902</v>
      </c>
      <c r="C20" s="81" t="n"/>
      <c r="D20" s="81">
        <f>IF(E19="","",E19)</f>
        <v/>
      </c>
      <c r="E20" s="81" t="n">
        <v>1075</v>
      </c>
      <c r="F20" s="81">
        <f>IF(OR(D20="",E20=""),"",E20-D20)</f>
        <v/>
      </c>
      <c r="G20" s="81" t="n"/>
      <c r="H20" s="81" t="n"/>
      <c r="I20" s="81" t="n"/>
      <c r="J20" s="81" t="n"/>
      <c r="K20" s="81" t="n"/>
      <c r="L20" s="81" t="n"/>
      <c r="M20" s="81" t="n"/>
      <c r="N20" s="81" t="n"/>
      <c r="O20" s="81" t="n"/>
      <c r="P20" s="122" t="n">
        <v>46280</v>
      </c>
      <c r="Q20" s="87" t="n"/>
      <c r="R20" s="87">
        <f>IF(S19="","",S19)</f>
        <v/>
      </c>
      <c r="S20" s="87" t="n">
        <v>753</v>
      </c>
      <c r="T20" s="85">
        <f>IF(OR(R20="",S20=""),"",S20-R20)</f>
        <v/>
      </c>
      <c r="U20" s="85" t="n"/>
      <c r="V20" s="85" t="n"/>
      <c r="W20" s="83" t="n"/>
      <c r="X20" s="83" t="n"/>
      <c r="Y20" s="83" t="n"/>
      <c r="Z20" s="83" t="n"/>
      <c r="AA20" s="83" t="n"/>
      <c r="AB20" s="83" t="n"/>
      <c r="AC20" s="122" t="n">
        <v>46280</v>
      </c>
      <c r="AD20" s="87" t="n"/>
      <c r="AE20" s="87">
        <f>IF(AF19="","",AF19)</f>
        <v/>
      </c>
      <c r="AF20" s="87" t="n">
        <v>407</v>
      </c>
      <c r="AG20" s="85">
        <f>IF(OR(AE20="",AF20=""),"",AF20-AE20)</f>
        <v/>
      </c>
      <c r="AH20" s="85" t="n"/>
      <c r="AI20" s="83" t="n"/>
      <c r="AJ20" s="83" t="n"/>
      <c r="AK20" s="83" t="n"/>
      <c r="AL20" s="83" t="n"/>
      <c r="AM20" s="83" t="n"/>
      <c r="AN20" s="83" t="n"/>
      <c r="AO20" s="83" t="n"/>
      <c r="AP20" s="73">
        <f>AP19+B20-AK20-X20-J20</f>
        <v/>
      </c>
    </row>
    <row r="21">
      <c r="A21" s="122" t="n">
        <v>46281</v>
      </c>
      <c r="B21" s="81" t="n"/>
      <c r="C21" s="81" t="n"/>
      <c r="D21" s="81">
        <f>IF(E20="","",E20)</f>
        <v/>
      </c>
      <c r="E21" s="81" t="n">
        <v>1084</v>
      </c>
      <c r="F21" s="81">
        <f>IF(OR(D21="",E21=""),"",E21-D21)</f>
        <v/>
      </c>
      <c r="G21" s="81" t="n"/>
      <c r="H21" s="81" t="n"/>
      <c r="I21" s="81" t="n"/>
      <c r="J21" s="81" t="n"/>
      <c r="K21" s="81" t="n"/>
      <c r="L21" s="81">
        <f>IF(OR(J21="",K21=""),"",IFERROR(K21-K7,""))</f>
        <v/>
      </c>
      <c r="M21" s="117">
        <f>IF(OR(J21="",K21=""),"",IFERROR(J21/L21,""))</f>
        <v/>
      </c>
      <c r="N21" s="81" t="n"/>
      <c r="O21" s="81" t="n"/>
      <c r="P21" s="122" t="n">
        <v>46281</v>
      </c>
      <c r="Q21" s="87" t="n"/>
      <c r="R21" s="87">
        <f>IF(S20="","",S20)</f>
        <v/>
      </c>
      <c r="S21" s="87" t="n">
        <v>756</v>
      </c>
      <c r="T21" s="85">
        <f>IF(OR(R21="",S21=""),"",S21-R21)</f>
        <v/>
      </c>
      <c r="U21" s="85" t="n"/>
      <c r="V21" s="85" t="n"/>
      <c r="W21" s="83" t="n"/>
      <c r="X21" s="83" t="n"/>
      <c r="Y21" s="83" t="n"/>
      <c r="Z21" s="83">
        <f>IF(OR(X21="",Y21=""),"",IFERROR(Y21-Y7,""))</f>
        <v/>
      </c>
      <c r="AA21" s="103">
        <f>IF(OR(X21="",Y21=""),"",IFERROR(X21/Z21,""))</f>
        <v/>
      </c>
      <c r="AB21" s="83" t="n"/>
      <c r="AC21" s="122" t="n">
        <v>46281</v>
      </c>
      <c r="AD21" s="87" t="n"/>
      <c r="AE21" s="87">
        <f>IF(AF20="","",AF20)</f>
        <v/>
      </c>
      <c r="AF21" s="87" t="n">
        <v>413.3</v>
      </c>
      <c r="AG21" s="85">
        <f>IF(OR(AE21="",AF21=""),"",AF21-AE21)</f>
        <v/>
      </c>
      <c r="AH21" s="85" t="n"/>
      <c r="AI21" s="83" t="n"/>
      <c r="AJ21" s="83" t="n"/>
      <c r="AK21" s="83" t="n"/>
      <c r="AL21" s="83" t="n"/>
      <c r="AM21" s="83" t="n"/>
      <c r="AN21" s="83" t="n"/>
      <c r="AO21" s="83" t="n"/>
      <c r="AP21" s="73">
        <f>AP20+B21-AK21-X21-J21</f>
        <v/>
      </c>
    </row>
    <row r="22">
      <c r="A22" s="122" t="n">
        <v>46282</v>
      </c>
      <c r="B22" s="81" t="n"/>
      <c r="C22" s="81" t="n"/>
      <c r="D22" s="81">
        <f>IF(E21="","",E21)</f>
        <v/>
      </c>
      <c r="E22" s="81" t="n">
        <v>1098</v>
      </c>
      <c r="F22" s="81">
        <f>IF(OR(D22="",E22=""),"",E22-D22)</f>
        <v/>
      </c>
      <c r="G22" s="81" t="n"/>
      <c r="H22" s="81" t="n"/>
      <c r="I22" s="81" t="n"/>
      <c r="J22" s="81" t="n"/>
      <c r="K22" s="81" t="n"/>
      <c r="L22" s="81" t="n"/>
      <c r="M22" s="81" t="n"/>
      <c r="N22" s="81" t="n"/>
      <c r="O22" s="81" t="n"/>
      <c r="P22" s="122" t="n">
        <v>46282</v>
      </c>
      <c r="Q22" s="87" t="n"/>
      <c r="R22" s="87">
        <f>IF(S21="","",S21)</f>
        <v/>
      </c>
      <c r="S22" s="87" t="n">
        <v>764</v>
      </c>
      <c r="T22" s="85">
        <f>IF(OR(R22="",S22=""),"",S22-R22)</f>
        <v/>
      </c>
      <c r="U22" s="85" t="n"/>
      <c r="V22" s="85" t="n"/>
      <c r="W22" s="83" t="n"/>
      <c r="X22" s="83" t="n"/>
      <c r="Y22" s="83" t="n"/>
      <c r="Z22" s="83" t="n"/>
      <c r="AA22" s="83" t="n"/>
      <c r="AB22" s="83" t="n"/>
      <c r="AC22" s="122" t="n">
        <v>46282</v>
      </c>
      <c r="AD22" s="87" t="n"/>
      <c r="AE22" s="87">
        <f>IF(AF21="","",AF21)</f>
        <v/>
      </c>
      <c r="AF22" s="87" t="n">
        <v>424.1</v>
      </c>
      <c r="AG22" s="85">
        <f>IF(OR(AE22="",AF22=""),"",AF22-AE22)</f>
        <v/>
      </c>
      <c r="AH22" s="85" t="n"/>
      <c r="AI22" s="83" t="n"/>
      <c r="AJ22" s="83" t="n"/>
      <c r="AK22" s="83" t="n"/>
      <c r="AL22" s="83" t="n"/>
      <c r="AM22" s="83" t="n"/>
      <c r="AN22" s="83" t="n"/>
      <c r="AO22" s="83" t="n"/>
      <c r="AP22" s="73">
        <f>AP21+B22-AK22-X22-J22</f>
        <v/>
      </c>
    </row>
    <row r="23">
      <c r="A23" s="122" t="n">
        <v>46283</v>
      </c>
      <c r="B23" s="81" t="n"/>
      <c r="C23" s="81" t="n"/>
      <c r="D23" s="81">
        <f>IF(E22="","",E22)</f>
        <v/>
      </c>
      <c r="E23" s="81" t="n">
        <v>1111</v>
      </c>
      <c r="F23" s="81">
        <f>IF(OR(D23="",E23=""),"",E23-D23)</f>
        <v/>
      </c>
      <c r="G23" s="81" t="n"/>
      <c r="H23" s="81" t="n"/>
      <c r="I23" s="81" t="n"/>
      <c r="J23" s="81" t="n">
        <v>500</v>
      </c>
      <c r="K23" s="81" t="n">
        <v>1100</v>
      </c>
      <c r="L23" s="81" t="n"/>
      <c r="M23" s="81" t="n"/>
      <c r="N23" s="81" t="n"/>
      <c r="O23" s="81" t="n"/>
      <c r="P23" s="122" t="n">
        <v>46283</v>
      </c>
      <c r="Q23" s="87" t="n"/>
      <c r="R23" s="87">
        <f>IF(S22="","",S22)</f>
        <v/>
      </c>
      <c r="S23" s="87" t="n">
        <v>770</v>
      </c>
      <c r="T23" s="85">
        <f>IF(OR(R23="",S23=""),"",S23-R23)</f>
        <v/>
      </c>
      <c r="U23" s="85" t="n"/>
      <c r="V23" s="85" t="n"/>
      <c r="W23" s="83" t="n"/>
      <c r="X23" s="83" t="n"/>
      <c r="Y23" s="83" t="n"/>
      <c r="Z23" s="83">
        <f>IF(OR(X23="",Y23=""),"",IFERROR(Y23-Y20,""))</f>
        <v/>
      </c>
      <c r="AA23" s="83">
        <f>IF(OR(X23="",Y23=""),"",IFERROR(X23/Z23,""))</f>
        <v/>
      </c>
      <c r="AB23" s="83" t="n"/>
      <c r="AC23" s="122" t="n">
        <v>46283</v>
      </c>
      <c r="AD23" s="87" t="n"/>
      <c r="AE23" s="87">
        <f>IF(AF22="","",AF22)</f>
        <v/>
      </c>
      <c r="AF23" s="87" t="n">
        <v>427</v>
      </c>
      <c r="AG23" s="85">
        <f>IF(OR(AE23="",AF23=""),"",AF23-AE23)</f>
        <v/>
      </c>
      <c r="AH23" s="85" t="n"/>
      <c r="AI23" s="83" t="n"/>
      <c r="AJ23" s="83" t="n"/>
      <c r="AK23" s="83" t="n"/>
      <c r="AL23" s="83" t="n"/>
      <c r="AM23" s="83" t="n"/>
      <c r="AN23" s="83" t="n"/>
      <c r="AO23" s="83" t="n"/>
      <c r="AP23" s="73">
        <f>AP22+B23-AK23-X23-J23</f>
        <v/>
      </c>
    </row>
    <row r="24">
      <c r="A24" s="122" t="n">
        <v>46284</v>
      </c>
      <c r="B24" s="81" t="n"/>
      <c r="C24" s="81" t="n"/>
      <c r="D24" s="81">
        <f>IF(E23="","",E23)</f>
        <v/>
      </c>
      <c r="E24" s="81" t="n">
        <v>1118</v>
      </c>
      <c r="F24" s="81">
        <f>IF(OR(D24="",E24=""),"",E24-D24)</f>
        <v/>
      </c>
      <c r="G24" s="81" t="n"/>
      <c r="H24" s="81" t="n"/>
      <c r="I24" s="81" t="n"/>
      <c r="J24" s="81" t="n"/>
      <c r="K24" s="81" t="n"/>
      <c r="L24" s="81">
        <f>IF(OR(J24="",K24=""),"",IFERROR(K24-K21,""))</f>
        <v/>
      </c>
      <c r="M24" s="117">
        <f>IF(OR(J24="",K24=""),"",IFERROR(J24/L24,""))</f>
        <v/>
      </c>
      <c r="N24" s="81" t="n"/>
      <c r="O24" s="81" t="n"/>
      <c r="P24" s="122" t="n">
        <v>46284</v>
      </c>
      <c r="Q24" s="87" t="n"/>
      <c r="R24" s="87">
        <f>IF(S23="","",S23)</f>
        <v/>
      </c>
      <c r="S24" s="87" t="n">
        <v>780</v>
      </c>
      <c r="T24" s="85">
        <f>IF(OR(R24="",S24=""),"",S24-R24)</f>
        <v/>
      </c>
      <c r="U24" s="85" t="n"/>
      <c r="V24" s="85" t="n"/>
      <c r="W24" s="83" t="n"/>
      <c r="X24" s="83" t="n"/>
      <c r="Y24" s="83" t="n"/>
      <c r="Z24" s="83">
        <f>IF(OR(X24="",Y24=""),"",IFERROR(Y24-Y21,""))</f>
        <v/>
      </c>
      <c r="AA24" s="83">
        <f>IF(OR(X24="",Y24=""),"",IFERROR(X24/Z24,""))</f>
        <v/>
      </c>
      <c r="AB24" s="83" t="n"/>
      <c r="AC24" s="122" t="n">
        <v>46284</v>
      </c>
      <c r="AD24" s="87" t="n"/>
      <c r="AE24" s="87">
        <f>IF(AF23="","",AF23)</f>
        <v/>
      </c>
      <c r="AF24" s="87" t="n"/>
      <c r="AG24" s="85">
        <f>IF(OR(AE24="",AF24=""),"",AF24-AE24)</f>
        <v/>
      </c>
      <c r="AH24" s="85" t="n"/>
      <c r="AI24" s="83" t="n"/>
      <c r="AJ24" s="83" t="n"/>
      <c r="AK24" s="83" t="n"/>
      <c r="AL24" s="83" t="n"/>
      <c r="AM24" s="83" t="n"/>
      <c r="AN24" s="83" t="n"/>
      <c r="AO24" s="83" t="n"/>
      <c r="AP24" s="73">
        <f>AP23+B24-AK24-X24-J24</f>
        <v/>
      </c>
    </row>
    <row r="25">
      <c r="A25" s="122" t="n">
        <v>46285</v>
      </c>
      <c r="B25" s="81" t="n"/>
      <c r="C25" s="81" t="n"/>
      <c r="D25" s="81">
        <f>IF(E24="","",E24)</f>
        <v/>
      </c>
      <c r="E25" s="81" t="n"/>
      <c r="F25" s="81">
        <f>IF(OR(D25="",E25=""),"",E25-D25)</f>
        <v/>
      </c>
      <c r="G25" s="81" t="n"/>
      <c r="H25" s="81" t="n"/>
      <c r="I25" s="81" t="n"/>
      <c r="J25" s="81" t="n"/>
      <c r="K25" s="81" t="n"/>
      <c r="L25" s="81" t="n"/>
      <c r="M25" s="81" t="n"/>
      <c r="N25" s="81" t="n"/>
      <c r="O25" s="81" t="n"/>
      <c r="P25" s="122" t="n">
        <v>46285</v>
      </c>
      <c r="Q25" s="87" t="n"/>
      <c r="R25" s="87">
        <f>IF(S24="","",S24)</f>
        <v/>
      </c>
      <c r="S25" s="87" t="n"/>
      <c r="T25" s="85">
        <f>IF(OR(R25="",S25=""),"",S25-R25)</f>
        <v/>
      </c>
      <c r="U25" s="85" t="n"/>
      <c r="V25" s="85" t="n"/>
      <c r="W25" s="83" t="n"/>
      <c r="X25" s="83" t="n"/>
      <c r="Y25" s="83" t="n"/>
      <c r="Z25" s="83" t="n"/>
      <c r="AA25" s="83" t="n"/>
      <c r="AB25" s="83" t="n"/>
      <c r="AC25" s="122" t="n">
        <v>46285</v>
      </c>
      <c r="AD25" s="87" t="n"/>
      <c r="AE25" s="87">
        <f>IF(AF24="","",AF24)</f>
        <v/>
      </c>
      <c r="AF25" s="87" t="n"/>
      <c r="AG25" s="85">
        <f>IF(OR(AE25="",AF25=""),"",AF25-AE25)</f>
        <v/>
      </c>
      <c r="AH25" s="85" t="n"/>
      <c r="AI25" s="83" t="n"/>
      <c r="AJ25" s="83" t="n"/>
      <c r="AK25" s="83" t="n"/>
      <c r="AL25" s="83" t="n"/>
      <c r="AM25" s="83" t="n"/>
      <c r="AN25" s="83" t="n"/>
      <c r="AO25" s="83" t="n"/>
      <c r="AP25" s="73">
        <f>AP24+B25-AK25-X25-J25</f>
        <v/>
      </c>
    </row>
    <row r="26">
      <c r="A26" s="122" t="n">
        <v>46286</v>
      </c>
      <c r="B26" s="81" t="n"/>
      <c r="C26" s="81" t="n"/>
      <c r="D26" s="81">
        <f>IF(E25="","",E25)</f>
        <v/>
      </c>
      <c r="E26" s="81" t="n">
        <v>1134</v>
      </c>
      <c r="F26" s="81">
        <f>IF(OR(D26="",E26=""),"",E26-D26)</f>
        <v/>
      </c>
      <c r="G26" s="81" t="n"/>
      <c r="H26" s="81" t="n"/>
      <c r="I26" s="81" t="n"/>
      <c r="J26" s="81" t="n"/>
      <c r="K26" s="81" t="n"/>
      <c r="L26" s="81" t="n"/>
      <c r="M26" s="81" t="n"/>
      <c r="N26" s="81" t="n"/>
      <c r="O26" s="81" t="n"/>
      <c r="P26" s="122" t="n">
        <v>46286</v>
      </c>
      <c r="Q26" s="87" t="n"/>
      <c r="R26" s="87">
        <f>IF(S25="","",S25)</f>
        <v/>
      </c>
      <c r="S26" s="87" t="n"/>
      <c r="T26" s="85">
        <f>IF(OR(R26="",S26=""),"",S26-R26)</f>
        <v/>
      </c>
      <c r="U26" s="85" t="n"/>
      <c r="V26" s="85" t="n"/>
      <c r="W26" s="83" t="n"/>
      <c r="X26" s="83" t="n"/>
      <c r="Y26" s="83" t="n"/>
      <c r="Z26" s="83" t="n"/>
      <c r="AA26" s="83" t="n"/>
      <c r="AB26" s="83" t="n"/>
      <c r="AC26" s="122" t="n">
        <v>46286</v>
      </c>
      <c r="AD26" s="87" t="n"/>
      <c r="AE26" s="87">
        <f>IF(AF25="","",AF25)</f>
        <v/>
      </c>
      <c r="AF26" s="87" t="n">
        <v>439.9</v>
      </c>
      <c r="AG26" s="85">
        <f>IF(OR(AE26="",AF26=""),"",AF26-AE26)</f>
        <v/>
      </c>
      <c r="AH26" s="85" t="n"/>
      <c r="AI26" s="83" t="n"/>
      <c r="AJ26" s="83" t="n"/>
      <c r="AK26" s="83" t="n"/>
      <c r="AL26" s="83" t="n"/>
      <c r="AM26" s="83" t="n"/>
      <c r="AN26" s="103" t="n"/>
      <c r="AO26" s="83" t="n"/>
      <c r="AP26" s="73">
        <f>AP25+B26-AK26-X26-J26</f>
        <v/>
      </c>
    </row>
    <row r="27">
      <c r="A27" s="122" t="n">
        <v>46287</v>
      </c>
      <c r="B27" s="81" t="n"/>
      <c r="C27" s="81" t="n"/>
      <c r="D27" s="81">
        <f>IF(E26="","",E26)</f>
        <v/>
      </c>
      <c r="E27" s="81" t="n">
        <v>1143</v>
      </c>
      <c r="F27" s="81">
        <f>IF(OR(D27="",E27=""),"",E27-D27)</f>
        <v/>
      </c>
      <c r="G27" s="81" t="n">
        <v>10</v>
      </c>
      <c r="H27" s="81" t="n">
        <v>10</v>
      </c>
      <c r="I27" s="81" t="n"/>
      <c r="J27" s="81" t="n">
        <v>222</v>
      </c>
      <c r="K27" s="81" t="n">
        <v>1135</v>
      </c>
      <c r="L27" s="81" t="n"/>
      <c r="M27" s="81" t="n"/>
      <c r="N27" s="81" t="n"/>
      <c r="O27" s="81" t="n"/>
      <c r="P27" s="122" t="n">
        <v>46287</v>
      </c>
      <c r="Q27" s="87" t="n"/>
      <c r="R27" s="87">
        <f>IF(S26="","",S26)</f>
        <v/>
      </c>
      <c r="S27" s="87" t="n">
        <v>793</v>
      </c>
      <c r="T27" s="85">
        <f>IF(OR(R27="",S27=""),"",S27-R27)</f>
        <v/>
      </c>
      <c r="U27" s="85" t="n">
        <v>10</v>
      </c>
      <c r="V27" s="85" t="n">
        <v>10</v>
      </c>
      <c r="W27" s="83" t="n"/>
      <c r="X27" s="83" t="n">
        <v>80</v>
      </c>
      <c r="Y27" s="83" t="n">
        <v>789</v>
      </c>
      <c r="Z27" s="83">
        <f>IF(OR(X27="",Y27=""),"",IFERROR(Y27-Y24,""))</f>
        <v/>
      </c>
      <c r="AA27" s="103">
        <f>IF(OR(X27="",Y27=""),"",IFERROR(X27/Z27,""))</f>
        <v/>
      </c>
      <c r="AB27" s="83" t="n"/>
      <c r="AC27" s="122" t="n">
        <v>46287</v>
      </c>
      <c r="AD27" s="87" t="n"/>
      <c r="AE27" s="87">
        <f>IF(AF26="","",AF26)</f>
        <v/>
      </c>
      <c r="AF27" s="87" t="n">
        <v>444.5</v>
      </c>
      <c r="AG27" s="85">
        <f>IF(OR(AE27="",AF27=""),"",AF27-AE27)</f>
        <v/>
      </c>
      <c r="AH27" s="85" t="n">
        <v>10</v>
      </c>
      <c r="AI27" s="83" t="n">
        <v>10</v>
      </c>
      <c r="AJ27" s="83" t="n"/>
      <c r="AK27" s="83" t="n"/>
      <c r="AL27" s="83" t="n"/>
      <c r="AM27" s="83" t="n"/>
      <c r="AN27" s="83" t="n"/>
      <c r="AO27" s="83" t="n"/>
      <c r="AP27" s="73">
        <f>AP26+B27-AK27-X27-J27</f>
        <v/>
      </c>
    </row>
    <row r="28">
      <c r="A28" s="122" t="n">
        <v>46288</v>
      </c>
      <c r="B28" s="81" t="n"/>
      <c r="C28" s="81" t="n"/>
      <c r="D28" s="81">
        <f>IF(E27="","",E27)</f>
        <v/>
      </c>
      <c r="E28" s="81" t="n"/>
      <c r="F28" s="81">
        <f>IF(OR(D28="",E28=""),"",E28-D28)</f>
        <v/>
      </c>
      <c r="G28" s="81" t="n"/>
      <c r="H28" s="81" t="n"/>
      <c r="I28" s="81" t="n"/>
      <c r="J28" s="81" t="n"/>
      <c r="K28" s="81" t="n"/>
      <c r="L28" s="81">
        <f>IF(OR(J28="",K28=""),"",IFERROR(K28-K24,""))</f>
        <v/>
      </c>
      <c r="M28" s="81">
        <f>IF(OR(J28="",K28=""),"",IFERROR(J28/L28,""))</f>
        <v/>
      </c>
      <c r="N28" s="81" t="n"/>
      <c r="O28" s="81" t="n"/>
      <c r="P28" s="122" t="n">
        <v>46288</v>
      </c>
      <c r="Q28" s="87" t="n"/>
      <c r="R28" s="87">
        <f>IF(S27="","",S27)</f>
        <v/>
      </c>
      <c r="S28" s="87" t="n"/>
      <c r="T28" s="85">
        <f>IF(OR(R28="",S28=""),"",S28-R28)</f>
        <v/>
      </c>
      <c r="U28" s="85" t="n"/>
      <c r="V28" s="85" t="n"/>
      <c r="W28" s="83" t="n"/>
      <c r="X28" s="83" t="n"/>
      <c r="Y28" s="83" t="n"/>
      <c r="Z28" s="83" t="n"/>
      <c r="AA28" s="83" t="n"/>
      <c r="AB28" s="83" t="n"/>
      <c r="AC28" s="122" t="n">
        <v>46288</v>
      </c>
      <c r="AD28" s="87" t="n"/>
      <c r="AE28" s="87">
        <f>IF(AF27="","",AF27)</f>
        <v/>
      </c>
      <c r="AF28" s="115" t="n"/>
      <c r="AG28" s="85">
        <f>IF(OR(AE28="",AF28=""),"",AF28-AE28)</f>
        <v/>
      </c>
      <c r="AH28" s="85" t="n"/>
      <c r="AI28" s="83" t="n"/>
      <c r="AJ28" s="83" t="n"/>
      <c r="AK28" s="83" t="n"/>
      <c r="AL28" s="83" t="n"/>
      <c r="AM28" s="83" t="n"/>
      <c r="AN28" s="103" t="n"/>
      <c r="AO28" s="83" t="n"/>
      <c r="AP28" s="73">
        <f>AP27+B28-AK28-X28-J28</f>
        <v/>
      </c>
    </row>
    <row r="29">
      <c r="A29" s="122" t="n">
        <v>46289</v>
      </c>
      <c r="B29" s="81" t="n"/>
      <c r="C29" s="81" t="n"/>
      <c r="D29" s="81">
        <f>IF(E28="","",E28)</f>
        <v/>
      </c>
      <c r="E29" s="81" t="n">
        <v>1155</v>
      </c>
      <c r="F29" s="81">
        <f>IF(OR(D29="",E29=""),"",E29-D29)</f>
        <v/>
      </c>
      <c r="G29" s="81" t="n"/>
      <c r="H29" s="81" t="n"/>
      <c r="I29" s="81" t="n"/>
      <c r="J29" s="81" t="n"/>
      <c r="K29" s="81" t="n"/>
      <c r="L29" s="81" t="n"/>
      <c r="M29" s="81" t="n"/>
      <c r="N29" s="81" t="n"/>
      <c r="O29" s="81" t="n"/>
      <c r="P29" s="122" t="n">
        <v>46289</v>
      </c>
      <c r="Q29" s="87" t="n"/>
      <c r="R29" s="87">
        <f>IF(S28="","",S28)</f>
        <v/>
      </c>
      <c r="S29" s="87" t="n">
        <v>803</v>
      </c>
      <c r="T29" s="85">
        <f>IF(OR(R29="",S29=""),"",S29-R29)</f>
        <v/>
      </c>
      <c r="U29" s="85" t="n"/>
      <c r="V29" s="85" t="n"/>
      <c r="W29" s="83" t="n"/>
      <c r="X29" s="83" t="n"/>
      <c r="Y29" s="83" t="n"/>
      <c r="Z29" s="83" t="n"/>
      <c r="AA29" s="83" t="n"/>
      <c r="AB29" s="83" t="n"/>
      <c r="AC29" s="122" t="n">
        <v>46289</v>
      </c>
      <c r="AD29" s="87" t="n"/>
      <c r="AE29" s="87">
        <f>IF(AF28="","",AF28)</f>
        <v/>
      </c>
      <c r="AF29" s="115" t="n">
        <v>453.1</v>
      </c>
      <c r="AG29" s="85">
        <f>IF(OR(AE29="",AF29=""),"",AF29-AE29)</f>
        <v/>
      </c>
      <c r="AH29" s="85" t="n"/>
      <c r="AI29" s="83" t="n"/>
      <c r="AJ29" s="83" t="n"/>
      <c r="AK29" s="83" t="n"/>
      <c r="AL29" s="83" t="n"/>
      <c r="AM29" s="83" t="n"/>
      <c r="AN29" s="103">
        <f>IF(OR(AK29="",AL29=""),"",IFERROR((AK29+AK28)/AM29,""))</f>
        <v/>
      </c>
      <c r="AO29" s="83" t="n"/>
      <c r="AP29" s="73">
        <f>AP28+B29-AK29-X29-J29</f>
        <v/>
      </c>
    </row>
    <row r="30">
      <c r="A30" s="122" t="n">
        <v>46290</v>
      </c>
      <c r="B30" s="81" t="n"/>
      <c r="C30" s="81" t="n"/>
      <c r="D30" s="81">
        <f>IF(E29="","",E29)</f>
        <v/>
      </c>
      <c r="E30" s="81" t="n"/>
      <c r="F30" s="81">
        <f>IF(OR(D30="",E30=""),"",E30-D30)</f>
        <v/>
      </c>
      <c r="G30" s="81" t="n"/>
      <c r="H30" s="81" t="n"/>
      <c r="I30" s="81" t="n"/>
      <c r="J30" s="81" t="n"/>
      <c r="K30" s="81" t="n"/>
      <c r="L30" s="81" t="n"/>
      <c r="M30" s="81" t="n"/>
      <c r="N30" s="81" t="n"/>
      <c r="O30" s="81" t="n"/>
      <c r="P30" s="122" t="n">
        <v>46290</v>
      </c>
      <c r="Q30" s="87" t="n"/>
      <c r="R30" s="87">
        <f>IF(S29="","",S29)</f>
        <v/>
      </c>
      <c r="S30" s="87" t="n"/>
      <c r="T30" s="85">
        <f>IF(OR(R30="",S30=""),"",S30-R30)</f>
        <v/>
      </c>
      <c r="U30" s="85" t="n"/>
      <c r="V30" s="85" t="n"/>
      <c r="W30" s="83" t="n"/>
      <c r="X30" s="83" t="n"/>
      <c r="Y30" s="83" t="n"/>
      <c r="Z30" s="83" t="n"/>
      <c r="AA30" s="83" t="n"/>
      <c r="AB30" s="83" t="n"/>
      <c r="AC30" s="122" t="n">
        <v>46290</v>
      </c>
      <c r="AD30" s="87" t="n"/>
      <c r="AE30" s="87">
        <f>IF(AF29="","",AF29)</f>
        <v/>
      </c>
      <c r="AF30" s="115" t="n"/>
      <c r="AG30" s="85">
        <f>IF(OR(AE30="",AF30=""),"",AF30-AE30)</f>
        <v/>
      </c>
      <c r="AH30" s="85" t="n"/>
      <c r="AI30" s="83" t="n"/>
      <c r="AJ30" s="83" t="n"/>
      <c r="AK30" s="83" t="n"/>
      <c r="AL30" s="83" t="n"/>
      <c r="AM30" s="83" t="n"/>
      <c r="AN30" s="83" t="n"/>
      <c r="AO30" s="83" t="n"/>
      <c r="AP30" s="73">
        <f>AP29+B30-AK30-X30-J30</f>
        <v/>
      </c>
    </row>
    <row r="31">
      <c r="A31" s="122" t="n">
        <v>46291</v>
      </c>
      <c r="B31" s="81" t="n"/>
      <c r="C31" s="81" t="n"/>
      <c r="D31" s="81">
        <f>IF(E30="","",E30)</f>
        <v/>
      </c>
      <c r="E31" s="81" t="n"/>
      <c r="F31" s="81">
        <f>IF(OR(D31="",E31=""),"",E31-D31)</f>
        <v/>
      </c>
      <c r="G31" s="81" t="n"/>
      <c r="H31" s="81" t="n"/>
      <c r="I31" s="81" t="n"/>
      <c r="J31" s="81" t="n"/>
      <c r="K31" s="81" t="n"/>
      <c r="L31" s="81" t="inlineStr">
        <is>
          <t>N/F</t>
        </is>
      </c>
      <c r="M31" s="81" t="n"/>
      <c r="N31" s="81" t="n"/>
      <c r="O31" s="81" t="n"/>
      <c r="P31" s="122" t="n">
        <v>46291</v>
      </c>
      <c r="Q31" s="87" t="n"/>
      <c r="R31" s="87">
        <f>IF(S30="","",S30)</f>
        <v/>
      </c>
      <c r="S31" s="87" t="n"/>
      <c r="T31" s="85">
        <f>IF(OR(R31="",S31=""),"",S31-R31)</f>
        <v/>
      </c>
      <c r="U31" s="85" t="n"/>
      <c r="V31" s="85" t="n"/>
      <c r="W31" s="83" t="n"/>
      <c r="X31" s="83" t="n"/>
      <c r="Y31" s="83" t="n"/>
      <c r="Z31" s="83">
        <f>IF(OR(X31="",Y31=""),"",IFERROR(Y31-Y27,""))</f>
        <v/>
      </c>
      <c r="AA31" s="103">
        <f>IF(OR(X31="",Y31=""),"",IFERROR(X31/Z31,""))</f>
        <v/>
      </c>
      <c r="AB31" s="83" t="n"/>
      <c r="AC31" s="122" t="n">
        <v>46291</v>
      </c>
      <c r="AD31" s="87" t="n"/>
      <c r="AE31" s="87">
        <f>IF(AF30="","",AF30)</f>
        <v/>
      </c>
      <c r="AF31" s="115" t="n"/>
      <c r="AG31" s="85">
        <f>IF(OR(AE31="",AF31=""),"",AF31-AE31)</f>
        <v/>
      </c>
      <c r="AH31" s="85" t="n"/>
      <c r="AI31" s="83" t="n"/>
      <c r="AJ31" s="83" t="n"/>
      <c r="AK31" s="83" t="n"/>
      <c r="AL31" s="83" t="n"/>
      <c r="AM31" s="83" t="n"/>
      <c r="AN31" s="83" t="n"/>
      <c r="AO31" s="83" t="n"/>
      <c r="AP31" s="73">
        <f>AP30+B31-AK31-X31-J31</f>
        <v/>
      </c>
    </row>
    <row r="32">
      <c r="A32" s="122" t="n">
        <v>46292</v>
      </c>
      <c r="B32" s="81" t="n"/>
      <c r="C32" s="81" t="n"/>
      <c r="D32" s="81">
        <f>IF(E31="","",E31)</f>
        <v/>
      </c>
      <c r="E32" s="81" t="n"/>
      <c r="F32" s="81">
        <f>IF(OR(D32="",E32=""),"",E32-D32)</f>
        <v/>
      </c>
      <c r="G32" s="81" t="n"/>
      <c r="H32" s="81" t="n"/>
      <c r="I32" s="81" t="n"/>
      <c r="J32" s="81" t="n"/>
      <c r="K32" s="81" t="n"/>
      <c r="L32" s="81" t="n"/>
      <c r="M32" s="81" t="n"/>
      <c r="N32" s="81" t="n"/>
      <c r="O32" s="81" t="n"/>
      <c r="P32" s="122" t="n">
        <v>46292</v>
      </c>
      <c r="Q32" s="87" t="n"/>
      <c r="R32" s="87">
        <f>IF(S31="","",S31)</f>
        <v/>
      </c>
      <c r="S32" s="87" t="n"/>
      <c r="T32" s="85">
        <f>IF(OR(R32="",S32=""),"",S32-R32)</f>
        <v/>
      </c>
      <c r="U32" s="85" t="n"/>
      <c r="V32" s="85" t="n"/>
      <c r="W32" s="83" t="n"/>
      <c r="X32" s="83" t="n"/>
      <c r="Y32" s="83" t="n"/>
      <c r="Z32" s="83" t="n"/>
      <c r="AA32" s="83" t="n"/>
      <c r="AB32" s="83" t="n"/>
      <c r="AC32" s="122" t="n">
        <v>46292</v>
      </c>
      <c r="AD32" s="87" t="n"/>
      <c r="AE32" s="87">
        <f>IF(AF31="","",AF31)</f>
        <v/>
      </c>
      <c r="AF32" s="115" t="n"/>
      <c r="AG32" s="85">
        <f>IF(OR(AE32="",AF32=""),"",AF32-AE32)</f>
        <v/>
      </c>
      <c r="AH32" s="85" t="n"/>
      <c r="AI32" s="83" t="n"/>
      <c r="AJ32" s="83" t="n"/>
      <c r="AK32" s="83" t="n"/>
      <c r="AL32" s="83" t="n"/>
      <c r="AM32" s="83" t="n"/>
      <c r="AN32" s="83" t="n"/>
      <c r="AO32" s="83" t="n"/>
      <c r="AP32" s="73">
        <f>AP31+B32-AK32-X32-J32</f>
        <v/>
      </c>
    </row>
    <row r="33">
      <c r="A33" s="122" t="n">
        <v>46293</v>
      </c>
      <c r="B33" s="81" t="n"/>
      <c r="C33" s="81" t="n"/>
      <c r="D33" s="81">
        <f>IF(E32="","",E32)</f>
        <v/>
      </c>
      <c r="E33" s="81" t="n"/>
      <c r="F33" s="81">
        <f>IF(OR(D33="",E33=""),"",E33-D33)</f>
        <v/>
      </c>
      <c r="G33" s="81" t="n"/>
      <c r="H33" s="81" t="n"/>
      <c r="I33" s="81" t="n"/>
      <c r="J33" s="81" t="n"/>
      <c r="K33" s="81" t="n"/>
      <c r="L33" s="81" t="n"/>
      <c r="M33" s="81" t="n"/>
      <c r="N33" s="81" t="n"/>
      <c r="O33" s="81" t="n"/>
      <c r="P33" s="122" t="n">
        <v>46293</v>
      </c>
      <c r="Q33" s="87" t="n"/>
      <c r="R33" s="87">
        <f>IF(S32="","",S32)</f>
        <v/>
      </c>
      <c r="S33" s="87" t="n"/>
      <c r="T33" s="85">
        <f>IF(OR(R33="",S33=""),"",S33-R33)</f>
        <v/>
      </c>
      <c r="U33" s="85" t="n"/>
      <c r="V33" s="85" t="n"/>
      <c r="W33" s="83" t="n"/>
      <c r="X33" s="83" t="n"/>
      <c r="Y33" s="83" t="n"/>
      <c r="Z33" s="83" t="n"/>
      <c r="AA33" s="83" t="n"/>
      <c r="AB33" s="83" t="n"/>
      <c r="AC33" s="122" t="n">
        <v>46293</v>
      </c>
      <c r="AD33" s="87" t="n"/>
      <c r="AE33" s="87">
        <f>IF(AF32="","",AF32)</f>
        <v/>
      </c>
      <c r="AF33" s="115" t="n"/>
      <c r="AG33" s="85">
        <f>IF(OR(AE33="",AF33=""),"",AF33-AE33)</f>
        <v/>
      </c>
      <c r="AH33" s="85" t="n"/>
      <c r="AI33" s="83" t="n"/>
      <c r="AJ33" s="83" t="n"/>
      <c r="AK33" s="83" t="n"/>
      <c r="AL33" s="83" t="n"/>
      <c r="AM33" s="83" t="n"/>
      <c r="AN33" s="83" t="n"/>
      <c r="AO33" s="83" t="n"/>
      <c r="AP33" s="73">
        <f>AP32+B33-AK33-X33-J33</f>
        <v/>
      </c>
    </row>
    <row r="34">
      <c r="A34" s="122" t="n">
        <v>46294</v>
      </c>
      <c r="B34" s="81" t="n"/>
      <c r="C34" s="81" t="n"/>
      <c r="D34" s="81">
        <f>IF(E33="","",E33)</f>
        <v/>
      </c>
      <c r="E34" s="81" t="n"/>
      <c r="F34" s="81">
        <f>IF(OR(D34="",E34=""),"",E34-D34)</f>
        <v/>
      </c>
      <c r="G34" s="81" t="n"/>
      <c r="H34" s="81" t="n"/>
      <c r="I34" s="81" t="n"/>
      <c r="J34" s="81" t="n"/>
      <c r="K34" s="81" t="n"/>
      <c r="L34" s="81">
        <f>IF(OR(J34="",K34=""),"",IFERROR(K34-K28,""))</f>
        <v/>
      </c>
      <c r="M34" s="81">
        <f>IF(OR(J34="",K34=""),"",IFERROR((J34+J28)/L34,""))</f>
        <v/>
      </c>
      <c r="N34" s="81" t="n"/>
      <c r="O34" s="81" t="n"/>
      <c r="P34" s="122" t="n">
        <v>46294</v>
      </c>
      <c r="Q34" s="87" t="n"/>
      <c r="R34" s="87">
        <f>IF(S33="","",S33)</f>
        <v/>
      </c>
      <c r="S34" s="87" t="n"/>
      <c r="T34" s="85">
        <f>IF(OR(R34="",S34=""),"",S34-R34)</f>
        <v/>
      </c>
      <c r="U34" s="85" t="n"/>
      <c r="V34" s="85" t="n"/>
      <c r="W34" s="83" t="n"/>
      <c r="X34" s="83" t="n"/>
      <c r="Y34" s="83" t="n"/>
      <c r="Z34" s="83" t="n"/>
      <c r="AA34" s="83" t="n"/>
      <c r="AB34" s="83" t="n"/>
      <c r="AC34" s="122" t="n">
        <v>46294</v>
      </c>
      <c r="AD34" s="87" t="n"/>
      <c r="AE34" s="87">
        <f>IF(AF33="","",AF33)</f>
        <v/>
      </c>
      <c r="AF34" s="115" t="n"/>
      <c r="AG34" s="85">
        <f>IF(OR(AE34="",AF34=""),"",AF34-AE34)</f>
        <v/>
      </c>
      <c r="AH34" s="85" t="n"/>
      <c r="AI34" s="83" t="n"/>
      <c r="AJ34" s="83" t="n"/>
      <c r="AK34" s="83" t="n"/>
      <c r="AL34" s="83" t="n"/>
      <c r="AM34" s="83" t="n"/>
      <c r="AN34" s="83" t="n"/>
      <c r="AO34" s="83" t="n"/>
      <c r="AP34" s="73">
        <f>AP33+B34-AK34-X34-J34</f>
        <v/>
      </c>
    </row>
    <row r="35">
      <c r="A35" s="122" t="n">
        <v>46295</v>
      </c>
      <c r="B35" s="81" t="n"/>
      <c r="C35" s="81" t="n"/>
      <c r="D35" s="81">
        <f>IF(E34="","",E34)</f>
        <v/>
      </c>
      <c r="E35" s="81" t="n"/>
      <c r="F35" s="81">
        <f>IF(OR(D35="",E35=""),"",E35-D35)</f>
        <v/>
      </c>
      <c r="G35" s="81" t="n"/>
      <c r="H35" s="81" t="n"/>
      <c r="I35" s="81" t="n"/>
      <c r="J35" s="81" t="n"/>
      <c r="K35" s="81" t="n"/>
      <c r="L35" s="81" t="n"/>
      <c r="M35" s="117" t="n"/>
      <c r="N35" s="81" t="n"/>
      <c r="O35" s="81" t="n"/>
      <c r="P35" s="122" t="n">
        <v>46295</v>
      </c>
      <c r="Q35" s="87" t="n"/>
      <c r="R35" s="87">
        <f>IF(S34="","",S34)</f>
        <v/>
      </c>
      <c r="S35" s="87" t="n"/>
      <c r="T35" s="85">
        <f>IF(OR(R35="",S35=""),"",S35-R35)</f>
        <v/>
      </c>
      <c r="U35" s="85" t="n"/>
      <c r="V35" s="85" t="n"/>
      <c r="W35" s="83" t="n"/>
      <c r="X35" s="83" t="n"/>
      <c r="Y35" s="83" t="n"/>
      <c r="Z35" s="83" t="n"/>
      <c r="AA35" s="83" t="n"/>
      <c r="AB35" s="83" t="n"/>
      <c r="AC35" s="122" t="n">
        <v>46295</v>
      </c>
      <c r="AD35" s="87" t="n"/>
      <c r="AE35" s="87">
        <f>IF(AF34="","",AF34)</f>
        <v/>
      </c>
      <c r="AF35" s="115" t="n"/>
      <c r="AG35" s="85">
        <f>IF(OR(AE35="",AF35=""),"",AF35-AE35)</f>
        <v/>
      </c>
      <c r="AH35" s="85" t="n"/>
      <c r="AI35" s="83" t="n"/>
      <c r="AJ35" s="83" t="n"/>
      <c r="AK35" s="83" t="n"/>
      <c r="AL35" s="83" t="n"/>
      <c r="AM35" s="83" t="n"/>
      <c r="AN35" s="83" t="n"/>
      <c r="AO35" s="83" t="n"/>
      <c r="AP35" s="73">
        <f>AP34+B35-AK35-X35-J35</f>
        <v/>
      </c>
    </row>
    <row r="36">
      <c r="A36" s="122" t="n"/>
      <c r="B36" s="81" t="n"/>
      <c r="C36" s="81" t="n"/>
      <c r="D36" s="81" t="n"/>
      <c r="E36" s="81" t="n"/>
      <c r="F36" s="81" t="n"/>
      <c r="G36" s="81" t="n"/>
      <c r="H36" s="81" t="n"/>
      <c r="I36" s="81" t="n"/>
      <c r="J36" s="81" t="n"/>
      <c r="K36" s="81" t="n"/>
      <c r="L36" s="81" t="n"/>
      <c r="M36" s="81" t="n"/>
      <c r="N36" s="81" t="n"/>
      <c r="O36" s="81" t="n"/>
      <c r="P36" s="122" t="n"/>
      <c r="Q36" s="87" t="n"/>
      <c r="R36" s="87" t="n"/>
      <c r="S36" s="87" t="n"/>
      <c r="T36" s="85" t="n"/>
      <c r="U36" s="85" t="n"/>
      <c r="V36" s="85" t="n"/>
      <c r="W36" s="83" t="n"/>
      <c r="X36" s="83" t="n"/>
      <c r="Y36" s="83" t="n"/>
      <c r="Z36" s="83" t="n"/>
      <c r="AA36" s="83" t="n"/>
      <c r="AB36" s="83" t="n"/>
      <c r="AC36" s="122" t="n"/>
      <c r="AD36" s="87" t="n"/>
      <c r="AE36" s="87" t="n"/>
      <c r="AF36" s="115" t="n"/>
      <c r="AG36" s="85" t="n"/>
      <c r="AH36" s="85" t="n"/>
      <c r="AI36" s="83" t="n"/>
      <c r="AJ36" s="83" t="n"/>
      <c r="AK36" s="83" t="n"/>
      <c r="AL36" s="83" t="n"/>
      <c r="AM36" s="83" t="n"/>
      <c r="AN36" s="83" t="n"/>
      <c r="AO36" s="83" t="n"/>
      <c r="AP36" s="73" t="n"/>
    </row>
    <row r="37">
      <c r="A37" s="89" t="n"/>
      <c r="B37" s="90">
        <f>SUM(B6:B36)</f>
        <v/>
      </c>
      <c r="C37" s="89" t="inlineStr">
        <is>
          <t xml:space="preserve">Total </t>
        </is>
      </c>
      <c r="D37" s="89" t="n"/>
      <c r="E37" s="89" t="n"/>
      <c r="F37" s="90">
        <f>SUM(F6:F36)</f>
        <v/>
      </c>
      <c r="G37" s="90" t="n"/>
      <c r="H37" s="90" t="n"/>
      <c r="I37" s="90">
        <f>SUM(I6:I36)</f>
        <v/>
      </c>
      <c r="J37" s="90">
        <f>SUM(J6:J36)</f>
        <v/>
      </c>
      <c r="K37" s="89" t="n"/>
      <c r="L37" s="90">
        <f>SUM(L6:L36)</f>
        <v/>
      </c>
      <c r="M37" s="89">
        <f>IFERROR(J37/L37,"")</f>
        <v/>
      </c>
      <c r="N37" s="89" t="n"/>
      <c r="O37" s="91" t="n"/>
      <c r="P37" s="92" t="n"/>
      <c r="Q37" s="92" t="n"/>
      <c r="R37" s="92" t="n"/>
      <c r="S37" s="92" t="n"/>
      <c r="T37" s="90">
        <f>SUM(T6:T36)</f>
        <v/>
      </c>
      <c r="U37" s="90" t="n"/>
      <c r="V37" s="90" t="n"/>
      <c r="W37" s="90">
        <f>SUM(W6:W36)</f>
        <v/>
      </c>
      <c r="X37" s="90">
        <f>SUM(X6:X36)</f>
        <v/>
      </c>
      <c r="Y37" s="89" t="n"/>
      <c r="Z37" s="90">
        <f>SUM(Z6:Z36)</f>
        <v/>
      </c>
      <c r="AA37" s="89">
        <f>IFERROR(X37/Z37,"")</f>
        <v/>
      </c>
      <c r="AB37" s="93" t="n"/>
      <c r="AC37" s="92" t="n"/>
      <c r="AD37" s="92" t="n"/>
      <c r="AE37" s="92" t="n"/>
      <c r="AF37" s="92" t="n"/>
      <c r="AG37" s="90">
        <f>SUM(AG6:AG36)</f>
        <v/>
      </c>
      <c r="AH37" s="114" t="n"/>
      <c r="AI37" s="90">
        <f>SUM(AI6:AI36)</f>
        <v/>
      </c>
      <c r="AJ37" s="90" t="n"/>
      <c r="AK37" s="90">
        <f>SUM(AK6:AK36)</f>
        <v/>
      </c>
      <c r="AL37" s="89" t="n"/>
      <c r="AM37" s="90">
        <f>SUM(AM6:AM36)</f>
        <v/>
      </c>
      <c r="AN37" s="89">
        <f>IFERROR(AK37/AM37,"")</f>
        <v/>
      </c>
      <c r="AO37" s="94" t="n"/>
      <c r="AP37" s="73">
        <f>AP36</f>
        <v/>
      </c>
    </row>
    <row r="38">
      <c r="AP38" s="41" t="n"/>
      <c r="AQ38" t="inlineStr">
        <is>
          <t>DIESEL STOCK</t>
        </is>
      </c>
    </row>
    <row r="39">
      <c r="AP39" s="41">
        <f>AP37-AP38</f>
        <v/>
      </c>
    </row>
    <row r="41">
      <c r="AP41" t="n">
        <v>800</v>
      </c>
      <c r="AQ41" t="inlineStr">
        <is>
          <t>DIESEL STOCK BY RAJEEV JI</t>
        </is>
      </c>
    </row>
    <row r="42">
      <c r="AO42">
        <f>AO40-AO41</f>
        <v/>
      </c>
      <c r="AP42">
        <f>AP37-AP41</f>
        <v/>
      </c>
    </row>
    <row r="44">
      <c r="AD44">
        <f>AD43+AD42</f>
        <v/>
      </c>
    </row>
    <row r="49">
      <c r="AD49">
        <f>AD48+AD47+AD46+AD45</f>
        <v/>
      </c>
    </row>
    <row r="50">
      <c r="AD50">
        <f>AD49-AD44</f>
        <v/>
      </c>
    </row>
  </sheetData>
  <mergeCells count="12">
    <mergeCell ref="AC1:AO1"/>
    <mergeCell ref="P1:AB1"/>
    <mergeCell ref="AJ2:AO2"/>
    <mergeCell ref="K2:O2"/>
    <mergeCell ref="AC3:AO3"/>
    <mergeCell ref="A1:O1"/>
    <mergeCell ref="P3:AB3"/>
    <mergeCell ref="AC2:AI2"/>
    <mergeCell ref="A2:J2"/>
    <mergeCell ref="W2:AB2"/>
    <mergeCell ref="A3:O3"/>
    <mergeCell ref="P2:V2"/>
  </mergeCells>
  <conditionalFormatting sqref="M5:M37">
    <cfRule type="colorScale" priority="4">
      <colorScale>
        <cfvo type="min"/>
        <cfvo type="num" val="18"/>
        <color theme="0"/>
        <color rgb="FFFF0000"/>
      </colorScale>
    </cfRule>
  </conditionalFormatting>
  <conditionalFormatting sqref="AM5:AM37">
    <cfRule type="colorScale" priority="3">
      <colorScale>
        <cfvo type="num" val="15"/>
        <cfvo type="num" val="17"/>
        <color theme="0"/>
        <color rgb="FFFF0000"/>
      </colorScale>
    </cfRule>
  </conditionalFormatting>
  <conditionalFormatting sqref="AN5:AN37">
    <cfRule type="colorScale" priority="1">
      <colorScale>
        <cfvo type="num" val="15"/>
        <cfvo type="num" val="17"/>
        <color theme="0"/>
        <color rgb="FFFF0000"/>
      </colorScale>
    </cfRule>
  </conditionalFormatting>
  <pageMargins left="0.7" right="0.7" top="0.75" bottom="0.75" header="0.3" footer="0.3"/>
  <pageSetup orientation="portrait"/>
</worksheet>
</file>

<file path=xl/worksheets/sheet10.xml><?xml version="1.0" encoding="utf-8"?>
<worksheet xmlns="http://schemas.openxmlformats.org/spreadsheetml/2006/main">
  <sheetPr codeName="Sheet10">
    <outlinePr summaryBelow="1" summaryRight="1"/>
    <pageSetUpPr/>
  </sheetPr>
  <dimension ref="A1:G3"/>
  <sheetViews>
    <sheetView workbookViewId="0">
      <selection activeCell="A4" sqref="A4"/>
    </sheetView>
  </sheetViews>
  <sheetFormatPr baseColWidth="8" defaultRowHeight="15"/>
  <sheetData>
    <row r="1" ht="15.75" customHeight="1">
      <c r="A1" s="145" t="inlineStr">
        <is>
          <t>Date</t>
        </is>
      </c>
      <c r="B1" s="145" t="inlineStr">
        <is>
          <t>Rake</t>
        </is>
      </c>
      <c r="C1" s="142" t="inlineStr">
        <is>
          <t>Loading</t>
        </is>
      </c>
      <c r="D1" s="143" t="n"/>
      <c r="E1" s="144" t="inlineStr">
        <is>
          <t>Unloading</t>
        </is>
      </c>
      <c r="F1" s="143" t="n"/>
      <c r="G1" s="147" t="inlineStr">
        <is>
          <t>Counting</t>
        </is>
      </c>
    </row>
    <row r="2" ht="15.75" customHeight="1">
      <c r="A2" s="146" t="n"/>
      <c r="B2" s="146" t="n"/>
      <c r="C2" s="96" t="n">
        <v>20</v>
      </c>
      <c r="D2" s="97" t="n">
        <v>40</v>
      </c>
      <c r="E2" s="96" t="n">
        <v>20</v>
      </c>
      <c r="F2" s="98" t="n">
        <v>40</v>
      </c>
      <c r="G2" s="148" t="n"/>
    </row>
    <row r="3">
      <c r="A3" s="99" t="n">
        <v>46153</v>
      </c>
      <c r="B3" s="73" t="n">
        <v>1</v>
      </c>
      <c r="C3" s="73" t="n">
        <v>20</v>
      </c>
      <c r="D3" s="73" t="n"/>
      <c r="E3" s="73" t="n">
        <v>90</v>
      </c>
      <c r="F3" s="73" t="n"/>
      <c r="G3" s="73" t="n"/>
    </row>
  </sheetData>
  <mergeCells count="5">
    <mergeCell ref="C1:D1"/>
    <mergeCell ref="E1:F1"/>
    <mergeCell ref="B1:B2"/>
    <mergeCell ref="G1:G2"/>
    <mergeCell ref="A1:A2"/>
  </mergeCells>
  <pageMargins left="0.7" right="0.7" top="0.75" bottom="0.75" header="0.3" footer="0.3"/>
</worksheet>
</file>

<file path=xl/worksheets/sheet11.xml><?xml version="1.0" encoding="utf-8"?>
<worksheet xmlns="http://schemas.openxmlformats.org/spreadsheetml/2006/main">
  <sheetPr codeName="Sheet11">
    <outlinePr summaryBelow="1" summaryRight="1"/>
    <pageSetUpPr/>
  </sheetPr>
  <dimension ref="A1:P9"/>
  <sheetViews>
    <sheetView workbookViewId="0">
      <selection activeCell="I8" sqref="I8"/>
    </sheetView>
  </sheetViews>
  <sheetFormatPr baseColWidth="8" defaultRowHeight="15"/>
  <cols>
    <col width="7.5703125" bestFit="1" customWidth="1" min="1" max="1"/>
    <col width="14.42578125" bestFit="1" customWidth="1" min="2" max="2"/>
    <col width="12.140625" bestFit="1" customWidth="1" min="3" max="3"/>
    <col width="7.5703125" bestFit="1" customWidth="1" min="4" max="4"/>
    <col width="8.28515625" bestFit="1" customWidth="1" min="5" max="5"/>
    <col width="8.5703125" bestFit="1" customWidth="1" min="6" max="6"/>
    <col width="14.42578125" bestFit="1" customWidth="1" min="7" max="7"/>
    <col width="12.140625" bestFit="1" customWidth="1" min="8" max="8"/>
    <col width="6.5703125" bestFit="1" customWidth="1" min="9" max="9"/>
    <col width="8.28515625" bestFit="1" customWidth="1" min="10" max="10"/>
    <col width="8.5703125" bestFit="1" customWidth="1" min="11" max="11"/>
    <col width="14.42578125" bestFit="1" customWidth="1" min="12" max="12"/>
    <col width="12.140625" bestFit="1" customWidth="1" min="13" max="13"/>
    <col width="7.5703125" bestFit="1" customWidth="1" min="14" max="14"/>
    <col width="8.28515625" bestFit="1" customWidth="1" min="15" max="15"/>
    <col width="8.5703125" bestFit="1" customWidth="1" min="16" max="16"/>
  </cols>
  <sheetData>
    <row r="1" ht="29.25" customHeight="1" thickBot="1">
      <c r="A1" s="151" t="inlineStr">
        <is>
          <t>Arakkonam Chennei-JSW-Machine Average</t>
        </is>
      </c>
      <c r="B1" s="152" t="n"/>
      <c r="C1" s="152" t="n"/>
      <c r="D1" s="152" t="n"/>
      <c r="E1" s="152" t="n"/>
      <c r="F1" s="152" t="n"/>
      <c r="G1" s="152" t="n"/>
      <c r="H1" s="152" t="n"/>
      <c r="I1" s="152" t="n"/>
      <c r="J1" s="152" t="n"/>
      <c r="K1" s="152" t="n"/>
      <c r="L1" s="152" t="n"/>
      <c r="M1" s="152" t="n"/>
      <c r="N1" s="152" t="n"/>
      <c r="O1" s="152" t="n"/>
      <c r="P1" s="152" t="n"/>
    </row>
    <row r="2" ht="21" customHeight="1">
      <c r="A2" s="149" t="inlineStr">
        <is>
          <t>XCMG-1</t>
        </is>
      </c>
      <c r="B2" s="150" t="n"/>
      <c r="C2" s="150" t="n"/>
      <c r="D2" s="150" t="n"/>
      <c r="E2" s="150" t="n"/>
      <c r="F2" s="143" t="n"/>
      <c r="G2" s="154" t="inlineStr">
        <is>
          <t>XCMG-2</t>
        </is>
      </c>
      <c r="H2" s="150" t="n"/>
      <c r="I2" s="150" t="n"/>
      <c r="J2" s="150" t="n"/>
      <c r="K2" s="150" t="n"/>
      <c r="L2" s="153" t="inlineStr">
        <is>
          <t>Fork Lift - 35Ton</t>
        </is>
      </c>
      <c r="M2" s="150" t="n"/>
      <c r="N2" s="150" t="n"/>
      <c r="O2" s="150" t="n"/>
      <c r="P2" s="150" t="n"/>
    </row>
    <row r="3">
      <c r="A3" s="64" t="inlineStr">
        <is>
          <t>Date</t>
        </is>
      </c>
      <c r="B3" s="64" t="inlineStr">
        <is>
          <t>Actual Running</t>
        </is>
      </c>
      <c r="C3" s="64" t="inlineStr">
        <is>
          <t>Diesel Hours</t>
        </is>
      </c>
      <c r="D3" s="64" t="inlineStr">
        <is>
          <t>Diesel</t>
        </is>
      </c>
      <c r="E3" s="64" t="inlineStr">
        <is>
          <t>Average</t>
        </is>
      </c>
      <c r="F3" s="64" t="inlineStr">
        <is>
          <t>Remarks</t>
        </is>
      </c>
      <c r="G3" s="65" t="inlineStr">
        <is>
          <t>Actual Running</t>
        </is>
      </c>
      <c r="H3" s="65" t="inlineStr">
        <is>
          <t>Diesel Hours</t>
        </is>
      </c>
      <c r="I3" s="65" t="inlineStr">
        <is>
          <t>Diesel</t>
        </is>
      </c>
      <c r="J3" s="65" t="inlineStr">
        <is>
          <t>Average</t>
        </is>
      </c>
      <c r="K3" s="65" t="inlineStr">
        <is>
          <t>Remarks</t>
        </is>
      </c>
      <c r="L3" s="66" t="inlineStr">
        <is>
          <t>Actual Running</t>
        </is>
      </c>
      <c r="M3" s="66" t="inlineStr">
        <is>
          <t>Diesel Hours</t>
        </is>
      </c>
      <c r="N3" s="66" t="inlineStr">
        <is>
          <t>Diesel</t>
        </is>
      </c>
      <c r="O3" s="66" t="inlineStr">
        <is>
          <t>Average</t>
        </is>
      </c>
      <c r="P3" s="66" t="inlineStr">
        <is>
          <t>Remarks</t>
        </is>
      </c>
    </row>
    <row r="4">
      <c r="A4" s="67">
        <f>'Apr26'!G2</f>
        <v/>
      </c>
      <c r="B4" s="75">
        <f>'Apr26'!M35</f>
        <v/>
      </c>
      <c r="C4" s="76">
        <f>'Apr26'!M35</f>
        <v/>
      </c>
      <c r="D4" s="76">
        <f>'Apr26'!O35</f>
        <v/>
      </c>
      <c r="E4" s="77">
        <f>IFERROR(D4/C4,"")</f>
        <v/>
      </c>
      <c r="F4" s="126" t="n"/>
      <c r="G4" s="71">
        <f>'Apr26'!E35</f>
        <v/>
      </c>
      <c r="H4" s="68">
        <f>'Apr26'!E35</f>
        <v/>
      </c>
      <c r="I4" s="68">
        <f>'Apr26'!G35</f>
        <v/>
      </c>
      <c r="J4" s="70">
        <f>IFERROR(I4/H4,"")</f>
        <v/>
      </c>
      <c r="K4" s="71" t="n"/>
      <c r="L4" s="71">
        <f>'Apr26'!U35</f>
        <v/>
      </c>
      <c r="M4" s="71">
        <f>'Apr26'!U35</f>
        <v/>
      </c>
      <c r="N4" s="71">
        <f>'Apr26'!W35</f>
        <v/>
      </c>
      <c r="O4" s="70">
        <f>IFERROR(N4/M4,"")</f>
        <v/>
      </c>
      <c r="P4" s="72" t="n"/>
    </row>
    <row r="5">
      <c r="A5" s="67">
        <f>'May26-update'!G2</f>
        <v/>
      </c>
      <c r="B5" s="75">
        <f>'May-26'!E35</f>
        <v/>
      </c>
      <c r="C5" s="76">
        <f>'May-26'!K35</f>
        <v/>
      </c>
      <c r="D5" s="76">
        <f>'May-26'!I35</f>
        <v/>
      </c>
      <c r="E5" s="77">
        <f>IFERROR(D5/C5,"")</f>
        <v/>
      </c>
      <c r="F5" s="126" t="n"/>
      <c r="G5" s="71">
        <f>'May-26'!O35</f>
        <v/>
      </c>
      <c r="H5" s="68">
        <f>'May-26'!U35</f>
        <v/>
      </c>
      <c r="I5" s="68">
        <f>'May-26'!S35</f>
        <v/>
      </c>
      <c r="J5" s="70">
        <f>IFERROR(I5/H5,"")</f>
        <v/>
      </c>
      <c r="K5" s="71" t="n"/>
      <c r="L5" s="71">
        <f>'May-26'!Y35</f>
        <v/>
      </c>
      <c r="M5" s="71">
        <f>'May-26'!AA35</f>
        <v/>
      </c>
      <c r="N5" s="71">
        <f>'May-26'!Z35</f>
        <v/>
      </c>
      <c r="O5" s="70">
        <f>IFERROR(N5/M5,"")</f>
        <v/>
      </c>
      <c r="P5" s="72" t="n"/>
    </row>
    <row r="6">
      <c r="A6" s="67">
        <f>'June26-update'!G2</f>
        <v/>
      </c>
      <c r="B6" s="75">
        <f>'June-26'!F34</f>
        <v/>
      </c>
      <c r="C6" s="76">
        <f>'June-26'!L34</f>
        <v/>
      </c>
      <c r="D6" s="76">
        <f>'June-26'!J34</f>
        <v/>
      </c>
      <c r="E6" s="77">
        <f>IFERROR(D6/C6,"")</f>
        <v/>
      </c>
      <c r="F6" s="126" t="n"/>
      <c r="G6" s="71">
        <f>'June-26'!P34</f>
        <v/>
      </c>
      <c r="H6" s="68">
        <f>'June-26'!V34</f>
        <v/>
      </c>
      <c r="I6" s="68">
        <f>'June-26'!T34</f>
        <v/>
      </c>
      <c r="J6" s="70">
        <f>IFERROR(I6/H6,"")</f>
        <v/>
      </c>
      <c r="K6" s="71" t="n"/>
      <c r="L6" s="71">
        <f>'June-26'!Z34</f>
        <v/>
      </c>
      <c r="M6" s="71">
        <f>'June-26'!Z34</f>
        <v/>
      </c>
      <c r="N6" s="71">
        <f>'June-26'!AA34</f>
        <v/>
      </c>
      <c r="O6" s="70">
        <f>IFERROR(N6/M6,"")</f>
        <v/>
      </c>
      <c r="P6" s="72" t="n"/>
    </row>
    <row r="7">
      <c r="A7" s="67">
        <f>'JULY26-UPDATE'!K2</f>
        <v/>
      </c>
      <c r="B7" s="75">
        <f>'JULY26-UPDATE'!T37</f>
        <v/>
      </c>
      <c r="C7" s="76">
        <f>'JULY26-UPDATE'!Z37</f>
        <v/>
      </c>
      <c r="D7" s="76">
        <f>'JULY26-UPDATE'!X37</f>
        <v/>
      </c>
      <c r="E7" s="77">
        <f>IFERROR(D7/C7,"")</f>
        <v/>
      </c>
      <c r="F7" s="126" t="n"/>
      <c r="G7" s="71">
        <f>'JULY26-UPDATE'!F37</f>
        <v/>
      </c>
      <c r="H7" s="68">
        <f>'JULY26-UPDATE'!L37</f>
        <v/>
      </c>
      <c r="I7" s="68">
        <f>'JULY26-UPDATE'!J37</f>
        <v/>
      </c>
      <c r="J7" s="70">
        <f>IFERROR(I7/H7,"")</f>
        <v/>
      </c>
      <c r="K7" s="71" t="n"/>
      <c r="L7" s="71">
        <f>'JULY26-UPDATE'!AH37</f>
        <v/>
      </c>
      <c r="M7" s="71">
        <f>'JULY26-UPDATE'!AN37</f>
        <v/>
      </c>
      <c r="N7" s="71">
        <f>'JULY26-UPDATE'!AL37</f>
        <v/>
      </c>
      <c r="O7" s="70">
        <f>IFERROR(N7/M7,"")</f>
        <v/>
      </c>
      <c r="P7" s="72" t="n"/>
    </row>
    <row r="8">
      <c r="A8" s="67">
        <f>'Aug26-Update'!K2</f>
        <v/>
      </c>
      <c r="B8" s="75">
        <f>'Aug26-Update'!T37</f>
        <v/>
      </c>
      <c r="C8" s="76">
        <f>'Aug26-Update'!Z37</f>
        <v/>
      </c>
      <c r="D8" s="76">
        <f>'Aug26-Update'!X37</f>
        <v/>
      </c>
      <c r="E8" s="77">
        <f>IFERROR(D8/C8,"")</f>
        <v/>
      </c>
      <c r="F8" s="126" t="n"/>
      <c r="G8" s="71">
        <f>'Aug26-Update'!F37</f>
        <v/>
      </c>
      <c r="H8" s="68">
        <f>'Aug26-Update'!L37</f>
        <v/>
      </c>
      <c r="I8" s="68">
        <f>'Aug26-Update'!J37</f>
        <v/>
      </c>
      <c r="J8" s="70">
        <f>IFERROR(I8/H8,"")</f>
        <v/>
      </c>
      <c r="K8" s="71" t="n"/>
      <c r="L8" s="71">
        <f>'Aug26-Update'!AH37</f>
        <v/>
      </c>
      <c r="M8" s="71">
        <f>'Aug26-Update'!AN37</f>
        <v/>
      </c>
      <c r="N8" s="71">
        <f>'Aug26-Update'!AL37</f>
        <v/>
      </c>
      <c r="O8" s="70">
        <f>IFERROR(N8/M8,"")</f>
        <v/>
      </c>
      <c r="P8" s="72" t="n"/>
    </row>
    <row r="9">
      <c r="A9" s="67">
        <f>'Sep26-Update'!K2</f>
        <v/>
      </c>
      <c r="B9" s="75">
        <f>'Sep26-Update'!S37</f>
        <v/>
      </c>
      <c r="C9" s="76">
        <f>'Sep26-Update'!Y37</f>
        <v/>
      </c>
      <c r="D9" s="76">
        <f>'Sep26-Update'!W37</f>
        <v/>
      </c>
      <c r="E9" s="77">
        <f>IFERROR(D9/C9,"")</f>
        <v/>
      </c>
      <c r="F9" s="126" t="n"/>
      <c r="G9" s="71">
        <f>'Sep26-Update'!F37</f>
        <v/>
      </c>
      <c r="H9" s="68">
        <f>'Sep26-Update'!L37</f>
        <v/>
      </c>
      <c r="I9" s="68">
        <f>'Sep26-Update'!J37</f>
        <v/>
      </c>
      <c r="J9" s="70">
        <f>IFERROR(I9/H9,"")</f>
        <v/>
      </c>
      <c r="K9" s="71" t="n"/>
      <c r="L9" s="71">
        <f>'Sep26-Update'!AF37</f>
        <v/>
      </c>
      <c r="M9" s="71">
        <f>'Sep26-Update'!AL37</f>
        <v/>
      </c>
      <c r="N9" s="71">
        <f>'Sep26-Update'!AJ37</f>
        <v/>
      </c>
      <c r="O9" s="70">
        <f>IFERROR(N9/M9,"")</f>
        <v/>
      </c>
      <c r="P9" s="72" t="n"/>
    </row>
  </sheetData>
  <mergeCells count="4">
    <mergeCell ref="A2:F2"/>
    <mergeCell ref="A1:P1"/>
    <mergeCell ref="L2:P2"/>
    <mergeCell ref="G2:K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Nitesh</dc:creator>
  <dcterms:created xmlns:dcterms="http://purl.org/dc/terms/" xmlns:xsi="http://www.w3.org/2001/XMLSchema-instance" xsi:type="dcterms:W3CDTF">2015-06-05T18:17:20Z</dcterms:created>
  <dcterms:modified xmlns:dcterms="http://purl.org/dc/terms/" xmlns:xsi="http://www.w3.org/2001/XMLSchema-instance" xsi:type="dcterms:W3CDTF">2026-09-28T06:20:17Z</dcterms:modified>
  <cp:lastModifiedBy>MIS.TEAM</cp:lastModifiedBy>
  <cp:lastPrinted>2026-07-04T11:12:08Z</cp:lastPrinted>
</cp:coreProperties>
</file>