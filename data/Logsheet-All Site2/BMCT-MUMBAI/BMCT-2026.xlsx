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7" autoFilterDateGrouping="1"/>
  </bookViews>
  <sheets>
    <sheet xmlns:r="http://schemas.openxmlformats.org/officeDocument/2006/relationships" name="P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Apr-26" sheetId="3" state="visible" r:id="rId3"/>
    <sheet xmlns:r="http://schemas.openxmlformats.org/officeDocument/2006/relationships" name="May-26" sheetId="4" state="visible" r:id="rId4"/>
    <sheet xmlns:r="http://schemas.openxmlformats.org/officeDocument/2006/relationships" name="June-26" sheetId="5" state="visible" r:id="rId5"/>
    <sheet xmlns:r="http://schemas.openxmlformats.org/officeDocument/2006/relationships" name="JULY-26" sheetId="6" state="visible" r:id="rId6"/>
    <sheet xmlns:r="http://schemas.openxmlformats.org/officeDocument/2006/relationships" name="Aug-26" sheetId="7" state="visible" r:id="rId7"/>
    <sheet xmlns:r="http://schemas.openxmlformats.org/officeDocument/2006/relationships" name="Sep-26" sheetId="8" state="visible" r:id="rId8"/>
    <sheet xmlns:r="http://schemas.openxmlformats.org/officeDocument/2006/relationships" name="SUMMAR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#,##0;[Red]\(#,##0\);\-"/>
    <numFmt numFmtId="166" formatCode="#,##0.0;[Red]\(#,##0.0\);\-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1D2330"/>
      <sz val="14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222222"/>
      <sz val="10"/>
      <scheme val="minor"/>
    </font>
    <font>
      <name val="Calibri"/>
      <family val="2"/>
      <b val="1"/>
      <color rgb="FF222222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1D2330"/>
      </top>
      <bottom/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/>
      <right/>
      <top style="thin">
        <color rgb="FFB7B7B7"/>
      </top>
      <bottom/>
      <diagonal/>
    </border>
    <border>
      <left style="thin">
        <color rgb="FF1F1F1F"/>
      </left>
      <right style="thin">
        <color indexed="64"/>
      </right>
      <top style="thin">
        <color rgb="FF1F1F1F"/>
      </top>
      <bottom/>
      <diagonal/>
    </border>
    <border>
      <left style="thin">
        <color indexed="64"/>
      </left>
      <right style="thin">
        <color indexed="64"/>
      </right>
      <top style="thin">
        <color rgb="FF1F1F1F"/>
      </top>
      <bottom/>
      <diagonal/>
    </border>
    <border>
      <left style="thin">
        <color indexed="64"/>
      </left>
      <right style="thin">
        <color rgb="FF1F1F1F"/>
      </right>
      <top style="thin">
        <color rgb="FF1F1F1F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 style="thin">
        <color rgb="FF7F8FA6"/>
      </left>
      <right style="thin">
        <color rgb="FF7F8FA6"/>
      </right>
      <top style="thin">
        <color rgb="FF7F8FA6"/>
      </top>
      <bottom style="thin">
        <color indexed="64"/>
      </bottom>
      <diagonal/>
    </border>
    <border>
      <left style="thin">
        <color rgb="FF7F8FA6"/>
      </left>
      <right style="thin">
        <color rgb="FF7F8FA6"/>
      </right>
      <top style="thin">
        <color indexed="64"/>
      </top>
      <bottom style="thin">
        <color indexed="64"/>
      </bottom>
      <diagonal/>
    </border>
    <border>
      <left style="thin">
        <color rgb="FF7F8FA6"/>
      </left>
      <right style="thin">
        <color rgb="FF7F8FA6"/>
      </right>
      <top style="thin">
        <color indexed="64"/>
      </top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1D2330"/>
      </top>
      <bottom/>
      <diagonal/>
    </border>
    <border>
      <left/>
      <right style="thin">
        <color indexed="64"/>
      </right>
      <top style="thick">
        <color rgb="FF1D2330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8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0" fillId="2" borderId="9" applyAlignment="1" pivotButton="0" quotePrefix="0" xfId="0">
      <alignment horizontal="center"/>
    </xf>
    <xf numFmtId="164" fontId="0" fillId="2" borderId="9" applyAlignment="1" pivotButton="0" quotePrefix="0" xfId="0">
      <alignment horizontal="center" vertical="center"/>
    </xf>
    <xf numFmtId="1" fontId="0" fillId="2" borderId="9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/>
    </xf>
    <xf numFmtId="164" fontId="5" fillId="2" borderId="9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left" vertical="center"/>
    </xf>
    <xf numFmtId="164" fontId="5" fillId="0" borderId="9" applyAlignment="1" pivotButton="0" quotePrefix="0" xfId="0">
      <alignment horizontal="center"/>
    </xf>
    <xf numFmtId="164" fontId="5" fillId="0" borderId="12" applyAlignment="1" pivotButton="0" quotePrefix="0" xfId="0">
      <alignment horizontal="center"/>
    </xf>
    <xf numFmtId="164" fontId="5" fillId="0" borderId="1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2" fontId="3" fillId="0" borderId="17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164" fontId="5" fillId="4" borderId="9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4" fontId="0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7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4" borderId="9" applyAlignment="1" pivotButton="0" quotePrefix="0" xfId="0">
      <alignment horizontal="center"/>
    </xf>
    <xf numFmtId="164" fontId="0" fillId="4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20" fontId="0" fillId="0" borderId="0" pivotButton="0" quotePrefix="0" xfId="0"/>
    <xf numFmtId="46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0" fillId="2" borderId="9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10" fillId="9" borderId="36" applyAlignment="1" pivotButton="0" quotePrefix="0" xfId="0">
      <alignment horizontal="center" vertical="center" wrapText="1"/>
    </xf>
    <xf numFmtId="0" fontId="10" fillId="9" borderId="37" applyAlignment="1" pivotButton="0" quotePrefix="0" xfId="0">
      <alignment horizontal="center" vertical="center" wrapText="1"/>
    </xf>
    <xf numFmtId="0" fontId="10" fillId="9" borderId="38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/>
    </xf>
    <xf numFmtId="17" fontId="11" fillId="10" borderId="42" applyAlignment="1" pivotButton="0" quotePrefix="0" xfId="0">
      <alignment horizontal="center"/>
    </xf>
    <xf numFmtId="17" fontId="11" fillId="10" borderId="43" applyAlignment="1" pivotButton="0" quotePrefix="0" xfId="0">
      <alignment horizontal="center"/>
    </xf>
    <xf numFmtId="17" fontId="11" fillId="10" borderId="44" applyAlignment="1" pivotButton="0" quotePrefix="0" xfId="0">
      <alignment horizontal="center"/>
    </xf>
    <xf numFmtId="165" fontId="11" fillId="10" borderId="1" applyAlignment="1" pivotButton="0" quotePrefix="0" xfId="0">
      <alignment horizontal="right"/>
    </xf>
    <xf numFmtId="165" fontId="11" fillId="10" borderId="0" applyAlignment="1" pivotButton="0" quotePrefix="0" xfId="0">
      <alignment horizontal="right"/>
    </xf>
    <xf numFmtId="165" fontId="11" fillId="10" borderId="7" applyAlignment="1" pivotButton="0" quotePrefix="0" xfId="0">
      <alignment horizontal="right"/>
    </xf>
    <xf numFmtId="165" fontId="11" fillId="10" borderId="41" applyAlignment="1" pivotButton="0" quotePrefix="0" xfId="0">
      <alignment horizontal="right"/>
    </xf>
    <xf numFmtId="165" fontId="11" fillId="10" borderId="34" applyAlignment="1" pivotButton="0" quotePrefix="0" xfId="0">
      <alignment horizontal="right"/>
    </xf>
    <xf numFmtId="165" fontId="11" fillId="10" borderId="35" applyAlignment="1" pivotButton="0" quotePrefix="0" xfId="0">
      <alignment horizontal="right"/>
    </xf>
    <xf numFmtId="165" fontId="11" fillId="10" borderId="39" applyAlignment="1" pivotButton="0" quotePrefix="0" xfId="0">
      <alignment horizontal="right"/>
    </xf>
    <xf numFmtId="165" fontId="11" fillId="10" borderId="40" applyAlignment="1" pivotButton="0" quotePrefix="0" xfId="0">
      <alignment horizontal="right"/>
    </xf>
    <xf numFmtId="166" fontId="11" fillId="10" borderId="42" applyAlignment="1" pivotButton="0" quotePrefix="0" xfId="0">
      <alignment horizontal="right"/>
    </xf>
    <xf numFmtId="166" fontId="11" fillId="10" borderId="43" applyAlignment="1" pivotButton="0" quotePrefix="0" xfId="0">
      <alignment horizontal="right"/>
    </xf>
    <xf numFmtId="166" fontId="11" fillId="10" borderId="44" applyAlignment="1" pivotButton="0" quotePrefix="0" xfId="0">
      <alignment horizontal="right"/>
    </xf>
    <xf numFmtId="165" fontId="11" fillId="10" borderId="45" applyAlignment="1" pivotButton="0" quotePrefix="0" xfId="0">
      <alignment horizontal="right"/>
    </xf>
    <xf numFmtId="165" fontId="11" fillId="10" borderId="30" applyAlignment="1" pivotButton="0" quotePrefix="0" xfId="0">
      <alignment horizontal="right"/>
    </xf>
    <xf numFmtId="165" fontId="11" fillId="10" borderId="10" applyAlignment="1" pivotButton="0" quotePrefix="0" xfId="0">
      <alignment horizontal="right"/>
    </xf>
    <xf numFmtId="2" fontId="12" fillId="7" borderId="46" applyAlignment="1" pivotButton="0" quotePrefix="0" xfId="0">
      <alignment horizontal="right"/>
    </xf>
    <xf numFmtId="2" fontId="12" fillId="7" borderId="47" applyAlignment="1" pivotButton="0" quotePrefix="0" xfId="0">
      <alignment horizontal="right"/>
    </xf>
    <xf numFmtId="2" fontId="12" fillId="7" borderId="48" applyAlignment="1" pivotButton="0" quotePrefix="0" xfId="0">
      <alignment horizontal="right"/>
    </xf>
    <xf numFmtId="17" fontId="12" fillId="11" borderId="50" applyAlignment="1" pivotButton="0" quotePrefix="0" xfId="0">
      <alignment horizontal="center"/>
    </xf>
    <xf numFmtId="166" fontId="12" fillId="11" borderId="50" applyAlignment="1" pivotButton="0" quotePrefix="0" xfId="0">
      <alignment horizontal="right"/>
    </xf>
    <xf numFmtId="165" fontId="12" fillId="11" borderId="50" applyAlignment="1" pivotButton="0" quotePrefix="0" xfId="0">
      <alignment horizontal="right"/>
    </xf>
    <xf numFmtId="2" fontId="12" fillId="12" borderId="49" applyAlignment="1" pivotButton="0" quotePrefix="0" xfId="0">
      <alignment horizontal="right"/>
    </xf>
    <xf numFmtId="0" fontId="14" fillId="0" borderId="0" pivotButton="0" quotePrefix="0" xfId="0"/>
    <xf numFmtId="0" fontId="15" fillId="14" borderId="51" applyAlignment="1" pivotButton="0" quotePrefix="0" xfId="0">
      <alignment horizontal="left" vertical="top" wrapText="1"/>
    </xf>
    <xf numFmtId="0" fontId="14" fillId="0" borderId="51" applyAlignment="1" pivotButton="0" quotePrefix="0" xfId="0">
      <alignment horizontal="left" vertical="top" wrapText="1"/>
    </xf>
    <xf numFmtId="0" fontId="15" fillId="14" borderId="51" pivotButton="0" quotePrefix="0" xfId="0"/>
    <xf numFmtId="0" fontId="14" fillId="0" borderId="51" applyAlignment="1" pivotButton="0" quotePrefix="0" xfId="0">
      <alignment vertical="top" wrapText="1"/>
    </xf>
    <xf numFmtId="14" fontId="14" fillId="0" borderId="51" applyAlignment="1" pivotButton="0" quotePrefix="0" xfId="0">
      <alignment vertical="top" wrapText="1"/>
    </xf>
    <xf numFmtId="14" fontId="0" fillId="0" borderId="0" pivotButton="0" quotePrefix="0" xfId="0"/>
    <xf numFmtId="0" fontId="3" fillId="0" borderId="14" pivotButton="0" quotePrefix="0" xfId="0"/>
    <xf numFmtId="0" fontId="3" fillId="0" borderId="15" pivotButton="0" quotePrefix="0" xfId="0"/>
    <xf numFmtId="0" fontId="3" fillId="0" borderId="17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9" pivotButton="0" quotePrefix="0" xfId="0"/>
    <xf numFmtId="2" fontId="0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3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52" pivotButton="0" quotePrefix="0" xfId="0"/>
    <xf numFmtId="0" fontId="0" fillId="0" borderId="12" pivotButton="0" quotePrefix="0" xfId="0"/>
    <xf numFmtId="1" fontId="6" fillId="0" borderId="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/>
    </xf>
    <xf numFmtId="0" fontId="0" fillId="0" borderId="16" pivotButton="0" quotePrefix="0" xfId="0"/>
    <xf numFmtId="0" fontId="8" fillId="13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5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29" pivotButton="0" quotePrefix="0" xfId="0"/>
    <xf numFmtId="164" fontId="7" fillId="4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3" pivotButton="0" quotePrefix="0" xfId="0"/>
    <xf numFmtId="164" fontId="2" fillId="2" borderId="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8" fillId="6" borderId="7" applyAlignment="1" pivotButton="0" quotePrefix="0" xfId="0">
      <alignment horizontal="center" vertical="center"/>
    </xf>
    <xf numFmtId="0" fontId="9" fillId="8" borderId="3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9" fillId="7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Author</author>
  </authors>
  <commentList>
    <comment ref="J9" authorId="0" shapeId="0">
      <text>
        <t>Author:
September source tab contains completed operating entries through 08-Sep-2026; later rows are currently blank or zero.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3" sqref="A2:B3"/>
    </sheetView>
  </sheetViews>
  <sheetFormatPr baseColWidth="8" defaultRowHeight="15"/>
  <cols>
    <col width="35.42578125" bestFit="1" customWidth="1" style="140" min="1" max="1"/>
    <col width="65.140625" customWidth="1" style="140" min="2" max="2"/>
  </cols>
  <sheetData>
    <row r="1" ht="21" customHeight="1" s="140">
      <c r="A1" s="147" t="inlineStr">
        <is>
          <t>BMCT WO</t>
        </is>
      </c>
    </row>
    <row r="2" ht="15.75" customHeight="1" s="140" thickBot="1">
      <c r="A2" s="117" t="n"/>
      <c r="B2" s="117" t="n"/>
    </row>
    <row r="3" ht="15.75" customHeight="1" s="140" thickBot="1">
      <c r="A3" s="120" t="inlineStr">
        <is>
          <t>Work Order Date</t>
        </is>
      </c>
      <c r="B3" s="122" t="n">
        <v>46105</v>
      </c>
    </row>
    <row r="4" ht="15.75" customHeight="1" s="140" thickBot="1">
      <c r="A4" s="120" t="inlineStr">
        <is>
          <t>WO No.</t>
        </is>
      </c>
      <c r="B4" s="121" t="inlineStr">
        <is>
          <t>PMUMB/2026/OPS/WO-01</t>
        </is>
      </c>
    </row>
    <row r="5" ht="15.75" customHeight="1" s="140" thickBot="1">
      <c r="A5" s="120" t="inlineStr">
        <is>
          <t>Client</t>
        </is>
      </c>
      <c r="B5" s="121" t="inlineStr">
        <is>
          <t>Bharat Mumbai Container Terminals Pvt. Ltd. (BMCT) / PSA Mumbai</t>
        </is>
      </c>
    </row>
    <row r="6" ht="15.75" customHeight="1" s="140" thickBot="1">
      <c r="A6" s="120" t="inlineStr">
        <is>
          <t>Service Provider</t>
        </is>
      </c>
      <c r="B6" s="121" t="inlineStr">
        <is>
          <t>M/s. Ekta Enterprises</t>
        </is>
      </c>
    </row>
    <row r="7" ht="30.75" customHeight="1" s="140" thickBot="1">
      <c r="A7" s="120" t="inlineStr">
        <is>
          <t>Vendor Address</t>
        </is>
      </c>
      <c r="B7" s="121" t="inlineStr">
        <is>
          <t>A-19, Vidyut Nagar, Prince Road, Vaishali Nagar, Jaipur, Rajasthan, Pin 302021</t>
        </is>
      </c>
    </row>
    <row r="8" ht="15.75" customHeight="1" s="140" thickBot="1">
      <c r="A8" s="120" t="inlineStr">
        <is>
          <t>Vendor Mobile</t>
        </is>
      </c>
      <c r="B8" s="121" t="inlineStr">
        <is>
          <t>+91 97854 81867</t>
        </is>
      </c>
    </row>
    <row r="9" ht="15.75" customHeight="1" s="140" thickBot="1">
      <c r="A9" s="120" t="inlineStr">
        <is>
          <t>Vendor Email</t>
        </is>
      </c>
      <c r="B9" s="121" t="inlineStr">
        <is>
          <t>vikasjain@ektaenterprises.net</t>
        </is>
      </c>
    </row>
    <row r="10" ht="15.75" customHeight="1" s="140" thickBot="1">
      <c r="A10" s="120" t="inlineStr">
        <is>
          <t>Kind Attention</t>
        </is>
      </c>
      <c r="B10" s="121" t="inlineStr">
        <is>
          <t>Mr. Vikas Jain</t>
        </is>
      </c>
    </row>
    <row r="11" ht="30.75" customHeight="1" s="140" thickBot="1">
      <c r="A11" s="120" t="inlineStr">
        <is>
          <t>Subject</t>
        </is>
      </c>
      <c r="B11" s="121" t="inlineStr">
        <is>
          <t>Provide Two (2) New Reachstacker (RS) services to Bharat Mumbai Container Terminals Private Limited (BMCT)</t>
        </is>
      </c>
    </row>
    <row r="12" ht="30.75" customHeight="1" s="140" thickBot="1">
      <c r="A12" s="120" t="inlineStr">
        <is>
          <t>Reference</t>
        </is>
      </c>
      <c r="B12" s="121" t="inlineStr">
        <is>
          <t>BMCT RFQ through email dated 23.03.2026; final quote through email dated 23.03.2026</t>
        </is>
      </c>
    </row>
    <row r="13" ht="45.75" customHeight="1" s="140" thickBot="1">
      <c r="A13" s="120" t="inlineStr">
        <is>
          <t>Scope</t>
        </is>
      </c>
      <c r="B13" s="121" t="inlineStr">
        <is>
          <t>Provide 2 new RS on monthly rental basis with trained, experienced operators on 24x7, 365 days basis to BMCT for handling 20'/40' empty/ laden containers in BMCT container yard.</t>
        </is>
      </c>
    </row>
    <row r="14" ht="15.75" customHeight="1" s="140" thickBot="1">
      <c r="A14" s="120" t="inlineStr">
        <is>
          <t>Quantity</t>
        </is>
      </c>
      <c r="B14" s="121" t="inlineStr">
        <is>
          <t>2 nos. new Reachstackers</t>
        </is>
      </c>
    </row>
    <row r="15" ht="15.75" customHeight="1" s="140" thickBot="1">
      <c r="A15" s="120" t="inlineStr">
        <is>
          <t>Make</t>
        </is>
      </c>
      <c r="B15" s="121" t="inlineStr">
        <is>
          <t>XCMG / SANY / HYSTER</t>
        </is>
      </c>
    </row>
    <row r="16" ht="15.75" customHeight="1" s="140" thickBot="1">
      <c r="A16" s="120" t="inlineStr">
        <is>
          <t>Operating Hours</t>
        </is>
      </c>
      <c r="B16" s="121" t="inlineStr">
        <is>
          <t>540 hours per month</t>
        </is>
      </c>
    </row>
    <row r="17" ht="15.75" customHeight="1" s="140" thickBot="1">
      <c r="A17" s="120" t="inlineStr">
        <is>
          <t>Additional Hours</t>
        </is>
      </c>
      <c r="B17" s="121" t="inlineStr">
        <is>
          <t>Hours after 540/month paid extra on pro-rata basis as per actual</t>
        </is>
      </c>
    </row>
    <row r="18" ht="30.75" customHeight="1" s="140" thickBot="1">
      <c r="A18" s="120" t="inlineStr">
        <is>
          <t>Cooling Down</t>
        </is>
      </c>
      <c r="B18" s="121" t="inlineStr">
        <is>
          <t>BMCT shall allow RS to cool down for 2–3 hours per day during shifts depending on work exigency</t>
        </is>
      </c>
    </row>
    <row r="19" ht="30.75" customHeight="1" s="140" thickBot="1">
      <c r="A19" s="120" t="inlineStr">
        <is>
          <t>Preventive / Breakdown Maintenance</t>
        </is>
      </c>
      <c r="B19" s="121" t="inlineStr">
        <is>
          <t>BMCT shall allow 96 hours/month for planned &amp; breakdown maintenance</t>
        </is>
      </c>
    </row>
    <row r="20" ht="15.75" customHeight="1" s="140" thickBot="1">
      <c r="A20" s="120" t="inlineStr">
        <is>
          <t>Rate</t>
        </is>
      </c>
      <c r="B20" s="121" t="inlineStr">
        <is>
          <t>INR 8,75,000 per RS per month</t>
        </is>
      </c>
    </row>
    <row r="21" ht="15.75" customHeight="1" s="140" thickBot="1">
      <c r="A21" s="120" t="inlineStr">
        <is>
          <t>Total Monthly Value</t>
        </is>
      </c>
      <c r="B21" s="121" t="inlineStr">
        <is>
          <t>INR 17,50,000 per month for two RS</t>
        </is>
      </c>
    </row>
    <row r="22" ht="30.75" customHeight="1" s="140" thickBot="1">
      <c r="A22" s="120" t="inlineStr">
        <is>
          <t>Payment</t>
        </is>
      </c>
      <c r="B22" s="121" t="inlineStr">
        <is>
          <t>Against invoice within 30 days from date of invoice submission, on actual basis; GST extra as applicable; TDS as applicable</t>
        </is>
      </c>
    </row>
    <row r="23" ht="15.75" customHeight="1" s="140" thickBot="1">
      <c r="A23" s="120" t="inlineStr">
        <is>
          <t>Delivery</t>
        </is>
      </c>
      <c r="B23" s="121" t="inlineStr">
        <is>
          <t>First RS – one week; Second RS – two weeks</t>
        </is>
      </c>
    </row>
    <row r="24" ht="45.75" customHeight="1" s="140" thickBot="1">
      <c r="A24" s="120" t="inlineStr">
        <is>
          <t>WO Period</t>
        </is>
      </c>
      <c r="B24" s="121" t="inlineStr">
        <is>
          <t>One (1) year from date of deployment; may be extended based on BMCT requirement and satisfactory performance on mutually agreed basis</t>
        </is>
      </c>
    </row>
    <row r="25" ht="15.75" customHeight="1" s="140" thickBot="1">
      <c r="A25" s="118" t="inlineStr">
        <is>
          <t>Payment</t>
        </is>
      </c>
      <c r="B25" s="119" t="inlineStr">
        <is>
          <t>100% of certified invoice value within 30 days from bill submission</t>
        </is>
      </c>
    </row>
    <row r="26" ht="15.75" customHeight="1" s="140" thickBot="1">
      <c r="A26" s="118" t="inlineStr">
        <is>
          <t>Logbook</t>
        </is>
      </c>
      <c r="B26" s="119" t="inlineStr">
        <is>
          <t>Daily logbook to be signed by L&amp;T engineers</t>
        </is>
      </c>
    </row>
    <row r="27" ht="30.75" customHeight="1" s="140" thickBot="1">
      <c r="A27" s="118" t="inlineStr">
        <is>
          <t>Operators</t>
        </is>
      </c>
      <c r="B27" s="119" t="inlineStr">
        <is>
          <t>2 competent, medically fit, experienced operators; wages included in hire charge</t>
        </is>
      </c>
    </row>
    <row r="28" ht="30.75" customHeight="1" s="140" thickBot="1">
      <c r="A28" s="118" t="inlineStr">
        <is>
          <t>Accommodation</t>
        </is>
      </c>
      <c r="B28" s="119" t="inlineStr">
        <is>
          <t>L&amp;T will try to provide bachelor accommodation; otherwise reimbursable up to ₹1,500/person/month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"/>
  <sheetViews>
    <sheetView zoomScaleNormal="100" workbookViewId="0">
      <pane xSplit="1" ySplit="2" topLeftCell="K44" activePane="bottomRight" state="frozen"/>
      <selection activeCell="F64" sqref="F64:F65"/>
      <selection pane="topRight" activeCell="F64" sqref="F64:F65"/>
      <selection pane="bottomLeft" activeCell="F64" sqref="F64:F65"/>
      <selection pane="bottomRight" activeCell="F64" sqref="F64:F65"/>
    </sheetView>
  </sheetViews>
  <sheetFormatPr baseColWidth="8" defaultColWidth="11" defaultRowHeight="15"/>
  <cols>
    <col width="8.42578125" bestFit="1" customWidth="1" style="140" min="1" max="1"/>
    <col width="8.42578125" customWidth="1" style="140" min="2" max="2"/>
    <col width="12.42578125" bestFit="1" customWidth="1" style="140" min="6" max="6"/>
    <col width="10.7109375" bestFit="1" customWidth="1" style="140" min="7" max="7"/>
    <col width="12.5703125" bestFit="1" customWidth="1" style="140" min="8" max="8"/>
    <col width="17" bestFit="1" customWidth="1" style="140" min="9" max="9"/>
    <col width="17.85546875" customWidth="1" style="140" min="10" max="10"/>
    <col width="19.42578125" bestFit="1" customWidth="1" style="140" min="11" max="12"/>
    <col width="35" bestFit="1" customWidth="1" style="140" min="13" max="13"/>
    <col width="12.42578125" bestFit="1" customWidth="1" style="140" min="20" max="20"/>
    <col width="10.7109375" bestFit="1" customWidth="1" style="140" min="21" max="21"/>
    <col width="12.5703125" bestFit="1" customWidth="1" style="140" min="22" max="22"/>
    <col width="17.5703125" bestFit="1" customWidth="1" style="140" min="23" max="23"/>
    <col width="16.42578125" bestFit="1" customWidth="1" style="140" min="24" max="24"/>
    <col width="19.42578125" bestFit="1" customWidth="1" style="140" min="25" max="27"/>
    <col width="11.5703125" bestFit="1" customWidth="1" style="140" min="28" max="28"/>
  </cols>
  <sheetData>
    <row r="1" ht="18.75" customHeight="1" s="140">
      <c r="A1" s="152" t="inlineStr">
        <is>
          <t>SANY RST-8 DAILY EQUIPMENT REPORT - AUG-26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7" t="n"/>
      <c r="K1" s="153" t="inlineStr">
        <is>
          <t>OPERATORS DUTY SHIFT RECORD</t>
        </is>
      </c>
      <c r="L1" s="137" t="n"/>
      <c r="M1" s="77" t="n"/>
      <c r="O1" s="152" t="inlineStr">
        <is>
          <t>SANY RST-9 DAILY EQUIPMENT REPORT - AUG-26</t>
        </is>
      </c>
      <c r="P1" s="136" t="n"/>
      <c r="Q1" s="136" t="n"/>
      <c r="R1" s="136" t="n"/>
      <c r="S1" s="136" t="n"/>
      <c r="T1" s="136" t="n"/>
      <c r="U1" s="136" t="n"/>
      <c r="V1" s="136" t="n"/>
      <c r="W1" s="136" t="n"/>
      <c r="X1" s="137" t="n"/>
      <c r="Y1" s="153" t="inlineStr">
        <is>
          <t>OPERATORS DUTY SHIFT RECORD</t>
        </is>
      </c>
      <c r="Z1" s="137" t="n"/>
    </row>
    <row r="2">
      <c r="A2" s="3" t="inlineStr">
        <is>
          <t>Date</t>
        </is>
      </c>
      <c r="B2" s="3" t="inlineStr">
        <is>
          <t>SHIFT</t>
        </is>
      </c>
      <c r="C2" s="3" t="inlineStr">
        <is>
          <t>HMR START</t>
        </is>
      </c>
      <c r="D2" s="3" t="inlineStr">
        <is>
          <t>HMR END</t>
        </is>
      </c>
      <c r="E2" s="3" t="inlineStr">
        <is>
          <t>TOTAL HMR</t>
        </is>
      </c>
      <c r="F2" s="3" t="inlineStr">
        <is>
          <t>CC NO START</t>
        </is>
      </c>
      <c r="G2" s="3" t="inlineStr">
        <is>
          <t>CC NO END</t>
        </is>
      </c>
      <c r="H2" s="3" t="inlineStr">
        <is>
          <t>TOTAL CC NO</t>
        </is>
      </c>
      <c r="I2" s="3" t="inlineStr">
        <is>
          <t>FUEL FILL BY BMCT</t>
        </is>
      </c>
      <c r="J2" s="3" t="inlineStr">
        <is>
          <t>COOLING PERIOD</t>
        </is>
      </c>
      <c r="K2" s="153" t="inlineStr">
        <is>
          <t>DAY</t>
        </is>
      </c>
      <c r="L2" s="153" t="inlineStr">
        <is>
          <t>NIGHT</t>
        </is>
      </c>
      <c r="M2" s="153" t="inlineStr">
        <is>
          <t>Remarks</t>
        </is>
      </c>
      <c r="O2" s="3" t="inlineStr">
        <is>
          <t>Date</t>
        </is>
      </c>
      <c r="P2" s="3" t="inlineStr">
        <is>
          <t>SHIFT</t>
        </is>
      </c>
      <c r="Q2" s="3" t="inlineStr">
        <is>
          <t>HMR START</t>
        </is>
      </c>
      <c r="R2" s="3" t="inlineStr">
        <is>
          <t>HMR END</t>
        </is>
      </c>
      <c r="S2" s="3" t="inlineStr">
        <is>
          <t>TOTAL HMR</t>
        </is>
      </c>
      <c r="T2" s="3" t="inlineStr">
        <is>
          <t>CC NO START</t>
        </is>
      </c>
      <c r="U2" s="3" t="inlineStr">
        <is>
          <t>CC NO END</t>
        </is>
      </c>
      <c r="V2" s="3" t="inlineStr">
        <is>
          <t>TOTAL CC NO</t>
        </is>
      </c>
      <c r="W2" s="3" t="inlineStr">
        <is>
          <t>FUEL FILL BY BMCT</t>
        </is>
      </c>
      <c r="X2" s="3" t="inlineStr">
        <is>
          <t>COOLING PERIOD</t>
        </is>
      </c>
      <c r="Y2" s="153" t="inlineStr">
        <is>
          <t>DAY</t>
        </is>
      </c>
      <c r="Z2" s="153" t="inlineStr">
        <is>
          <t>NIGHT</t>
        </is>
      </c>
      <c r="AA2" s="153" t="inlineStr">
        <is>
          <t>Remarks</t>
        </is>
      </c>
    </row>
    <row r="3">
      <c r="A3" s="149" t="n">
        <v>46235</v>
      </c>
      <c r="B3" s="4" t="inlineStr">
        <is>
          <t>DAY</t>
        </is>
      </c>
      <c r="C3" s="1">
        <f>'Aug-26'!C4</f>
        <v/>
      </c>
      <c r="D3" s="1">
        <f>'Aug-26'!D4</f>
        <v/>
      </c>
      <c r="E3" s="1">
        <f>D3-C3</f>
        <v/>
      </c>
      <c r="F3" s="1">
        <f>'Aug-26'!N4</f>
        <v/>
      </c>
      <c r="G3" s="1">
        <f>'Aug-26'!O4</f>
        <v/>
      </c>
      <c r="H3" s="1">
        <f>G3-F3</f>
        <v/>
      </c>
      <c r="I3" s="151" t="n">
        <v>270</v>
      </c>
      <c r="J3" s="148" t="inlineStr">
        <is>
          <t>1 Hrs</t>
        </is>
      </c>
      <c r="K3" s="148" t="inlineStr">
        <is>
          <t>Pankaj Choudhary</t>
        </is>
      </c>
      <c r="L3" s="148" t="inlineStr">
        <is>
          <t>Kanhaiya Lal</t>
        </is>
      </c>
      <c r="M3" s="148" t="n"/>
      <c r="O3" s="149" t="n">
        <v>46235</v>
      </c>
      <c r="P3" s="4" t="inlineStr">
        <is>
          <t>DAY</t>
        </is>
      </c>
      <c r="Q3" s="1">
        <f>'Aug-26'!T4</f>
        <v/>
      </c>
      <c r="R3" s="1">
        <f>'Aug-26'!U4</f>
        <v/>
      </c>
      <c r="S3" s="1">
        <f>R3-Q3</f>
        <v/>
      </c>
      <c r="T3" s="1">
        <f>'Aug-26'!AE4</f>
        <v/>
      </c>
      <c r="U3" s="1">
        <f>'Aug-26'!AF4</f>
        <v/>
      </c>
      <c r="V3" s="1">
        <f>U3-T3</f>
        <v/>
      </c>
      <c r="W3" s="151" t="n">
        <v>200</v>
      </c>
      <c r="X3" s="148" t="inlineStr">
        <is>
          <t>1 Hrs</t>
        </is>
      </c>
      <c r="Y3" s="148" t="inlineStr">
        <is>
          <t>Aman Gupta</t>
        </is>
      </c>
      <c r="Z3" s="148" t="inlineStr">
        <is>
          <t>Rajkumar</t>
        </is>
      </c>
      <c r="AA3" s="148" t="n"/>
    </row>
    <row r="4">
      <c r="A4" s="128" t="n"/>
      <c r="B4" s="1" t="inlineStr">
        <is>
          <t>NIGHT</t>
        </is>
      </c>
      <c r="C4" s="1">
        <f>D3</f>
        <v/>
      </c>
      <c r="D4" s="1">
        <f>'Aug-26'!D5</f>
        <v/>
      </c>
      <c r="E4" s="1">
        <f>D4-C4</f>
        <v/>
      </c>
      <c r="F4" s="1">
        <f>G3</f>
        <v/>
      </c>
      <c r="G4" s="1">
        <f>'Aug-26'!O5</f>
        <v/>
      </c>
      <c r="H4" s="1">
        <f>G4-F4</f>
        <v/>
      </c>
      <c r="I4" s="151" t="n"/>
      <c r="J4" s="128" t="n"/>
      <c r="K4" s="128" t="n"/>
      <c r="L4" s="128" t="n"/>
      <c r="M4" s="128" t="n"/>
      <c r="O4" s="128" t="n"/>
      <c r="P4" s="1" t="inlineStr">
        <is>
          <t>NIGHT</t>
        </is>
      </c>
      <c r="Q4" s="1">
        <f>R3</f>
        <v/>
      </c>
      <c r="R4" s="1">
        <f>'Aug-26'!U5</f>
        <v/>
      </c>
      <c r="S4" s="1">
        <f>R4-Q4</f>
        <v/>
      </c>
      <c r="T4" s="1">
        <f>U3</f>
        <v/>
      </c>
      <c r="U4" s="1">
        <f>'Aug-26'!AF5</f>
        <v/>
      </c>
      <c r="V4" s="1">
        <f>U4-T4</f>
        <v/>
      </c>
      <c r="W4" s="151" t="n"/>
      <c r="X4" s="128" t="n"/>
      <c r="Y4" s="128" t="n"/>
      <c r="Z4" s="128" t="n"/>
      <c r="AA4" s="128" t="n"/>
    </row>
    <row r="5">
      <c r="A5" s="149">
        <f>A3+1</f>
        <v/>
      </c>
      <c r="B5" s="4" t="inlineStr">
        <is>
          <t>DAY</t>
        </is>
      </c>
      <c r="C5" s="1">
        <f>D4</f>
        <v/>
      </c>
      <c r="D5" s="1">
        <f>'Aug-26'!D6</f>
        <v/>
      </c>
      <c r="E5" s="1">
        <f>D5-C5</f>
        <v/>
      </c>
      <c r="F5" s="1">
        <f>G4</f>
        <v/>
      </c>
      <c r="G5" s="1">
        <f>'Aug-26'!O6</f>
        <v/>
      </c>
      <c r="H5" s="1">
        <f>G5-F5</f>
        <v/>
      </c>
      <c r="I5" s="151" t="n">
        <v>240</v>
      </c>
      <c r="J5" s="148" t="inlineStr">
        <is>
          <t>1 Hrs</t>
        </is>
      </c>
      <c r="K5" s="148" t="inlineStr">
        <is>
          <t>Pankaj Choudhary</t>
        </is>
      </c>
      <c r="L5" s="148" t="inlineStr">
        <is>
          <t>Kanhaiya Lal</t>
        </is>
      </c>
      <c r="M5" s="148" t="n"/>
      <c r="O5" s="149">
        <f>O3+1</f>
        <v/>
      </c>
      <c r="P5" s="4" t="inlineStr">
        <is>
          <t>DAY</t>
        </is>
      </c>
      <c r="Q5" s="1">
        <f>R4</f>
        <v/>
      </c>
      <c r="R5" s="1">
        <f>'Aug-26'!U6</f>
        <v/>
      </c>
      <c r="S5" s="1">
        <f>R5-Q5</f>
        <v/>
      </c>
      <c r="T5" s="1">
        <f>U4</f>
        <v/>
      </c>
      <c r="U5" s="1">
        <f>'Aug-26'!AF6</f>
        <v/>
      </c>
      <c r="V5" s="1">
        <f>U5-T5</f>
        <v/>
      </c>
      <c r="W5" s="151" t="n">
        <v>230</v>
      </c>
      <c r="X5" s="148" t="inlineStr">
        <is>
          <t>1 Hrs</t>
        </is>
      </c>
      <c r="Y5" s="148" t="inlineStr">
        <is>
          <t>Aman Gupta</t>
        </is>
      </c>
      <c r="Z5" s="148" t="inlineStr">
        <is>
          <t>Nazeer Choudhary</t>
        </is>
      </c>
      <c r="AA5" s="148" t="n"/>
    </row>
    <row r="6">
      <c r="A6" s="128" t="n"/>
      <c r="B6" s="1" t="inlineStr">
        <is>
          <t>NIGHT</t>
        </is>
      </c>
      <c r="C6" s="1">
        <f>D5</f>
        <v/>
      </c>
      <c r="D6" s="1">
        <f>'Aug-26'!D7</f>
        <v/>
      </c>
      <c r="E6" s="1">
        <f>D6-C6</f>
        <v/>
      </c>
      <c r="F6" s="1">
        <f>G5</f>
        <v/>
      </c>
      <c r="G6" s="1">
        <f>'Aug-26'!O7</f>
        <v/>
      </c>
      <c r="H6" s="1">
        <f>G6-F6</f>
        <v/>
      </c>
      <c r="I6" s="151" t="n"/>
      <c r="J6" s="128" t="n"/>
      <c r="K6" s="128" t="n"/>
      <c r="L6" s="128" t="n"/>
      <c r="M6" s="128" t="n"/>
      <c r="O6" s="128" t="n"/>
      <c r="P6" s="1" t="inlineStr">
        <is>
          <t>NIGHT</t>
        </is>
      </c>
      <c r="Q6" s="1">
        <f>R5</f>
        <v/>
      </c>
      <c r="R6" s="1">
        <f>'Aug-26'!U7</f>
        <v/>
      </c>
      <c r="S6" s="1">
        <f>R6-Q6</f>
        <v/>
      </c>
      <c r="T6" s="1">
        <f>U5</f>
        <v/>
      </c>
      <c r="U6" s="1">
        <f>'Aug-26'!AF7</f>
        <v/>
      </c>
      <c r="V6" s="1">
        <f>U6-T6</f>
        <v/>
      </c>
      <c r="W6" s="151" t="n"/>
      <c r="X6" s="128" t="n"/>
      <c r="Y6" s="128" t="n"/>
      <c r="Z6" s="128" t="n"/>
      <c r="AA6" s="128" t="n"/>
    </row>
    <row r="7">
      <c r="A7" s="149">
        <f>A5+1</f>
        <v/>
      </c>
      <c r="B7" s="4" t="inlineStr">
        <is>
          <t>DAY</t>
        </is>
      </c>
      <c r="C7" s="1">
        <f>D6</f>
        <v/>
      </c>
      <c r="D7" s="1">
        <f>'Aug-26'!D8</f>
        <v/>
      </c>
      <c r="E7" s="1">
        <f>D7-C7</f>
        <v/>
      </c>
      <c r="F7" s="1">
        <f>G6</f>
        <v/>
      </c>
      <c r="G7" s="1">
        <f>'Aug-26'!O8</f>
        <v/>
      </c>
      <c r="H7" s="1">
        <f>G7-F7</f>
        <v/>
      </c>
      <c r="I7" s="151" t="n">
        <v>230</v>
      </c>
      <c r="J7" s="148" t="inlineStr">
        <is>
          <t>1 Hrs</t>
        </is>
      </c>
      <c r="K7" s="148" t="inlineStr">
        <is>
          <t>Pankaj Choudhary</t>
        </is>
      </c>
      <c r="L7" s="148" t="inlineStr">
        <is>
          <t>Kanhaiya Lal</t>
        </is>
      </c>
      <c r="M7" s="148" t="n"/>
      <c r="O7" s="149">
        <f>O5+1</f>
        <v/>
      </c>
      <c r="P7" s="4" t="inlineStr">
        <is>
          <t>DAY</t>
        </is>
      </c>
      <c r="Q7" s="1">
        <f>R6</f>
        <v/>
      </c>
      <c r="R7" s="1">
        <f>'Aug-26'!U8</f>
        <v/>
      </c>
      <c r="S7" s="1">
        <f>R7-Q7</f>
        <v/>
      </c>
      <c r="T7" s="1">
        <f>U6</f>
        <v/>
      </c>
      <c r="U7" s="1">
        <f>'Aug-26'!AF8</f>
        <v/>
      </c>
      <c r="V7" s="1">
        <f>U7-T7</f>
        <v/>
      </c>
      <c r="W7" s="151" t="n">
        <v>250</v>
      </c>
      <c r="X7" s="148" t="inlineStr">
        <is>
          <t>1 Hrs</t>
        </is>
      </c>
      <c r="Y7" s="148" t="inlineStr">
        <is>
          <t>Rajkumar</t>
        </is>
      </c>
      <c r="Z7" s="148" t="inlineStr">
        <is>
          <t>Nazeer Choudhary</t>
        </is>
      </c>
      <c r="AA7" s="148" t="n"/>
    </row>
    <row r="8">
      <c r="A8" s="128" t="n"/>
      <c r="B8" s="1" t="inlineStr">
        <is>
          <t>NIGHT</t>
        </is>
      </c>
      <c r="C8" s="1">
        <f>D7</f>
        <v/>
      </c>
      <c r="D8" s="1">
        <f>'Aug-26'!D9</f>
        <v/>
      </c>
      <c r="E8" s="1">
        <f>D8-C8</f>
        <v/>
      </c>
      <c r="F8" s="1">
        <f>G7</f>
        <v/>
      </c>
      <c r="G8" s="1">
        <f>'Aug-26'!O9</f>
        <v/>
      </c>
      <c r="H8" s="1">
        <f>G8-F8</f>
        <v/>
      </c>
      <c r="I8" s="151" t="n"/>
      <c r="J8" s="128" t="n"/>
      <c r="K8" s="128" t="n"/>
      <c r="L8" s="128" t="n"/>
      <c r="M8" s="128" t="n"/>
      <c r="O8" s="128" t="n"/>
      <c r="P8" s="1" t="inlineStr">
        <is>
          <t>NIGHT</t>
        </is>
      </c>
      <c r="Q8" s="1">
        <f>R7</f>
        <v/>
      </c>
      <c r="R8" s="1">
        <f>'Aug-26'!U9</f>
        <v/>
      </c>
      <c r="S8" s="1">
        <f>R8-Q8</f>
        <v/>
      </c>
      <c r="T8" s="1">
        <f>U7</f>
        <v/>
      </c>
      <c r="U8" s="1">
        <f>'Aug-26'!AF9</f>
        <v/>
      </c>
      <c r="V8" s="1">
        <f>U8-T8</f>
        <v/>
      </c>
      <c r="W8" s="151" t="n"/>
      <c r="X8" s="128" t="n"/>
      <c r="Y8" s="128" t="n"/>
      <c r="Z8" s="128" t="n"/>
      <c r="AA8" s="128" t="n"/>
    </row>
    <row r="9">
      <c r="A9" s="149">
        <f>A7+1</f>
        <v/>
      </c>
      <c r="B9" s="4" t="inlineStr">
        <is>
          <t>DAY</t>
        </is>
      </c>
      <c r="C9" s="1">
        <f>D8</f>
        <v/>
      </c>
      <c r="D9" s="1">
        <f>'Aug-26'!D10</f>
        <v/>
      </c>
      <c r="E9" s="1">
        <f>D9-C9</f>
        <v/>
      </c>
      <c r="F9" s="1">
        <f>G8</f>
        <v/>
      </c>
      <c r="G9" s="1">
        <f>'Aug-26'!O10</f>
        <v/>
      </c>
      <c r="H9" s="1">
        <f>G9-F9</f>
        <v/>
      </c>
      <c r="I9" s="151" t="n">
        <v>230</v>
      </c>
      <c r="J9" s="148" t="inlineStr">
        <is>
          <t>1 Hrs</t>
        </is>
      </c>
      <c r="K9" s="148" t="inlineStr">
        <is>
          <t>Pankaj Choudhary</t>
        </is>
      </c>
      <c r="L9" s="148" t="inlineStr">
        <is>
          <t>Kanhaiya Lal</t>
        </is>
      </c>
      <c r="M9" s="148" t="n"/>
      <c r="O9" s="149">
        <f>O7+1</f>
        <v/>
      </c>
      <c r="P9" s="4" t="inlineStr">
        <is>
          <t>DAY</t>
        </is>
      </c>
      <c r="Q9" s="1">
        <f>R8</f>
        <v/>
      </c>
      <c r="R9" s="1">
        <f>'Aug-26'!U10</f>
        <v/>
      </c>
      <c r="S9" s="1">
        <f>R9-Q9</f>
        <v/>
      </c>
      <c r="T9" s="1">
        <f>U8</f>
        <v/>
      </c>
      <c r="U9" s="1">
        <f>'Aug-26'!AF10</f>
        <v/>
      </c>
      <c r="V9" s="1">
        <f>U9-T9</f>
        <v/>
      </c>
      <c r="W9" s="151" t="n">
        <v>250</v>
      </c>
      <c r="X9" s="148" t="inlineStr">
        <is>
          <t>1 Hrs</t>
        </is>
      </c>
      <c r="Y9" s="148" t="inlineStr">
        <is>
          <t>Rajkumar</t>
        </is>
      </c>
      <c r="Z9" s="148" t="inlineStr">
        <is>
          <t>Aman Gupta</t>
        </is>
      </c>
      <c r="AA9" s="148" t="n"/>
    </row>
    <row r="10">
      <c r="A10" s="128" t="n"/>
      <c r="B10" s="1" t="inlineStr">
        <is>
          <t>NIGHT</t>
        </is>
      </c>
      <c r="C10" s="1">
        <f>D9</f>
        <v/>
      </c>
      <c r="D10" s="1">
        <f>'Aug-26'!D11</f>
        <v/>
      </c>
      <c r="E10" s="1">
        <f>D10-C10</f>
        <v/>
      </c>
      <c r="F10" s="1">
        <f>G9</f>
        <v/>
      </c>
      <c r="G10" s="1">
        <f>'Aug-26'!O11</f>
        <v/>
      </c>
      <c r="H10" s="1">
        <f>G10-F10</f>
        <v/>
      </c>
      <c r="I10" s="151" t="n"/>
      <c r="J10" s="128" t="n"/>
      <c r="K10" s="128" t="n"/>
      <c r="L10" s="128" t="n"/>
      <c r="M10" s="128" t="n"/>
      <c r="O10" s="128" t="n"/>
      <c r="P10" s="1" t="inlineStr">
        <is>
          <t>NIGHT</t>
        </is>
      </c>
      <c r="Q10" s="1">
        <f>R9</f>
        <v/>
      </c>
      <c r="R10" s="1">
        <f>'Aug-26'!U11</f>
        <v/>
      </c>
      <c r="S10" s="1">
        <f>R10-Q10</f>
        <v/>
      </c>
      <c r="T10" s="1">
        <f>U9</f>
        <v/>
      </c>
      <c r="U10" s="1">
        <f>'Aug-26'!AF11</f>
        <v/>
      </c>
      <c r="V10" s="1">
        <f>U10-T10</f>
        <v/>
      </c>
      <c r="W10" s="151" t="n"/>
      <c r="X10" s="128" t="n"/>
      <c r="Y10" s="128" t="n"/>
      <c r="Z10" s="128" t="n"/>
      <c r="AA10" s="128" t="n"/>
    </row>
    <row r="11">
      <c r="A11" s="149">
        <f>A9+1</f>
        <v/>
      </c>
      <c r="B11" s="4" t="inlineStr">
        <is>
          <t>DAY</t>
        </is>
      </c>
      <c r="C11" s="1">
        <f>D10</f>
        <v/>
      </c>
      <c r="D11" s="1">
        <f>'Aug-26'!D12</f>
        <v/>
      </c>
      <c r="E11" s="1">
        <f>D11-C11</f>
        <v/>
      </c>
      <c r="F11" s="1">
        <f>G10</f>
        <v/>
      </c>
      <c r="G11" s="1">
        <f>'Aug-26'!O12</f>
        <v/>
      </c>
      <c r="H11" s="1">
        <f>G11-F11</f>
        <v/>
      </c>
      <c r="I11" s="151" t="n">
        <v>270</v>
      </c>
      <c r="J11" s="148" t="inlineStr">
        <is>
          <t>1 Hrs</t>
        </is>
      </c>
      <c r="K11" s="148" t="inlineStr">
        <is>
          <t>Nazeer Choudhary</t>
        </is>
      </c>
      <c r="L11" s="148" t="inlineStr">
        <is>
          <t>Pankaj Choudhary</t>
        </is>
      </c>
      <c r="M11" s="150" t="n"/>
      <c r="O11" s="149">
        <f>O9+1</f>
        <v/>
      </c>
      <c r="P11" s="4" t="inlineStr">
        <is>
          <t>DAY</t>
        </is>
      </c>
      <c r="Q11" s="1">
        <f>R10</f>
        <v/>
      </c>
      <c r="R11" s="1">
        <f>'Aug-26'!U12</f>
        <v/>
      </c>
      <c r="S11" s="1">
        <f>R11-Q11</f>
        <v/>
      </c>
      <c r="T11" s="1">
        <f>U10</f>
        <v/>
      </c>
      <c r="U11" s="1">
        <f>'Aug-26'!AF12</f>
        <v/>
      </c>
      <c r="V11" s="1">
        <f>U11-T11</f>
        <v/>
      </c>
      <c r="W11" s="151" t="n">
        <v>250</v>
      </c>
      <c r="X11" s="148" t="inlineStr">
        <is>
          <t>1 Hrs</t>
        </is>
      </c>
      <c r="Y11" s="148" t="inlineStr">
        <is>
          <t>Rajkumar</t>
        </is>
      </c>
      <c r="Z11" s="148" t="inlineStr">
        <is>
          <t>Aman Gupta</t>
        </is>
      </c>
      <c r="AA11" s="148" t="n"/>
    </row>
    <row r="12">
      <c r="A12" s="128" t="n"/>
      <c r="B12" s="1" t="inlineStr">
        <is>
          <t>NIGHT</t>
        </is>
      </c>
      <c r="C12" s="1">
        <f>D11</f>
        <v/>
      </c>
      <c r="D12" s="1">
        <f>'Aug-26'!D13</f>
        <v/>
      </c>
      <c r="E12" s="1">
        <f>D12-C12</f>
        <v/>
      </c>
      <c r="F12" s="1">
        <f>G11</f>
        <v/>
      </c>
      <c r="G12" s="1">
        <f>'Aug-26'!O13</f>
        <v/>
      </c>
      <c r="H12" s="1">
        <f>G12-F12</f>
        <v/>
      </c>
      <c r="I12" s="151" t="n"/>
      <c r="J12" s="128" t="n"/>
      <c r="K12" s="128" t="n"/>
      <c r="L12" s="128" t="n"/>
      <c r="M12" s="128" t="n"/>
      <c r="O12" s="128" t="n"/>
      <c r="P12" s="1" t="inlineStr">
        <is>
          <t>NIGHT</t>
        </is>
      </c>
      <c r="Q12" s="1">
        <f>R11</f>
        <v/>
      </c>
      <c r="R12" s="1">
        <f>'Aug-26'!U13</f>
        <v/>
      </c>
      <c r="S12" s="1">
        <f>R12-Q12</f>
        <v/>
      </c>
      <c r="T12" s="1">
        <f>U11</f>
        <v/>
      </c>
      <c r="U12" s="1">
        <f>'Aug-26'!AF13</f>
        <v/>
      </c>
      <c r="V12" s="1">
        <f>U12-T12</f>
        <v/>
      </c>
      <c r="W12" s="151" t="n"/>
      <c r="X12" s="128" t="n"/>
      <c r="Y12" s="128" t="n"/>
      <c r="Z12" s="128" t="n"/>
      <c r="AA12" s="128" t="n"/>
    </row>
    <row r="13">
      <c r="A13" s="149">
        <f>A11+1</f>
        <v/>
      </c>
      <c r="B13" s="4" t="inlineStr">
        <is>
          <t>DAY</t>
        </is>
      </c>
      <c r="C13" s="1">
        <f>D12</f>
        <v/>
      </c>
      <c r="D13" s="1">
        <f>'Aug-26'!D14</f>
        <v/>
      </c>
      <c r="E13" s="1">
        <f>D13-C13</f>
        <v/>
      </c>
      <c r="F13" s="1">
        <f>G12</f>
        <v/>
      </c>
      <c r="G13" s="1">
        <f>'Aug-26'!O14</f>
        <v/>
      </c>
      <c r="H13" s="1">
        <f>G13-F13</f>
        <v/>
      </c>
      <c r="I13" s="151" t="n">
        <v>150</v>
      </c>
      <c r="J13" s="148" t="inlineStr">
        <is>
          <t>1 Hrs</t>
        </is>
      </c>
      <c r="K13" s="148" t="inlineStr">
        <is>
          <t>Kanhaiya Lal</t>
        </is>
      </c>
      <c r="L13" s="148" t="inlineStr">
        <is>
          <t>Pankaj Choudhary</t>
        </is>
      </c>
      <c r="M13" s="148" t="n"/>
      <c r="O13" s="149">
        <f>O11+1</f>
        <v/>
      </c>
      <c r="P13" s="4" t="inlineStr">
        <is>
          <t>DAY</t>
        </is>
      </c>
      <c r="Q13" s="1">
        <f>R12</f>
        <v/>
      </c>
      <c r="R13" s="1">
        <f>'Aug-26'!U14</f>
        <v/>
      </c>
      <c r="S13" s="1">
        <f>R13-Q13</f>
        <v/>
      </c>
      <c r="T13" s="1">
        <f>U12</f>
        <v/>
      </c>
      <c r="U13" s="1">
        <f>'Aug-26'!AF14</f>
        <v/>
      </c>
      <c r="V13" s="1">
        <f>U13-T13</f>
        <v/>
      </c>
      <c r="W13" s="151" t="n">
        <v>200</v>
      </c>
      <c r="X13" s="148" t="inlineStr">
        <is>
          <t>1 Hrs</t>
        </is>
      </c>
      <c r="Y13" s="148" t="inlineStr">
        <is>
          <t>Nazeer Choudhary</t>
        </is>
      </c>
      <c r="Z13" s="148" t="inlineStr">
        <is>
          <t>Aman Gupta</t>
        </is>
      </c>
      <c r="AA13" s="148" t="n"/>
    </row>
    <row r="14">
      <c r="A14" s="128" t="n"/>
      <c r="B14" s="1" t="inlineStr">
        <is>
          <t>NIGHT</t>
        </is>
      </c>
      <c r="C14" s="1">
        <f>D13</f>
        <v/>
      </c>
      <c r="D14" s="1">
        <f>'Aug-26'!D15</f>
        <v/>
      </c>
      <c r="E14" s="1">
        <f>D14-C14</f>
        <v/>
      </c>
      <c r="F14" s="1">
        <f>G13</f>
        <v/>
      </c>
      <c r="G14" s="1">
        <f>'Aug-26'!O15</f>
        <v/>
      </c>
      <c r="H14" s="1">
        <f>G14-F14</f>
        <v/>
      </c>
      <c r="I14" s="151" t="n"/>
      <c r="J14" s="128" t="n"/>
      <c r="K14" s="128" t="n"/>
      <c r="L14" s="128" t="n"/>
      <c r="M14" s="128" t="n"/>
      <c r="O14" s="128" t="n"/>
      <c r="P14" s="1" t="inlineStr">
        <is>
          <t>NIGHT</t>
        </is>
      </c>
      <c r="Q14" s="1">
        <f>R13</f>
        <v/>
      </c>
      <c r="R14" s="1">
        <f>'Aug-26'!U15</f>
        <v/>
      </c>
      <c r="S14" s="1">
        <f>R14-Q14</f>
        <v/>
      </c>
      <c r="T14" s="1">
        <f>U13</f>
        <v/>
      </c>
      <c r="U14" s="1">
        <f>'Aug-26'!AF15</f>
        <v/>
      </c>
      <c r="V14" s="1">
        <f>U14-T14</f>
        <v/>
      </c>
      <c r="W14" s="151" t="n"/>
      <c r="X14" s="128" t="n"/>
      <c r="Y14" s="128" t="n"/>
      <c r="Z14" s="128" t="n"/>
      <c r="AA14" s="128" t="n"/>
    </row>
    <row r="15">
      <c r="A15" s="149">
        <f>A13+1</f>
        <v/>
      </c>
      <c r="B15" s="4" t="inlineStr">
        <is>
          <t>DAY</t>
        </is>
      </c>
      <c r="C15" s="1">
        <f>D14</f>
        <v/>
      </c>
      <c r="D15" s="1">
        <f>'Aug-26'!D16</f>
        <v/>
      </c>
      <c r="E15" s="1">
        <f>D15-C15</f>
        <v/>
      </c>
      <c r="F15" s="1">
        <f>G14</f>
        <v/>
      </c>
      <c r="G15" s="1">
        <f>'Aug-26'!O16</f>
        <v/>
      </c>
      <c r="H15" s="1">
        <f>G15-F15</f>
        <v/>
      </c>
      <c r="I15" s="151" t="n">
        <v>250</v>
      </c>
      <c r="J15" s="148" t="inlineStr">
        <is>
          <t>1 Hrs</t>
        </is>
      </c>
      <c r="K15" s="148" t="inlineStr">
        <is>
          <t>Kanhaiya Lal</t>
        </is>
      </c>
      <c r="L15" s="148" t="inlineStr">
        <is>
          <t>Pankaj Choudhary</t>
        </is>
      </c>
      <c r="M15" s="148" t="n"/>
      <c r="O15" s="149">
        <f>O13+1</f>
        <v/>
      </c>
      <c r="P15" s="4" t="inlineStr">
        <is>
          <t>DAY</t>
        </is>
      </c>
      <c r="Q15" s="1">
        <f>R14</f>
        <v/>
      </c>
      <c r="R15" s="1">
        <f>'Aug-26'!U16</f>
        <v/>
      </c>
      <c r="S15" s="1">
        <f>R15-Q15</f>
        <v/>
      </c>
      <c r="T15" s="1">
        <f>U14</f>
        <v/>
      </c>
      <c r="U15" s="1">
        <f>'Aug-26'!AF16</f>
        <v/>
      </c>
      <c r="V15" s="1">
        <f>U15-T15</f>
        <v/>
      </c>
      <c r="W15" s="151" t="n">
        <v>200</v>
      </c>
      <c r="X15" s="148" t="inlineStr">
        <is>
          <t>1 Hrs</t>
        </is>
      </c>
      <c r="Y15" s="148" t="inlineStr">
        <is>
          <t>Nazeer Choudhary</t>
        </is>
      </c>
      <c r="Z15" s="148" t="inlineStr">
        <is>
          <t>Rajkumar</t>
        </is>
      </c>
      <c r="AA15" s="148" t="n"/>
    </row>
    <row r="16">
      <c r="A16" s="128" t="n"/>
      <c r="B16" s="1" t="inlineStr">
        <is>
          <t>NIGHT</t>
        </is>
      </c>
      <c r="C16" s="1">
        <f>D15</f>
        <v/>
      </c>
      <c r="D16" s="1">
        <f>'Aug-26'!D17</f>
        <v/>
      </c>
      <c r="E16" s="1">
        <f>D16-C16</f>
        <v/>
      </c>
      <c r="F16" s="1">
        <f>G15</f>
        <v/>
      </c>
      <c r="G16" s="1">
        <f>'Aug-26'!O17</f>
        <v/>
      </c>
      <c r="H16" s="1">
        <f>G16-F16</f>
        <v/>
      </c>
      <c r="I16" s="151" t="n"/>
      <c r="J16" s="128" t="n"/>
      <c r="K16" s="128" t="n"/>
      <c r="L16" s="128" t="n"/>
      <c r="M16" s="128" t="n"/>
      <c r="O16" s="128" t="n"/>
      <c r="P16" s="1" t="inlineStr">
        <is>
          <t>NIGHT</t>
        </is>
      </c>
      <c r="Q16" s="1">
        <f>R15</f>
        <v/>
      </c>
      <c r="R16" s="1">
        <f>'Aug-26'!U17</f>
        <v/>
      </c>
      <c r="S16" s="1">
        <f>R16-Q16</f>
        <v/>
      </c>
      <c r="T16" s="1">
        <f>U15</f>
        <v/>
      </c>
      <c r="U16" s="1">
        <f>'Aug-26'!AF17</f>
        <v/>
      </c>
      <c r="V16" s="1">
        <f>U16-T16</f>
        <v/>
      </c>
      <c r="W16" s="151" t="n"/>
      <c r="X16" s="128" t="n"/>
      <c r="Y16" s="128" t="n"/>
      <c r="Z16" s="128" t="n"/>
      <c r="AA16" s="128" t="n"/>
    </row>
    <row r="17">
      <c r="A17" s="149">
        <f>A15+1</f>
        <v/>
      </c>
      <c r="B17" s="4" t="inlineStr">
        <is>
          <t>DAY</t>
        </is>
      </c>
      <c r="C17" s="1">
        <f>D16</f>
        <v/>
      </c>
      <c r="D17" s="1">
        <f>'Aug-26'!D18</f>
        <v/>
      </c>
      <c r="E17" s="1">
        <f>D17-C17</f>
        <v/>
      </c>
      <c r="F17" s="1">
        <f>G16</f>
        <v/>
      </c>
      <c r="G17" s="1">
        <f>'Aug-26'!O18</f>
        <v/>
      </c>
      <c r="H17" s="1">
        <f>G17-F17</f>
        <v/>
      </c>
      <c r="I17" s="151" t="n">
        <v>230</v>
      </c>
      <c r="J17" s="148" t="inlineStr">
        <is>
          <t>1 Hrs</t>
        </is>
      </c>
      <c r="K17" s="148" t="inlineStr">
        <is>
          <t>Kanhaiya Lal</t>
        </is>
      </c>
      <c r="L17" s="148" t="inlineStr">
        <is>
          <t>Pankaj Choudhary</t>
        </is>
      </c>
      <c r="M17" s="148" t="n"/>
      <c r="O17" s="149">
        <f>O15+1</f>
        <v/>
      </c>
      <c r="P17" s="4" t="inlineStr">
        <is>
          <t>DAY</t>
        </is>
      </c>
      <c r="Q17" s="1">
        <f>R16</f>
        <v/>
      </c>
      <c r="R17" s="1">
        <f>'Aug-26'!U18</f>
        <v/>
      </c>
      <c r="S17" s="1">
        <f>R17-Q17</f>
        <v/>
      </c>
      <c r="T17" s="1">
        <f>U16</f>
        <v/>
      </c>
      <c r="U17" s="1">
        <f>'Aug-26'!AF18</f>
        <v/>
      </c>
      <c r="V17" s="1">
        <f>U17-T17</f>
        <v/>
      </c>
      <c r="W17" s="151" t="n">
        <v>170</v>
      </c>
      <c r="X17" s="148" t="inlineStr">
        <is>
          <t>1 Hrs</t>
        </is>
      </c>
      <c r="Y17" s="148" t="inlineStr">
        <is>
          <t>Aman Gupta</t>
        </is>
      </c>
      <c r="Z17" s="148" t="inlineStr">
        <is>
          <t>Rajkumar</t>
        </is>
      </c>
      <c r="AA17" s="148" t="n"/>
    </row>
    <row r="18">
      <c r="A18" s="128" t="n"/>
      <c r="B18" s="1" t="inlineStr">
        <is>
          <t>NIGHT</t>
        </is>
      </c>
      <c r="C18" s="1">
        <f>D17</f>
        <v/>
      </c>
      <c r="D18" s="1">
        <f>'Aug-26'!D19</f>
        <v/>
      </c>
      <c r="E18" s="1">
        <f>D18-C18</f>
        <v/>
      </c>
      <c r="F18" s="1">
        <f>G17</f>
        <v/>
      </c>
      <c r="G18" s="1">
        <f>'Aug-26'!O19</f>
        <v/>
      </c>
      <c r="H18" s="1">
        <f>G18-F18</f>
        <v/>
      </c>
      <c r="I18" s="151" t="n"/>
      <c r="J18" s="128" t="n"/>
      <c r="K18" s="128" t="n"/>
      <c r="L18" s="128" t="n"/>
      <c r="M18" s="128" t="n"/>
      <c r="O18" s="128" t="n"/>
      <c r="P18" s="1" t="inlineStr">
        <is>
          <t>NIGHT</t>
        </is>
      </c>
      <c r="Q18" s="1">
        <f>R17</f>
        <v/>
      </c>
      <c r="R18" s="1">
        <f>'Aug-26'!U19</f>
        <v/>
      </c>
      <c r="S18" s="1">
        <f>R18-Q18</f>
        <v/>
      </c>
      <c r="T18" s="1">
        <f>U17</f>
        <v/>
      </c>
      <c r="U18" s="1">
        <f>'Aug-26'!AF19</f>
        <v/>
      </c>
      <c r="V18" s="1">
        <f>U18-T18</f>
        <v/>
      </c>
      <c r="W18" s="151" t="n"/>
      <c r="X18" s="128" t="n"/>
      <c r="Y18" s="128" t="n"/>
      <c r="Z18" s="128" t="n"/>
      <c r="AA18" s="128" t="n"/>
    </row>
    <row r="19">
      <c r="A19" s="149">
        <f>A17+1</f>
        <v/>
      </c>
      <c r="B19" s="4" t="inlineStr">
        <is>
          <t>DAY</t>
        </is>
      </c>
      <c r="C19" s="1">
        <f>D18</f>
        <v/>
      </c>
      <c r="D19" s="1">
        <f>'Aug-26'!D20</f>
        <v/>
      </c>
      <c r="E19" s="1">
        <f>D19-C19</f>
        <v/>
      </c>
      <c r="F19" s="1">
        <f>G18</f>
        <v/>
      </c>
      <c r="G19" s="1">
        <f>'Aug-26'!O20</f>
        <v/>
      </c>
      <c r="H19" s="1">
        <f>G19-F19</f>
        <v/>
      </c>
      <c r="I19" s="151" t="n">
        <v>200</v>
      </c>
      <c r="J19" s="148" t="inlineStr">
        <is>
          <t>1 Hrs</t>
        </is>
      </c>
      <c r="K19" s="148" t="inlineStr">
        <is>
          <t>Kanhaiya Lal</t>
        </is>
      </c>
      <c r="L19" s="148" t="inlineStr">
        <is>
          <t>Nazeer Choudhary</t>
        </is>
      </c>
      <c r="M19" s="148" t="n"/>
      <c r="O19" s="149">
        <f>O17+1</f>
        <v/>
      </c>
      <c r="P19" s="4" t="inlineStr">
        <is>
          <t>DAY</t>
        </is>
      </c>
      <c r="Q19" s="1">
        <f>R18</f>
        <v/>
      </c>
      <c r="R19" s="1">
        <f>'Aug-26'!U20</f>
        <v/>
      </c>
      <c r="S19" s="1">
        <f>R19-Q19</f>
        <v/>
      </c>
      <c r="T19" s="1">
        <f>U18</f>
        <v/>
      </c>
      <c r="U19" s="1">
        <f>'Aug-26'!AF20</f>
        <v/>
      </c>
      <c r="V19" s="1">
        <f>U19-T19</f>
        <v/>
      </c>
      <c r="W19" s="151" t="n">
        <v>230</v>
      </c>
      <c r="X19" s="148" t="inlineStr">
        <is>
          <t>1 Hrs</t>
        </is>
      </c>
      <c r="Y19" s="148" t="inlineStr">
        <is>
          <t>Aman Gupta</t>
        </is>
      </c>
      <c r="Z19" s="148" t="inlineStr">
        <is>
          <t>Rajkumar</t>
        </is>
      </c>
      <c r="AA19" s="148" t="n"/>
    </row>
    <row r="20">
      <c r="A20" s="128" t="n"/>
      <c r="B20" s="1" t="inlineStr">
        <is>
          <t>NIGHT</t>
        </is>
      </c>
      <c r="C20" s="1">
        <f>D19</f>
        <v/>
      </c>
      <c r="D20" s="1">
        <f>'Aug-26'!D21</f>
        <v/>
      </c>
      <c r="E20" s="1">
        <f>D20-C20</f>
        <v/>
      </c>
      <c r="F20" s="1">
        <f>G19</f>
        <v/>
      </c>
      <c r="G20" s="1">
        <f>'Aug-26'!O21</f>
        <v/>
      </c>
      <c r="H20" s="1">
        <f>G20-F20</f>
        <v/>
      </c>
      <c r="I20" s="151" t="n"/>
      <c r="J20" s="128" t="n"/>
      <c r="K20" s="128" t="n"/>
      <c r="L20" s="128" t="n"/>
      <c r="M20" s="128" t="n"/>
      <c r="O20" s="128" t="n"/>
      <c r="P20" s="1" t="inlineStr">
        <is>
          <t>NIGHT</t>
        </is>
      </c>
      <c r="Q20" s="1">
        <f>R19</f>
        <v/>
      </c>
      <c r="R20" s="1">
        <f>'Aug-26'!U21</f>
        <v/>
      </c>
      <c r="S20" s="1">
        <f>R20-Q20</f>
        <v/>
      </c>
      <c r="T20" s="1">
        <f>U19</f>
        <v/>
      </c>
      <c r="U20" s="1">
        <f>'Aug-26'!AF21</f>
        <v/>
      </c>
      <c r="V20" s="1">
        <f>U20-T20</f>
        <v/>
      </c>
      <c r="W20" s="151" t="n"/>
      <c r="X20" s="128" t="n"/>
      <c r="Y20" s="128" t="n"/>
      <c r="Z20" s="128" t="n"/>
      <c r="AA20" s="128" t="n"/>
    </row>
    <row r="21">
      <c r="A21" s="149">
        <f>A19+1</f>
        <v/>
      </c>
      <c r="B21" s="4" t="inlineStr">
        <is>
          <t>DAY</t>
        </is>
      </c>
      <c r="C21" s="1">
        <f>D20</f>
        <v/>
      </c>
      <c r="D21" s="1">
        <f>'Aug-26'!D22</f>
        <v/>
      </c>
      <c r="E21" s="1">
        <f>D21-C21</f>
        <v/>
      </c>
      <c r="F21" s="1">
        <f>G20</f>
        <v/>
      </c>
      <c r="G21" s="1">
        <f>'Aug-26'!O22</f>
        <v/>
      </c>
      <c r="H21" s="1">
        <f>G21-F21</f>
        <v/>
      </c>
      <c r="I21" s="151" t="n">
        <v>340</v>
      </c>
      <c r="J21" s="148" t="inlineStr">
        <is>
          <t>1 Hrs</t>
        </is>
      </c>
      <c r="K21" s="148" t="inlineStr">
        <is>
          <t>Pankaj Choudhary</t>
        </is>
      </c>
      <c r="L21" s="148" t="inlineStr">
        <is>
          <t>Nazeer Choudhary</t>
        </is>
      </c>
      <c r="M21" s="148" t="n"/>
      <c r="O21" s="149">
        <f>O19+1</f>
        <v/>
      </c>
      <c r="P21" s="4" t="inlineStr">
        <is>
          <t>DAY</t>
        </is>
      </c>
      <c r="Q21" s="1">
        <f>R20</f>
        <v/>
      </c>
      <c r="R21" s="1">
        <f>'Aug-26'!U22</f>
        <v/>
      </c>
      <c r="S21" s="1">
        <f>R21-Q21</f>
        <v/>
      </c>
      <c r="T21" s="1">
        <f>U20</f>
        <v/>
      </c>
      <c r="U21" s="1">
        <f>'Aug-26'!AF22</f>
        <v/>
      </c>
      <c r="V21" s="1">
        <f>U21-T21</f>
        <v/>
      </c>
      <c r="W21" s="151" t="n">
        <v>350</v>
      </c>
      <c r="X21" s="148" t="inlineStr">
        <is>
          <t>1 Hrs</t>
        </is>
      </c>
      <c r="Y21" s="148" t="inlineStr">
        <is>
          <t>Aman Gupta</t>
        </is>
      </c>
      <c r="Z21" s="148" t="inlineStr">
        <is>
          <t>Rajkumar</t>
        </is>
      </c>
      <c r="AA21" s="148" t="n"/>
    </row>
    <row r="22">
      <c r="A22" s="128" t="n"/>
      <c r="B22" s="1" t="inlineStr">
        <is>
          <t>NIGHT</t>
        </is>
      </c>
      <c r="C22" s="1">
        <f>D21</f>
        <v/>
      </c>
      <c r="D22" s="1">
        <f>'Aug-26'!D23</f>
        <v/>
      </c>
      <c r="E22" s="1">
        <f>D22-C22</f>
        <v/>
      </c>
      <c r="F22" s="1">
        <f>G21</f>
        <v/>
      </c>
      <c r="G22" s="1">
        <f>'Aug-26'!O23</f>
        <v/>
      </c>
      <c r="H22" s="1">
        <f>G22-F22</f>
        <v/>
      </c>
      <c r="I22" s="151" t="n"/>
      <c r="J22" s="128" t="n"/>
      <c r="K22" s="128" t="n"/>
      <c r="L22" s="128" t="n"/>
      <c r="M22" s="128" t="n"/>
      <c r="O22" s="128" t="n"/>
      <c r="P22" s="1" t="inlineStr">
        <is>
          <t>NIGHT</t>
        </is>
      </c>
      <c r="Q22" s="1">
        <f>R21</f>
        <v/>
      </c>
      <c r="R22" s="1">
        <f>'Aug-26'!U23</f>
        <v/>
      </c>
      <c r="S22" s="1">
        <f>R22-Q22</f>
        <v/>
      </c>
      <c r="T22" s="1">
        <f>U21</f>
        <v/>
      </c>
      <c r="U22" s="1">
        <f>'Aug-26'!AF23</f>
        <v/>
      </c>
      <c r="V22" s="1">
        <f>U22-T22</f>
        <v/>
      </c>
      <c r="W22" s="151" t="n"/>
      <c r="X22" s="128" t="n"/>
      <c r="Y22" s="128" t="n"/>
      <c r="Z22" s="128" t="n"/>
      <c r="AA22" s="128" t="n"/>
    </row>
    <row r="23">
      <c r="A23" s="149">
        <f>A21+1</f>
        <v/>
      </c>
      <c r="B23" s="4" t="inlineStr">
        <is>
          <t>DAY</t>
        </is>
      </c>
      <c r="C23" s="1">
        <f>D22</f>
        <v/>
      </c>
      <c r="D23" s="1">
        <f>'Aug-26'!D24</f>
        <v/>
      </c>
      <c r="E23" s="1">
        <f>D23-C23</f>
        <v/>
      </c>
      <c r="F23" s="1">
        <f>G22</f>
        <v/>
      </c>
      <c r="G23" s="1">
        <f>'Aug-26'!O24</f>
        <v/>
      </c>
      <c r="H23" s="1">
        <f>G23-F23</f>
        <v/>
      </c>
      <c r="I23" s="151" t="n">
        <v>240</v>
      </c>
      <c r="J23" s="148" t="inlineStr">
        <is>
          <t>1 Hrs</t>
        </is>
      </c>
      <c r="K23" s="148" t="inlineStr">
        <is>
          <t>Pankaj Choudhary</t>
        </is>
      </c>
      <c r="L23" s="148" t="inlineStr">
        <is>
          <t>Nazeer Choudhary</t>
        </is>
      </c>
      <c r="M23" s="148" t="n"/>
      <c r="O23" s="149">
        <f>O21+1</f>
        <v/>
      </c>
      <c r="P23" s="4" t="inlineStr">
        <is>
          <t>DAY</t>
        </is>
      </c>
      <c r="Q23" s="1">
        <f>R22</f>
        <v/>
      </c>
      <c r="R23" s="1">
        <f>'Aug-26'!U24</f>
        <v/>
      </c>
      <c r="S23" s="1">
        <f>R23-Q23</f>
        <v/>
      </c>
      <c r="T23" s="1">
        <f>U22</f>
        <v/>
      </c>
      <c r="U23" s="1">
        <f>'Aug-26'!AF24</f>
        <v/>
      </c>
      <c r="V23" s="1">
        <f>U23-T23</f>
        <v/>
      </c>
      <c r="W23" s="151" t="n">
        <v>260</v>
      </c>
      <c r="X23" s="148" t="inlineStr">
        <is>
          <t>1 Hrs</t>
        </is>
      </c>
      <c r="Y23" s="148" t="inlineStr">
        <is>
          <t>Aman Gupta</t>
        </is>
      </c>
      <c r="Z23" s="148" t="inlineStr">
        <is>
          <t>Nazeer Choudhary</t>
        </is>
      </c>
      <c r="AA23" s="148" t="n"/>
    </row>
    <row r="24">
      <c r="A24" s="128" t="n"/>
      <c r="B24" s="1" t="inlineStr">
        <is>
          <t>NIGHT</t>
        </is>
      </c>
      <c r="C24" s="1">
        <f>D23</f>
        <v/>
      </c>
      <c r="D24" s="1">
        <f>'Aug-26'!D25</f>
        <v/>
      </c>
      <c r="E24" s="1">
        <f>D24-C24</f>
        <v/>
      </c>
      <c r="F24" s="1">
        <f>G23</f>
        <v/>
      </c>
      <c r="G24" s="1">
        <f>'Aug-26'!O25</f>
        <v/>
      </c>
      <c r="H24" s="1">
        <f>G24-F24</f>
        <v/>
      </c>
      <c r="I24" s="151" t="n"/>
      <c r="J24" s="128" t="n"/>
      <c r="K24" s="128" t="n"/>
      <c r="L24" s="128" t="n"/>
      <c r="M24" s="128" t="n"/>
      <c r="O24" s="128" t="n"/>
      <c r="P24" s="1" t="inlineStr">
        <is>
          <t>NIGHT</t>
        </is>
      </c>
      <c r="Q24" s="1">
        <f>R23</f>
        <v/>
      </c>
      <c r="R24" s="1">
        <f>'Aug-26'!U25</f>
        <v/>
      </c>
      <c r="S24" s="1">
        <f>R24-Q24</f>
        <v/>
      </c>
      <c r="T24" s="1">
        <f>U23</f>
        <v/>
      </c>
      <c r="U24" s="1">
        <f>'Aug-26'!AF25</f>
        <v/>
      </c>
      <c r="V24" s="1">
        <f>U24-T24</f>
        <v/>
      </c>
      <c r="W24" s="151" t="n"/>
      <c r="X24" s="128" t="n"/>
      <c r="Y24" s="128" t="n"/>
      <c r="Z24" s="128" t="n"/>
      <c r="AA24" s="128" t="n"/>
    </row>
    <row r="25">
      <c r="A25" s="149">
        <f>A23+1</f>
        <v/>
      </c>
      <c r="B25" s="4" t="inlineStr">
        <is>
          <t>DAY</t>
        </is>
      </c>
      <c r="C25" s="1">
        <f>D24</f>
        <v/>
      </c>
      <c r="D25" s="1">
        <f>'Aug-26'!D26</f>
        <v/>
      </c>
      <c r="E25" s="1">
        <f>D25-C25</f>
        <v/>
      </c>
      <c r="F25" s="1">
        <f>G24</f>
        <v/>
      </c>
      <c r="G25" s="1">
        <f>'Aug-26'!O26</f>
        <v/>
      </c>
      <c r="H25" s="1">
        <f>G25-F25</f>
        <v/>
      </c>
      <c r="I25" s="151" t="n">
        <v>180</v>
      </c>
      <c r="J25" s="148" t="inlineStr">
        <is>
          <t>1 Hrs</t>
        </is>
      </c>
      <c r="K25" s="148" t="inlineStr">
        <is>
          <t>Pankaj Choudhary</t>
        </is>
      </c>
      <c r="L25" s="148" t="inlineStr">
        <is>
          <t>Saidullah Choudhary</t>
        </is>
      </c>
      <c r="M25" s="148" t="n"/>
      <c r="O25" s="149">
        <f>O23+1</f>
        <v/>
      </c>
      <c r="P25" s="4" t="inlineStr">
        <is>
          <t>DAY</t>
        </is>
      </c>
      <c r="Q25" s="1">
        <f>R24</f>
        <v/>
      </c>
      <c r="R25" s="1">
        <f>'Aug-26'!U26</f>
        <v/>
      </c>
      <c r="S25" s="1">
        <f>R25-Q25</f>
        <v/>
      </c>
      <c r="T25" s="1">
        <f>U24</f>
        <v/>
      </c>
      <c r="U25" s="1">
        <f>'Aug-26'!AF26</f>
        <v/>
      </c>
      <c r="V25" s="1">
        <f>U25-T25</f>
        <v/>
      </c>
      <c r="W25" s="151" t="n">
        <v>150</v>
      </c>
      <c r="X25" s="148" t="inlineStr">
        <is>
          <t>1 Hrs</t>
        </is>
      </c>
      <c r="Y25" s="148" t="inlineStr">
        <is>
          <t>Rajkumar</t>
        </is>
      </c>
      <c r="Z25" s="148" t="inlineStr">
        <is>
          <t>Kanhaiya Lal</t>
        </is>
      </c>
      <c r="AA25" s="148" t="n"/>
    </row>
    <row r="26">
      <c r="A26" s="128" t="n"/>
      <c r="B26" s="1" t="inlineStr">
        <is>
          <t>NIGHT</t>
        </is>
      </c>
      <c r="C26" s="1">
        <f>D25</f>
        <v/>
      </c>
      <c r="D26" s="1">
        <f>'Aug-26'!D27</f>
        <v/>
      </c>
      <c r="E26" s="1">
        <f>D26-C26</f>
        <v/>
      </c>
      <c r="F26" s="1">
        <f>G25</f>
        <v/>
      </c>
      <c r="G26" s="1">
        <f>'Aug-26'!O27</f>
        <v/>
      </c>
      <c r="H26" s="1">
        <f>G26-F26</f>
        <v/>
      </c>
      <c r="I26" s="151" t="n"/>
      <c r="J26" s="128" t="n"/>
      <c r="K26" s="128" t="n"/>
      <c r="L26" s="128" t="n"/>
      <c r="M26" s="128" t="n"/>
      <c r="O26" s="128" t="n"/>
      <c r="P26" s="1" t="inlineStr">
        <is>
          <t>NIGHT</t>
        </is>
      </c>
      <c r="Q26" s="1">
        <f>R25</f>
        <v/>
      </c>
      <c r="R26" s="1">
        <f>'Aug-26'!U27</f>
        <v/>
      </c>
      <c r="S26" s="1">
        <f>R26-Q26</f>
        <v/>
      </c>
      <c r="T26" s="1">
        <f>U25</f>
        <v/>
      </c>
      <c r="U26" s="1">
        <f>'Aug-26'!AF27</f>
        <v/>
      </c>
      <c r="V26" s="1">
        <f>U26-T26</f>
        <v/>
      </c>
      <c r="W26" s="151" t="n"/>
      <c r="X26" s="128" t="n"/>
      <c r="Y26" s="128" t="n"/>
      <c r="Z26" s="128" t="n"/>
      <c r="AA26" s="128" t="n"/>
    </row>
    <row r="27">
      <c r="A27" s="149">
        <f>A25+1</f>
        <v/>
      </c>
      <c r="B27" s="4" t="inlineStr">
        <is>
          <t>DAY</t>
        </is>
      </c>
      <c r="C27" s="1">
        <f>D26</f>
        <v/>
      </c>
      <c r="D27" s="1">
        <f>'Aug-26'!D28</f>
        <v/>
      </c>
      <c r="E27" s="1">
        <f>D27-C27</f>
        <v/>
      </c>
      <c r="F27" s="1">
        <f>G26</f>
        <v/>
      </c>
      <c r="G27" s="1">
        <f>'Aug-26'!O28</f>
        <v/>
      </c>
      <c r="H27" s="1">
        <f>G27-F27</f>
        <v/>
      </c>
      <c r="I27" s="151" t="n">
        <v>150</v>
      </c>
      <c r="J27" s="148" t="inlineStr">
        <is>
          <t>1 Hrs</t>
        </is>
      </c>
      <c r="K27" s="148" t="inlineStr">
        <is>
          <t>Pankaj Choudhary</t>
        </is>
      </c>
      <c r="L27" s="148" t="inlineStr">
        <is>
          <t>Saidullah Choudhary</t>
        </is>
      </c>
      <c r="M27" s="148" t="n"/>
      <c r="O27" s="149">
        <f>O25+1</f>
        <v/>
      </c>
      <c r="P27" s="4" t="inlineStr">
        <is>
          <t>DAY</t>
        </is>
      </c>
      <c r="Q27" s="1">
        <f>R26</f>
        <v/>
      </c>
      <c r="R27" s="1">
        <f>'Aug-26'!U28</f>
        <v/>
      </c>
      <c r="S27" s="1">
        <f>R27-Q27</f>
        <v/>
      </c>
      <c r="T27" s="1">
        <f>U26</f>
        <v/>
      </c>
      <c r="U27" s="1">
        <f>'Aug-26'!AF28</f>
        <v/>
      </c>
      <c r="V27" s="1">
        <f>U27-T27</f>
        <v/>
      </c>
      <c r="W27" s="151" t="n">
        <v>160</v>
      </c>
      <c r="X27" s="148" t="inlineStr">
        <is>
          <t>1 Hrs</t>
        </is>
      </c>
      <c r="Y27" s="148" t="inlineStr">
        <is>
          <t>Aman Gupta</t>
        </is>
      </c>
      <c r="Z27" s="148" t="inlineStr">
        <is>
          <t>Kanhaiya Lal</t>
        </is>
      </c>
      <c r="AA27" s="148" t="n"/>
    </row>
    <row r="28">
      <c r="A28" s="128" t="n"/>
      <c r="B28" s="1" t="inlineStr">
        <is>
          <t>NIGHT</t>
        </is>
      </c>
      <c r="C28" s="1">
        <f>D27</f>
        <v/>
      </c>
      <c r="D28" s="1">
        <f>'Aug-26'!D29</f>
        <v/>
      </c>
      <c r="E28" s="1">
        <f>D28-C28</f>
        <v/>
      </c>
      <c r="F28" s="1">
        <f>G27</f>
        <v/>
      </c>
      <c r="G28" s="1">
        <f>'Aug-26'!O29</f>
        <v/>
      </c>
      <c r="H28" s="1">
        <f>G28-F28</f>
        <v/>
      </c>
      <c r="I28" s="151" t="n"/>
      <c r="J28" s="128" t="n"/>
      <c r="K28" s="128" t="n"/>
      <c r="L28" s="128" t="n"/>
      <c r="M28" s="128" t="n"/>
      <c r="O28" s="128" t="n"/>
      <c r="P28" s="1" t="inlineStr">
        <is>
          <t>NIGHT</t>
        </is>
      </c>
      <c r="Q28" s="1">
        <f>R27</f>
        <v/>
      </c>
      <c r="R28" s="1">
        <f>'Aug-26'!U29</f>
        <v/>
      </c>
      <c r="S28" s="1">
        <f>R28-Q28</f>
        <v/>
      </c>
      <c r="T28" s="1">
        <f>U27</f>
        <v/>
      </c>
      <c r="U28" s="1">
        <f>'Aug-26'!AF29</f>
        <v/>
      </c>
      <c r="V28" s="1">
        <f>U28-T28</f>
        <v/>
      </c>
      <c r="W28" s="151" t="n"/>
      <c r="X28" s="128" t="n"/>
      <c r="Y28" s="128" t="n"/>
      <c r="Z28" s="128" t="n"/>
      <c r="AA28" s="128" t="n"/>
    </row>
    <row r="29">
      <c r="A29" s="149">
        <f>A27+1</f>
        <v/>
      </c>
      <c r="B29" s="4" t="inlineStr">
        <is>
          <t>DAY</t>
        </is>
      </c>
      <c r="C29" s="1">
        <f>D28</f>
        <v/>
      </c>
      <c r="D29" s="1">
        <f>'Aug-26'!D30</f>
        <v/>
      </c>
      <c r="E29" s="1">
        <f>D29-C29</f>
        <v/>
      </c>
      <c r="F29" s="1">
        <f>G28</f>
        <v/>
      </c>
      <c r="G29" s="1">
        <f>'Aug-26'!O30</f>
        <v/>
      </c>
      <c r="H29" s="1">
        <f>G29-F29</f>
        <v/>
      </c>
      <c r="I29" s="151" t="n">
        <v>250</v>
      </c>
      <c r="J29" s="148" t="inlineStr">
        <is>
          <t>1 Hrs</t>
        </is>
      </c>
      <c r="K29" s="148" t="inlineStr">
        <is>
          <t>Pankaj Choudhary</t>
        </is>
      </c>
      <c r="L29" s="148" t="inlineStr">
        <is>
          <t>Saidullah Choudhary</t>
        </is>
      </c>
      <c r="M29" s="148" t="n"/>
      <c r="O29" s="149">
        <f>O27+1</f>
        <v/>
      </c>
      <c r="P29" s="4" t="inlineStr">
        <is>
          <t>DAY</t>
        </is>
      </c>
      <c r="Q29" s="1">
        <f>R28</f>
        <v/>
      </c>
      <c r="R29" s="1">
        <f>'Aug-26'!U30</f>
        <v/>
      </c>
      <c r="S29" s="1">
        <f>R29-Q29</f>
        <v/>
      </c>
      <c r="T29" s="1">
        <f>U28</f>
        <v/>
      </c>
      <c r="U29" s="1">
        <f>'Aug-26'!AF30</f>
        <v/>
      </c>
      <c r="V29" s="1">
        <f>U29-T29</f>
        <v/>
      </c>
      <c r="W29" s="151" t="n">
        <v>250</v>
      </c>
      <c r="X29" s="148" t="inlineStr">
        <is>
          <t>1 Hrs</t>
        </is>
      </c>
      <c r="Y29" s="148" t="inlineStr">
        <is>
          <t>Nazeer Choudhary</t>
        </is>
      </c>
      <c r="Z29" s="148" t="inlineStr">
        <is>
          <t>Rajkumar</t>
        </is>
      </c>
      <c r="AA29" s="148" t="n"/>
    </row>
    <row r="30">
      <c r="A30" s="128" t="n"/>
      <c r="B30" s="1" t="inlineStr">
        <is>
          <t>NIGHT</t>
        </is>
      </c>
      <c r="C30" s="1">
        <f>D29</f>
        <v/>
      </c>
      <c r="D30" s="1">
        <f>'Aug-26'!D31</f>
        <v/>
      </c>
      <c r="E30" s="1">
        <f>D30-C30</f>
        <v/>
      </c>
      <c r="F30" s="1">
        <f>G29</f>
        <v/>
      </c>
      <c r="G30" s="1">
        <f>'Aug-26'!O31</f>
        <v/>
      </c>
      <c r="H30" s="1">
        <f>G30-F30</f>
        <v/>
      </c>
      <c r="I30" s="151" t="n"/>
      <c r="J30" s="128" t="n"/>
      <c r="K30" s="128" t="n"/>
      <c r="L30" s="128" t="n"/>
      <c r="M30" s="128" t="n"/>
      <c r="O30" s="128" t="n"/>
      <c r="P30" s="1" t="inlineStr">
        <is>
          <t>NIGHT</t>
        </is>
      </c>
      <c r="Q30" s="1">
        <f>R29</f>
        <v/>
      </c>
      <c r="R30" s="1">
        <f>'Aug-26'!U31</f>
        <v/>
      </c>
      <c r="S30" s="1">
        <f>R30-Q30</f>
        <v/>
      </c>
      <c r="T30" s="1">
        <f>U29</f>
        <v/>
      </c>
      <c r="U30" s="1">
        <f>'Aug-26'!AF31</f>
        <v/>
      </c>
      <c r="V30" s="1">
        <f>U30-T30</f>
        <v/>
      </c>
      <c r="W30" s="151" t="n"/>
      <c r="X30" s="128" t="n"/>
      <c r="Y30" s="128" t="n"/>
      <c r="Z30" s="128" t="n"/>
      <c r="AA30" s="128" t="n"/>
    </row>
    <row r="31">
      <c r="A31" s="149">
        <f>A29+1</f>
        <v/>
      </c>
      <c r="B31" s="4" t="inlineStr">
        <is>
          <t>DAY</t>
        </is>
      </c>
      <c r="C31" s="1">
        <f>D30</f>
        <v/>
      </c>
      <c r="D31" s="1">
        <f>'Aug-26'!D32</f>
        <v/>
      </c>
      <c r="E31" s="1">
        <f>D31-C31</f>
        <v/>
      </c>
      <c r="F31" s="1">
        <f>G30</f>
        <v/>
      </c>
      <c r="G31" s="1">
        <f>'Aug-26'!O32</f>
        <v/>
      </c>
      <c r="H31" s="1">
        <f>G31-F31</f>
        <v/>
      </c>
      <c r="I31" s="151" t="n">
        <v>230</v>
      </c>
      <c r="J31" s="148" t="inlineStr">
        <is>
          <t>1 Hrs</t>
        </is>
      </c>
      <c r="K31" s="148" t="inlineStr">
        <is>
          <t>Kanhaiya Lal</t>
        </is>
      </c>
      <c r="L31" s="148" t="inlineStr">
        <is>
          <t>Nazeer Choudhary</t>
        </is>
      </c>
      <c r="M31" s="148" t="n"/>
      <c r="O31" s="149">
        <f>O29+1</f>
        <v/>
      </c>
      <c r="P31" s="4" t="inlineStr">
        <is>
          <t>DAY</t>
        </is>
      </c>
      <c r="Q31" s="1">
        <f>R30</f>
        <v/>
      </c>
      <c r="R31" s="1">
        <f>'Aug-26'!U32</f>
        <v/>
      </c>
      <c r="S31" s="1">
        <f>R31-Q31</f>
        <v/>
      </c>
      <c r="T31" s="1">
        <f>U30</f>
        <v/>
      </c>
      <c r="U31" s="1">
        <f>'Aug-26'!AF32</f>
        <v/>
      </c>
      <c r="V31" s="1">
        <f>U31-T31</f>
        <v/>
      </c>
      <c r="W31" s="151" t="n">
        <v>260</v>
      </c>
      <c r="X31" s="148" t="inlineStr">
        <is>
          <t>1 Hrs</t>
        </is>
      </c>
      <c r="Y31" s="148" t="inlineStr">
        <is>
          <t>Aman Gupta</t>
        </is>
      </c>
      <c r="Z31" s="148" t="inlineStr">
        <is>
          <t>Rajkumar</t>
        </is>
      </c>
      <c r="AA31" s="148" t="n"/>
    </row>
    <row r="32">
      <c r="A32" s="128" t="n"/>
      <c r="B32" s="1" t="inlineStr">
        <is>
          <t>NIGHT</t>
        </is>
      </c>
      <c r="C32" s="1">
        <f>D31</f>
        <v/>
      </c>
      <c r="D32" s="1">
        <f>'Aug-26'!D33</f>
        <v/>
      </c>
      <c r="E32" s="1">
        <f>D32-C32</f>
        <v/>
      </c>
      <c r="F32" s="1">
        <f>G31</f>
        <v/>
      </c>
      <c r="G32" s="1">
        <f>'Aug-26'!O33</f>
        <v/>
      </c>
      <c r="H32" s="1">
        <f>G32-F32</f>
        <v/>
      </c>
      <c r="I32" s="151" t="n"/>
      <c r="J32" s="128" t="n"/>
      <c r="K32" s="128" t="n"/>
      <c r="L32" s="128" t="n"/>
      <c r="M32" s="128" t="n"/>
      <c r="O32" s="128" t="n"/>
      <c r="P32" s="1" t="inlineStr">
        <is>
          <t>NIGHT</t>
        </is>
      </c>
      <c r="Q32" s="1">
        <f>R31</f>
        <v/>
      </c>
      <c r="R32" s="1">
        <f>'Aug-26'!U33</f>
        <v/>
      </c>
      <c r="S32" s="1">
        <f>R32-Q32</f>
        <v/>
      </c>
      <c r="T32" s="1">
        <f>U31</f>
        <v/>
      </c>
      <c r="U32" s="1">
        <f>'Aug-26'!AF33</f>
        <v/>
      </c>
      <c r="V32" s="1">
        <f>U32-T32</f>
        <v/>
      </c>
      <c r="W32" s="151" t="n"/>
      <c r="X32" s="128" t="n"/>
      <c r="Y32" s="128" t="n"/>
      <c r="Z32" s="128" t="n"/>
      <c r="AA32" s="128" t="n"/>
    </row>
    <row r="33">
      <c r="A33" s="149">
        <f>A31+1</f>
        <v/>
      </c>
      <c r="B33" s="4" t="inlineStr">
        <is>
          <t>DAY</t>
        </is>
      </c>
      <c r="C33" s="1">
        <f>D32</f>
        <v/>
      </c>
      <c r="D33" s="1">
        <f>'Aug-26'!D34</f>
        <v/>
      </c>
      <c r="E33" s="1">
        <f>D33-C33</f>
        <v/>
      </c>
      <c r="F33" s="1">
        <f>G32</f>
        <v/>
      </c>
      <c r="G33" s="1">
        <f>'Aug-26'!O34</f>
        <v/>
      </c>
      <c r="H33" s="1">
        <f>G33-F33</f>
        <v/>
      </c>
      <c r="I33" s="151" t="n">
        <v>150</v>
      </c>
      <c r="J33" s="148" t="inlineStr">
        <is>
          <t>1 Hrs</t>
        </is>
      </c>
      <c r="K33" s="148" t="inlineStr">
        <is>
          <t>Saidullah Choudhary</t>
        </is>
      </c>
      <c r="L33" s="148" t="inlineStr">
        <is>
          <t>Nazeer Choudhary</t>
        </is>
      </c>
      <c r="M33" s="148" t="n"/>
      <c r="O33" s="149">
        <f>O31+1</f>
        <v/>
      </c>
      <c r="P33" s="4" t="inlineStr">
        <is>
          <t>DAY</t>
        </is>
      </c>
      <c r="Q33" s="1">
        <f>R32</f>
        <v/>
      </c>
      <c r="R33" s="1">
        <f>'Aug-26'!U34</f>
        <v/>
      </c>
      <c r="S33" s="1">
        <f>R33-Q33</f>
        <v/>
      </c>
      <c r="T33" s="1">
        <f>U32</f>
        <v/>
      </c>
      <c r="U33" s="1">
        <f>'Aug-26'!AF34</f>
        <v/>
      </c>
      <c r="V33" s="1">
        <f>U33-T33</f>
        <v/>
      </c>
      <c r="W33" s="151" t="n">
        <v>110</v>
      </c>
      <c r="X33" s="148" t="inlineStr">
        <is>
          <t>1 Hrs</t>
        </is>
      </c>
      <c r="Y33" s="148" t="inlineStr">
        <is>
          <t>Kanhaiya Lal</t>
        </is>
      </c>
      <c r="Z33" s="148" t="inlineStr">
        <is>
          <t>Aman Gupta</t>
        </is>
      </c>
      <c r="AA33" s="148" t="n"/>
    </row>
    <row r="34">
      <c r="A34" s="128" t="n"/>
      <c r="B34" s="1" t="inlineStr">
        <is>
          <t>NIGHT</t>
        </is>
      </c>
      <c r="C34" s="1">
        <f>D33</f>
        <v/>
      </c>
      <c r="D34" s="1">
        <f>'Aug-26'!D35</f>
        <v/>
      </c>
      <c r="E34" s="1">
        <f>D34-C34</f>
        <v/>
      </c>
      <c r="F34" s="1">
        <f>G33</f>
        <v/>
      </c>
      <c r="G34" s="1">
        <f>'Aug-26'!O35</f>
        <v/>
      </c>
      <c r="H34" s="1">
        <f>G34-F34</f>
        <v/>
      </c>
      <c r="I34" s="151" t="n"/>
      <c r="J34" s="128" t="n"/>
      <c r="K34" s="128" t="n"/>
      <c r="L34" s="128" t="n"/>
      <c r="M34" s="128" t="n"/>
      <c r="O34" s="128" t="n"/>
      <c r="P34" s="1" t="inlineStr">
        <is>
          <t>NIGHT</t>
        </is>
      </c>
      <c r="Q34" s="1">
        <f>R33</f>
        <v/>
      </c>
      <c r="R34" s="1">
        <f>'Aug-26'!U35</f>
        <v/>
      </c>
      <c r="S34" s="1">
        <f>R34-Q34</f>
        <v/>
      </c>
      <c r="T34" s="1">
        <f>U33</f>
        <v/>
      </c>
      <c r="U34" s="1">
        <f>'Aug-26'!AF35</f>
        <v/>
      </c>
      <c r="V34" s="1">
        <f>U34-T34</f>
        <v/>
      </c>
      <c r="W34" s="151" t="n"/>
      <c r="X34" s="128" t="n"/>
      <c r="Y34" s="128" t="n"/>
      <c r="Z34" s="128" t="n"/>
      <c r="AA34" s="128" t="n"/>
    </row>
    <row r="35">
      <c r="A35" s="149">
        <f>A33+1</f>
        <v/>
      </c>
      <c r="B35" s="4" t="inlineStr">
        <is>
          <t>DAY</t>
        </is>
      </c>
      <c r="C35" s="1">
        <f>D34</f>
        <v/>
      </c>
      <c r="D35" s="1">
        <f>'Aug-26'!D36</f>
        <v/>
      </c>
      <c r="E35" s="1">
        <f>D35-C35</f>
        <v/>
      </c>
      <c r="F35" s="1">
        <f>G34</f>
        <v/>
      </c>
      <c r="G35" s="1">
        <f>'Aug-26'!O36</f>
        <v/>
      </c>
      <c r="H35" s="1">
        <f>G35-F35</f>
        <v/>
      </c>
      <c r="I35" s="151" t="n">
        <v>320</v>
      </c>
      <c r="J35" s="148" t="inlineStr">
        <is>
          <t>1 Hrs</t>
        </is>
      </c>
      <c r="K35" s="148" t="inlineStr">
        <is>
          <t>Pankaj Choudhary</t>
        </is>
      </c>
      <c r="L35" s="148" t="inlineStr">
        <is>
          <t>Saidullah Choudhary</t>
        </is>
      </c>
      <c r="M35" s="148" t="n"/>
      <c r="O35" s="149">
        <f>O33+1</f>
        <v/>
      </c>
      <c r="P35" s="4" t="inlineStr">
        <is>
          <t>DAY</t>
        </is>
      </c>
      <c r="Q35" s="1">
        <f>R34</f>
        <v/>
      </c>
      <c r="R35" s="1">
        <f>'Aug-26'!U36</f>
        <v/>
      </c>
      <c r="S35" s="1">
        <f>R35-Q35</f>
        <v/>
      </c>
      <c r="T35" s="1">
        <f>U34</f>
        <v/>
      </c>
      <c r="U35" s="1">
        <f>'Aug-26'!AF36</f>
        <v/>
      </c>
      <c r="V35" s="1">
        <f>U35-T35</f>
        <v/>
      </c>
      <c r="W35" s="151" t="n">
        <v>340</v>
      </c>
      <c r="X35" s="148" t="inlineStr">
        <is>
          <t>1 Hrs</t>
        </is>
      </c>
      <c r="Y35" s="148" t="inlineStr">
        <is>
          <t>Rajkumar</t>
        </is>
      </c>
      <c r="Z35" s="148" t="inlineStr">
        <is>
          <t>Aman Gupta</t>
        </is>
      </c>
      <c r="AA35" s="148" t="n"/>
    </row>
    <row r="36">
      <c r="A36" s="128" t="n"/>
      <c r="B36" s="1" t="inlineStr">
        <is>
          <t>NIGHT</t>
        </is>
      </c>
      <c r="C36" s="1">
        <f>D35</f>
        <v/>
      </c>
      <c r="D36" s="1">
        <f>'Aug-26'!D37</f>
        <v/>
      </c>
      <c r="E36" s="1">
        <f>D36-C36</f>
        <v/>
      </c>
      <c r="F36" s="1">
        <f>G35</f>
        <v/>
      </c>
      <c r="G36" s="1">
        <f>'Aug-26'!O37</f>
        <v/>
      </c>
      <c r="H36" s="1">
        <f>G36-F36</f>
        <v/>
      </c>
      <c r="I36" s="1" t="n"/>
      <c r="J36" s="128" t="n"/>
      <c r="K36" s="128" t="n"/>
      <c r="L36" s="128" t="n"/>
      <c r="M36" s="128" t="n"/>
      <c r="O36" s="128" t="n"/>
      <c r="P36" s="1" t="inlineStr">
        <is>
          <t>NIGHT</t>
        </is>
      </c>
      <c r="Q36" s="1">
        <f>R35</f>
        <v/>
      </c>
      <c r="R36" s="1">
        <f>'Aug-26'!U37</f>
        <v/>
      </c>
      <c r="S36" s="1">
        <f>R36-Q36</f>
        <v/>
      </c>
      <c r="T36" s="1">
        <f>U35</f>
        <v/>
      </c>
      <c r="U36" s="1">
        <f>'Aug-26'!AF37</f>
        <v/>
      </c>
      <c r="V36" s="1">
        <f>U36-T36</f>
        <v/>
      </c>
      <c r="W36" s="151" t="n"/>
      <c r="X36" s="128" t="n"/>
      <c r="Y36" s="128" t="n"/>
      <c r="Z36" s="128" t="n"/>
      <c r="AA36" s="128" t="n"/>
    </row>
    <row r="37">
      <c r="A37" s="149">
        <f>A35+1</f>
        <v/>
      </c>
      <c r="B37" s="4" t="inlineStr">
        <is>
          <t>DAY</t>
        </is>
      </c>
      <c r="C37" s="1">
        <f>D36</f>
        <v/>
      </c>
      <c r="D37" s="1">
        <f>'Aug-26'!D38</f>
        <v/>
      </c>
      <c r="E37" s="1">
        <f>D37-C37</f>
        <v/>
      </c>
      <c r="F37" s="1">
        <f>G36</f>
        <v/>
      </c>
      <c r="G37" s="1">
        <f>'Aug-26'!O38</f>
        <v/>
      </c>
      <c r="H37" s="1">
        <f>G37-F37</f>
        <v/>
      </c>
      <c r="I37" s="1" t="n"/>
      <c r="J37" s="148" t="inlineStr">
        <is>
          <t>1 Hrs</t>
        </is>
      </c>
      <c r="K37" s="148" t="inlineStr">
        <is>
          <t>Pankaj Choudhary</t>
        </is>
      </c>
      <c r="L37" s="148" t="inlineStr">
        <is>
          <t>Kanhaiya Lal</t>
        </is>
      </c>
      <c r="M37" s="148" t="n"/>
      <c r="O37" s="149">
        <f>O35+1</f>
        <v/>
      </c>
      <c r="P37" s="4" t="inlineStr">
        <is>
          <t>DAY</t>
        </is>
      </c>
      <c r="Q37" s="1">
        <f>R36</f>
        <v/>
      </c>
      <c r="R37" s="1">
        <f>'Aug-26'!U38</f>
        <v/>
      </c>
      <c r="S37" s="1">
        <f>R37-Q37</f>
        <v/>
      </c>
      <c r="T37" s="1">
        <f>U36</f>
        <v/>
      </c>
      <c r="U37" s="1">
        <f>'Aug-26'!AF38</f>
        <v/>
      </c>
      <c r="V37" s="1">
        <f>U37-T37</f>
        <v/>
      </c>
      <c r="W37" s="151" t="n">
        <v>270</v>
      </c>
      <c r="X37" s="148" t="inlineStr">
        <is>
          <t>1 Hrs</t>
        </is>
      </c>
      <c r="Y37" s="148" t="inlineStr">
        <is>
          <t>Rajkumar</t>
        </is>
      </c>
      <c r="Z37" s="148" t="inlineStr">
        <is>
          <t>Saidullah Choudhary</t>
        </is>
      </c>
      <c r="AA37" s="148" t="n"/>
    </row>
    <row r="38">
      <c r="A38" s="128" t="n"/>
      <c r="B38" s="1" t="inlineStr">
        <is>
          <t>NIGHT</t>
        </is>
      </c>
      <c r="C38" s="1">
        <f>D37</f>
        <v/>
      </c>
      <c r="D38" s="1">
        <f>'Aug-26'!D39</f>
        <v/>
      </c>
      <c r="E38" s="1">
        <f>D38-C38</f>
        <v/>
      </c>
      <c r="F38" s="1">
        <f>G37</f>
        <v/>
      </c>
      <c r="G38" s="1">
        <f>'Aug-26'!O39</f>
        <v/>
      </c>
      <c r="H38" s="1">
        <f>G38-F38</f>
        <v/>
      </c>
      <c r="I38" s="1" t="n"/>
      <c r="J38" s="128" t="n"/>
      <c r="K38" s="128" t="n"/>
      <c r="L38" s="128" t="n"/>
      <c r="M38" s="128" t="n"/>
      <c r="O38" s="128" t="n"/>
      <c r="P38" s="1" t="inlineStr">
        <is>
          <t>NIGHT</t>
        </is>
      </c>
      <c r="Q38" s="1">
        <f>R37</f>
        <v/>
      </c>
      <c r="R38" s="1">
        <f>'Aug-26'!U39</f>
        <v/>
      </c>
      <c r="S38" s="1">
        <f>R38-Q38</f>
        <v/>
      </c>
      <c r="T38" s="1">
        <f>U37</f>
        <v/>
      </c>
      <c r="U38" s="1">
        <f>'Aug-26'!AF39</f>
        <v/>
      </c>
      <c r="V38" s="1">
        <f>U38-T38</f>
        <v/>
      </c>
      <c r="W38" s="151" t="n"/>
      <c r="X38" s="128" t="n"/>
      <c r="Y38" s="128" t="n"/>
      <c r="Z38" s="128" t="n"/>
      <c r="AA38" s="128" t="n"/>
    </row>
    <row r="39">
      <c r="A39" s="149">
        <f>A37+1</f>
        <v/>
      </c>
      <c r="B39" s="4" t="inlineStr">
        <is>
          <t>DAY</t>
        </is>
      </c>
      <c r="C39" s="1">
        <f>D38</f>
        <v/>
      </c>
      <c r="D39" s="1">
        <f>'Aug-26'!D40</f>
        <v/>
      </c>
      <c r="E39" s="1">
        <f>D39-C39</f>
        <v/>
      </c>
      <c r="F39" s="1">
        <f>G38</f>
        <v/>
      </c>
      <c r="G39" s="1">
        <f>'Aug-26'!O40</f>
        <v/>
      </c>
      <c r="H39" s="1">
        <f>G39-F39</f>
        <v/>
      </c>
      <c r="I39" s="151" t="n">
        <v>300</v>
      </c>
      <c r="J39" s="148" t="inlineStr">
        <is>
          <t>1 Hrs</t>
        </is>
      </c>
      <c r="K39" s="148" t="inlineStr">
        <is>
          <t>Nazeer Choudhary</t>
        </is>
      </c>
      <c r="L39" s="148" t="inlineStr">
        <is>
          <t>Saidullah Choudhary</t>
        </is>
      </c>
      <c r="M39" s="148" t="n"/>
      <c r="O39" s="149">
        <f>O37+1</f>
        <v/>
      </c>
      <c r="P39" s="4" t="inlineStr">
        <is>
          <t>DAY</t>
        </is>
      </c>
      <c r="Q39" s="1">
        <f>R38</f>
        <v/>
      </c>
      <c r="R39" s="1">
        <f>'Aug-26'!U40</f>
        <v/>
      </c>
      <c r="S39" s="1">
        <f>R39-Q39</f>
        <v/>
      </c>
      <c r="T39" s="1">
        <f>U38</f>
        <v/>
      </c>
      <c r="U39" s="1">
        <f>'Aug-26'!AF40</f>
        <v/>
      </c>
      <c r="V39" s="1">
        <f>U39-T39</f>
        <v/>
      </c>
      <c r="W39" s="151" t="n">
        <v>240</v>
      </c>
      <c r="X39" s="148" t="inlineStr">
        <is>
          <t>1 Hrs</t>
        </is>
      </c>
      <c r="Y39" s="148" t="inlineStr">
        <is>
          <t>Aman Gupta</t>
        </is>
      </c>
      <c r="Z39" s="148" t="inlineStr">
        <is>
          <t>Kanhaiya Lal</t>
        </is>
      </c>
      <c r="AA39" s="148" t="n"/>
    </row>
    <row r="40">
      <c r="A40" s="128" t="n"/>
      <c r="B40" s="1" t="inlineStr">
        <is>
          <t>NIGHT</t>
        </is>
      </c>
      <c r="C40" s="1">
        <f>D39</f>
        <v/>
      </c>
      <c r="D40" s="1">
        <f>'Aug-26'!D41</f>
        <v/>
      </c>
      <c r="E40" s="1">
        <f>D40-C40</f>
        <v/>
      </c>
      <c r="F40" s="1">
        <f>G39</f>
        <v/>
      </c>
      <c r="G40" s="1">
        <f>'Aug-26'!O41</f>
        <v/>
      </c>
      <c r="H40" s="1">
        <f>G40-F40</f>
        <v/>
      </c>
      <c r="I40" s="151" t="n"/>
      <c r="J40" s="128" t="n"/>
      <c r="K40" s="128" t="n"/>
      <c r="L40" s="128" t="n"/>
      <c r="M40" s="128" t="n"/>
      <c r="O40" s="128" t="n"/>
      <c r="P40" s="1" t="inlineStr">
        <is>
          <t>NIGHT</t>
        </is>
      </c>
      <c r="Q40" s="1">
        <f>R39</f>
        <v/>
      </c>
      <c r="R40" s="1">
        <f>'Aug-26'!U41</f>
        <v/>
      </c>
      <c r="S40" s="1">
        <f>R40-Q40</f>
        <v/>
      </c>
      <c r="T40" s="1">
        <f>U39</f>
        <v/>
      </c>
      <c r="U40" s="1">
        <f>'Aug-26'!AF41</f>
        <v/>
      </c>
      <c r="V40" s="1">
        <f>U40-T40</f>
        <v/>
      </c>
      <c r="W40" s="151" t="n"/>
      <c r="X40" s="128" t="n"/>
      <c r="Y40" s="128" t="n"/>
      <c r="Z40" s="128" t="n"/>
      <c r="AA40" s="128" t="n"/>
    </row>
    <row r="41">
      <c r="A41" s="149">
        <f>A39+1</f>
        <v/>
      </c>
      <c r="B41" s="4" t="inlineStr">
        <is>
          <t>DAY</t>
        </is>
      </c>
      <c r="C41" s="1">
        <f>D40</f>
        <v/>
      </c>
      <c r="D41" s="1">
        <f>'Aug-26'!D42</f>
        <v/>
      </c>
      <c r="E41" s="1">
        <f>D41-C41</f>
        <v/>
      </c>
      <c r="F41" s="1">
        <f>G40</f>
        <v/>
      </c>
      <c r="G41" s="1">
        <f>'Aug-26'!O42</f>
        <v/>
      </c>
      <c r="H41" s="1">
        <f>G41-F41</f>
        <v/>
      </c>
      <c r="I41" s="151" t="n">
        <v>200</v>
      </c>
      <c r="J41" s="148" t="inlineStr">
        <is>
          <t>1 Hrs</t>
        </is>
      </c>
      <c r="K41" s="148" t="inlineStr">
        <is>
          <t>Nazeer Choudhary</t>
        </is>
      </c>
      <c r="L41" s="148" t="inlineStr">
        <is>
          <t xml:space="preserve"> Pankaj Choudhary</t>
        </is>
      </c>
      <c r="M41" s="148" t="n"/>
      <c r="O41" s="149">
        <f>O39+1</f>
        <v/>
      </c>
      <c r="P41" s="4" t="inlineStr">
        <is>
          <t>DAY</t>
        </is>
      </c>
      <c r="Q41" s="1">
        <f>R40</f>
        <v/>
      </c>
      <c r="R41" s="1">
        <f>'Aug-26'!U42</f>
        <v/>
      </c>
      <c r="S41" s="1">
        <f>R41-Q41</f>
        <v/>
      </c>
      <c r="T41" s="1">
        <f>U40</f>
        <v/>
      </c>
      <c r="U41" s="1">
        <f>'Aug-26'!AF42</f>
        <v/>
      </c>
      <c r="V41" s="1">
        <f>U41-T41</f>
        <v/>
      </c>
      <c r="W41" s="151" t="n">
        <v>270</v>
      </c>
      <c r="X41" s="148" t="inlineStr">
        <is>
          <t>1 Hrs</t>
        </is>
      </c>
      <c r="Y41" s="148" t="inlineStr">
        <is>
          <t>Aman Gupta</t>
        </is>
      </c>
      <c r="Z41" s="148" t="inlineStr">
        <is>
          <t>Rajkumar</t>
        </is>
      </c>
      <c r="AA41" s="148" t="n"/>
    </row>
    <row r="42">
      <c r="A42" s="128" t="n"/>
      <c r="B42" s="1" t="inlineStr">
        <is>
          <t>NIGHT</t>
        </is>
      </c>
      <c r="C42" s="1">
        <f>D41</f>
        <v/>
      </c>
      <c r="D42" s="1">
        <f>'Aug-26'!D43</f>
        <v/>
      </c>
      <c r="E42" s="1">
        <f>D42-C42</f>
        <v/>
      </c>
      <c r="F42" s="1">
        <f>G41</f>
        <v/>
      </c>
      <c r="G42" s="1">
        <f>'Aug-26'!O43</f>
        <v/>
      </c>
      <c r="H42" s="1">
        <f>G42-F42</f>
        <v/>
      </c>
      <c r="I42" s="151" t="n"/>
      <c r="J42" s="128" t="n"/>
      <c r="K42" s="128" t="n"/>
      <c r="L42" s="128" t="n"/>
      <c r="M42" s="128" t="n"/>
      <c r="O42" s="128" t="n"/>
      <c r="P42" s="1" t="inlineStr">
        <is>
          <t>NIGHT</t>
        </is>
      </c>
      <c r="Q42" s="1">
        <f>R41</f>
        <v/>
      </c>
      <c r="R42" s="1">
        <f>'Aug-26'!U43</f>
        <v/>
      </c>
      <c r="S42" s="1">
        <f>R42-Q42</f>
        <v/>
      </c>
      <c r="T42" s="1">
        <f>U41</f>
        <v/>
      </c>
      <c r="U42" s="1">
        <f>'Aug-26'!AF43</f>
        <v/>
      </c>
      <c r="V42" s="1">
        <f>U42-T42</f>
        <v/>
      </c>
      <c r="W42" s="151" t="n"/>
      <c r="X42" s="128" t="n"/>
      <c r="Y42" s="128" t="n"/>
      <c r="Z42" s="128" t="n"/>
      <c r="AA42" s="128" t="n"/>
    </row>
    <row r="43">
      <c r="A43" s="149">
        <f>A41+1</f>
        <v/>
      </c>
      <c r="B43" s="4" t="inlineStr">
        <is>
          <t>DAY</t>
        </is>
      </c>
      <c r="C43" s="1">
        <f>D42</f>
        <v/>
      </c>
      <c r="D43" s="1">
        <f>'Aug-26'!D44</f>
        <v/>
      </c>
      <c r="E43" s="1">
        <f>D43-C43</f>
        <v/>
      </c>
      <c r="F43" s="1">
        <f>G42</f>
        <v/>
      </c>
      <c r="G43" s="1">
        <f>'Aug-26'!O44</f>
        <v/>
      </c>
      <c r="H43" s="1">
        <f>G43-F43</f>
        <v/>
      </c>
      <c r="I43" s="151" t="n">
        <v>250</v>
      </c>
      <c r="J43" s="148" t="inlineStr">
        <is>
          <t>1 Hrs</t>
        </is>
      </c>
      <c r="K43" s="148" t="inlineStr">
        <is>
          <t>Saidullah Choudhary</t>
        </is>
      </c>
      <c r="L43" s="148" t="inlineStr">
        <is>
          <t>Pankaj Choudhary</t>
        </is>
      </c>
      <c r="M43" s="148" t="n"/>
      <c r="O43" s="149">
        <f>O41+1</f>
        <v/>
      </c>
      <c r="P43" s="4" t="inlineStr">
        <is>
          <t>DAY</t>
        </is>
      </c>
      <c r="Q43" s="1">
        <f>R42</f>
        <v/>
      </c>
      <c r="R43" s="1">
        <f>'Aug-26'!U44</f>
        <v/>
      </c>
      <c r="S43" s="1">
        <f>R43-Q43</f>
        <v/>
      </c>
      <c r="T43" s="1">
        <f>U42</f>
        <v/>
      </c>
      <c r="U43" s="1">
        <f>'Aug-26'!AF44</f>
        <v/>
      </c>
      <c r="V43" s="1">
        <f>U43-T43</f>
        <v/>
      </c>
      <c r="W43" s="151" t="n">
        <v>200</v>
      </c>
      <c r="X43" s="148" t="inlineStr">
        <is>
          <t>1 Hrs</t>
        </is>
      </c>
      <c r="Y43" s="148" t="inlineStr">
        <is>
          <t>Kanhaiya Lal</t>
        </is>
      </c>
      <c r="Z43" s="148" t="inlineStr">
        <is>
          <t>Rajkumar</t>
        </is>
      </c>
      <c r="AA43" s="148" t="n"/>
    </row>
    <row r="44">
      <c r="A44" s="128" t="n"/>
      <c r="B44" s="1" t="inlineStr">
        <is>
          <t>NIGHT</t>
        </is>
      </c>
      <c r="C44" s="1">
        <f>D43</f>
        <v/>
      </c>
      <c r="D44" s="1">
        <f>'Aug-26'!D45</f>
        <v/>
      </c>
      <c r="E44" s="1">
        <f>D44-C44</f>
        <v/>
      </c>
      <c r="F44" s="1">
        <f>G43</f>
        <v/>
      </c>
      <c r="G44" s="1">
        <f>'Aug-26'!O45</f>
        <v/>
      </c>
      <c r="H44" s="1">
        <f>G44-F44</f>
        <v/>
      </c>
      <c r="I44" s="151" t="n"/>
      <c r="J44" s="128" t="n"/>
      <c r="K44" s="128" t="n"/>
      <c r="L44" s="128" t="n"/>
      <c r="M44" s="128" t="n"/>
      <c r="O44" s="128" t="n"/>
      <c r="P44" s="1" t="inlineStr">
        <is>
          <t>NIGHT</t>
        </is>
      </c>
      <c r="Q44" s="1">
        <f>R43</f>
        <v/>
      </c>
      <c r="R44" s="1">
        <f>'Aug-26'!U45</f>
        <v/>
      </c>
      <c r="S44" s="1">
        <f>R44-Q44</f>
        <v/>
      </c>
      <c r="T44" s="1">
        <f>U43</f>
        <v/>
      </c>
      <c r="U44" s="1">
        <f>'Aug-26'!AF45</f>
        <v/>
      </c>
      <c r="V44" s="1">
        <f>U44-T44</f>
        <v/>
      </c>
      <c r="W44" s="151" t="n"/>
      <c r="X44" s="128" t="n"/>
      <c r="Y44" s="128" t="n"/>
      <c r="Z44" s="128" t="n"/>
      <c r="AA44" s="128" t="n"/>
    </row>
    <row r="45">
      <c r="A45" s="149">
        <f>A43+1</f>
        <v/>
      </c>
      <c r="B45" s="4" t="inlineStr">
        <is>
          <t>DAY</t>
        </is>
      </c>
      <c r="C45" s="1">
        <f>D44</f>
        <v/>
      </c>
      <c r="D45" s="1">
        <f>'Aug-26'!D46</f>
        <v/>
      </c>
      <c r="E45" s="1">
        <f>D45-C45</f>
        <v/>
      </c>
      <c r="F45" s="1">
        <f>G44</f>
        <v/>
      </c>
      <c r="G45" s="1">
        <f>'Aug-26'!O46</f>
        <v/>
      </c>
      <c r="H45" s="1">
        <f>G45-F45</f>
        <v/>
      </c>
      <c r="I45" s="151" t="n">
        <v>210</v>
      </c>
      <c r="J45" s="148" t="inlineStr">
        <is>
          <t>1 Hrs</t>
        </is>
      </c>
      <c r="K45" s="148" t="inlineStr">
        <is>
          <t>Saidullah Choudhary</t>
        </is>
      </c>
      <c r="L45" s="148" t="inlineStr">
        <is>
          <t>Nazeer Choudhary</t>
        </is>
      </c>
      <c r="M45" s="148" t="n"/>
      <c r="O45" s="149">
        <f>O43+1</f>
        <v/>
      </c>
      <c r="P45" s="4" t="inlineStr">
        <is>
          <t>DAY</t>
        </is>
      </c>
      <c r="Q45" s="1">
        <f>R44</f>
        <v/>
      </c>
      <c r="R45" s="1">
        <f>'Aug-26'!U46</f>
        <v/>
      </c>
      <c r="S45" s="1">
        <f>R45-Q45</f>
        <v/>
      </c>
      <c r="T45" s="1">
        <f>U44</f>
        <v/>
      </c>
      <c r="U45" s="1">
        <f>'Aug-26'!AF46</f>
        <v/>
      </c>
      <c r="V45" s="1">
        <f>U45-T45</f>
        <v/>
      </c>
      <c r="W45" s="151" t="n">
        <v>170</v>
      </c>
      <c r="X45" s="148" t="inlineStr">
        <is>
          <t>1 Hrs</t>
        </is>
      </c>
      <c r="Y45" s="148" t="inlineStr">
        <is>
          <t>Kanhaiya Lal</t>
        </is>
      </c>
      <c r="Z45" s="148" t="inlineStr">
        <is>
          <t>Aman Gupta</t>
        </is>
      </c>
      <c r="AA45" s="148" t="n"/>
    </row>
    <row r="46">
      <c r="A46" s="128" t="n"/>
      <c r="B46" s="1" t="inlineStr">
        <is>
          <t>NIGHT</t>
        </is>
      </c>
      <c r="C46" s="1">
        <f>D45</f>
        <v/>
      </c>
      <c r="D46" s="1">
        <f>'Aug-26'!D47</f>
        <v/>
      </c>
      <c r="E46" s="1">
        <f>D46-C46</f>
        <v/>
      </c>
      <c r="F46" s="1">
        <f>G45</f>
        <v/>
      </c>
      <c r="G46" s="1">
        <f>'Aug-26'!O47</f>
        <v/>
      </c>
      <c r="H46" s="1">
        <f>G46-F46</f>
        <v/>
      </c>
      <c r="I46" s="151" t="n"/>
      <c r="J46" s="128" t="n"/>
      <c r="K46" s="128" t="n"/>
      <c r="L46" s="128" t="n"/>
      <c r="M46" s="128" t="n"/>
      <c r="O46" s="128" t="n"/>
      <c r="P46" s="1" t="inlineStr">
        <is>
          <t>NIGHT</t>
        </is>
      </c>
      <c r="Q46" s="1">
        <f>R45</f>
        <v/>
      </c>
      <c r="R46" s="1">
        <f>'Aug-26'!U47</f>
        <v/>
      </c>
      <c r="S46" s="1">
        <f>R46-Q46</f>
        <v/>
      </c>
      <c r="T46" s="1">
        <f>U45</f>
        <v/>
      </c>
      <c r="U46" s="1">
        <f>'Aug-26'!AF47</f>
        <v/>
      </c>
      <c r="V46" s="1">
        <f>U46-T46</f>
        <v/>
      </c>
      <c r="W46" s="151" t="n"/>
      <c r="X46" s="128" t="n"/>
      <c r="Y46" s="128" t="n"/>
      <c r="Z46" s="128" t="n"/>
      <c r="AA46" s="128" t="n"/>
    </row>
    <row r="47">
      <c r="A47" s="149">
        <f>A45+1</f>
        <v/>
      </c>
      <c r="B47" s="4" t="inlineStr">
        <is>
          <t>DAY</t>
        </is>
      </c>
      <c r="C47" s="1">
        <f>D46</f>
        <v/>
      </c>
      <c r="D47" s="1">
        <f>'Aug-26'!D48</f>
        <v/>
      </c>
      <c r="E47" s="1">
        <f>D47-C47</f>
        <v/>
      </c>
      <c r="F47" s="1">
        <f>G46</f>
        <v/>
      </c>
      <c r="G47" s="1">
        <f>'Aug-26'!O48</f>
        <v/>
      </c>
      <c r="H47" s="1">
        <f>G47-F47</f>
        <v/>
      </c>
      <c r="I47" s="151" t="n">
        <v>200</v>
      </c>
      <c r="J47" s="148" t="inlineStr">
        <is>
          <t>1 Hrs</t>
        </is>
      </c>
      <c r="K47" s="148" t="inlineStr">
        <is>
          <t>Pankaj Choudhary</t>
        </is>
      </c>
      <c r="L47" s="148" t="inlineStr">
        <is>
          <t>Nazeer Choudhary</t>
        </is>
      </c>
      <c r="M47" s="148" t="n"/>
      <c r="O47" s="149">
        <f>O45+1</f>
        <v/>
      </c>
      <c r="P47" s="4" t="inlineStr">
        <is>
          <t>DAY</t>
        </is>
      </c>
      <c r="Q47" s="1">
        <f>R46</f>
        <v/>
      </c>
      <c r="R47" s="1">
        <f>'Aug-26'!U48</f>
        <v/>
      </c>
      <c r="S47" s="1">
        <f>R47-Q47</f>
        <v/>
      </c>
      <c r="T47" s="1">
        <f>U46</f>
        <v/>
      </c>
      <c r="U47" s="1">
        <f>'Aug-26'!AF48</f>
        <v/>
      </c>
      <c r="V47" s="1">
        <f>U47-T47</f>
        <v/>
      </c>
      <c r="W47" s="151" t="n">
        <v>250</v>
      </c>
      <c r="X47" s="148" t="inlineStr">
        <is>
          <t>1 Hrs</t>
        </is>
      </c>
      <c r="Y47" s="148" t="inlineStr">
        <is>
          <t>Rajkumar</t>
        </is>
      </c>
      <c r="Z47" s="148" t="inlineStr">
        <is>
          <t>Aman Gupta</t>
        </is>
      </c>
      <c r="AA47" s="148" t="n"/>
    </row>
    <row r="48">
      <c r="A48" s="128" t="n"/>
      <c r="B48" s="1" t="inlineStr">
        <is>
          <t>NIGHT</t>
        </is>
      </c>
      <c r="C48" s="1">
        <f>D47</f>
        <v/>
      </c>
      <c r="D48" s="1">
        <f>'Aug-26'!D49</f>
        <v/>
      </c>
      <c r="E48" s="1">
        <f>D48-C48</f>
        <v/>
      </c>
      <c r="F48" s="1">
        <f>G47</f>
        <v/>
      </c>
      <c r="G48" s="1">
        <f>'Aug-26'!O49</f>
        <v/>
      </c>
      <c r="H48" s="1">
        <f>G48-F48</f>
        <v/>
      </c>
      <c r="I48" s="151" t="n"/>
      <c r="J48" s="128" t="n"/>
      <c r="K48" s="128" t="n"/>
      <c r="L48" s="128" t="n"/>
      <c r="M48" s="128" t="n"/>
      <c r="O48" s="128" t="n"/>
      <c r="P48" s="1" t="inlineStr">
        <is>
          <t>NIGHT</t>
        </is>
      </c>
      <c r="Q48" s="1">
        <f>R47</f>
        <v/>
      </c>
      <c r="R48" s="1">
        <f>'Aug-26'!U49</f>
        <v/>
      </c>
      <c r="S48" s="1">
        <f>R48-Q48</f>
        <v/>
      </c>
      <c r="T48" s="1">
        <f>U47</f>
        <v/>
      </c>
      <c r="U48" s="1">
        <f>'Aug-26'!AF49</f>
        <v/>
      </c>
      <c r="V48" s="1">
        <f>U48-T48</f>
        <v/>
      </c>
      <c r="W48" s="151" t="n"/>
      <c r="X48" s="128" t="n"/>
      <c r="Y48" s="128" t="n"/>
      <c r="Z48" s="128" t="n"/>
      <c r="AA48" s="128" t="n"/>
    </row>
    <row r="49">
      <c r="A49" s="149">
        <f>A47+1</f>
        <v/>
      </c>
      <c r="B49" s="4" t="inlineStr">
        <is>
          <t>DAY</t>
        </is>
      </c>
      <c r="C49" s="1">
        <f>D48</f>
        <v/>
      </c>
      <c r="D49" s="1">
        <f>'Aug-26'!D50</f>
        <v/>
      </c>
      <c r="E49" s="1">
        <f>D49-C49</f>
        <v/>
      </c>
      <c r="F49" s="1">
        <f>G48</f>
        <v/>
      </c>
      <c r="G49" s="1">
        <f>'Aug-26'!O50</f>
        <v/>
      </c>
      <c r="H49" s="1">
        <f>G49-F49</f>
        <v/>
      </c>
      <c r="I49" s="151" t="n">
        <v>250</v>
      </c>
      <c r="J49" s="148" t="inlineStr">
        <is>
          <t>1 Hrs</t>
        </is>
      </c>
      <c r="K49" s="148" t="inlineStr">
        <is>
          <t>Pankaj Choudhary</t>
        </is>
      </c>
      <c r="L49" s="148" t="inlineStr">
        <is>
          <t>Saidullah Choudhary</t>
        </is>
      </c>
      <c r="M49" s="148" t="n"/>
      <c r="O49" s="149">
        <f>O47+1</f>
        <v/>
      </c>
      <c r="P49" s="4" t="inlineStr">
        <is>
          <t>DAY</t>
        </is>
      </c>
      <c r="Q49" s="1">
        <f>R48</f>
        <v/>
      </c>
      <c r="R49" s="1">
        <f>'Aug-26'!U50</f>
        <v/>
      </c>
      <c r="S49" s="1">
        <f>R49-Q49</f>
        <v/>
      </c>
      <c r="T49" s="1">
        <f>U48</f>
        <v/>
      </c>
      <c r="U49" s="1">
        <f>'Aug-26'!AF50</f>
        <v/>
      </c>
      <c r="V49" s="1">
        <f>U49-T49</f>
        <v/>
      </c>
      <c r="W49" s="151" t="n">
        <v>220</v>
      </c>
      <c r="X49" s="148" t="inlineStr">
        <is>
          <t>1 Hrs</t>
        </is>
      </c>
      <c r="Y49" s="148" t="inlineStr">
        <is>
          <t>Rajkumar</t>
        </is>
      </c>
      <c r="Z49" s="148" t="inlineStr">
        <is>
          <t>Kanhaiya Lal</t>
        </is>
      </c>
      <c r="AA49" s="148" t="n"/>
    </row>
    <row r="50">
      <c r="A50" s="128" t="n"/>
      <c r="B50" s="1" t="inlineStr">
        <is>
          <t>NIGHT</t>
        </is>
      </c>
      <c r="C50" s="1">
        <f>D49</f>
        <v/>
      </c>
      <c r="D50" s="1">
        <f>'Aug-26'!D51</f>
        <v/>
      </c>
      <c r="E50" s="1">
        <f>D50-C50</f>
        <v/>
      </c>
      <c r="F50" s="1">
        <f>G49</f>
        <v/>
      </c>
      <c r="G50" s="1">
        <f>'Aug-26'!O51</f>
        <v/>
      </c>
      <c r="H50" s="1">
        <f>G50-F50</f>
        <v/>
      </c>
      <c r="I50" s="151" t="n"/>
      <c r="J50" s="128" t="n"/>
      <c r="K50" s="128" t="n"/>
      <c r="L50" s="128" t="n"/>
      <c r="M50" s="128" t="n"/>
      <c r="O50" s="128" t="n"/>
      <c r="P50" s="1" t="inlineStr">
        <is>
          <t>NIGHT</t>
        </is>
      </c>
      <c r="Q50" s="1">
        <f>R49</f>
        <v/>
      </c>
      <c r="R50" s="1">
        <f>'Aug-26'!U51</f>
        <v/>
      </c>
      <c r="S50" s="1">
        <f>R50-Q50</f>
        <v/>
      </c>
      <c r="T50" s="1">
        <f>U49</f>
        <v/>
      </c>
      <c r="U50" s="1">
        <f>'Aug-26'!AF51</f>
        <v/>
      </c>
      <c r="V50" s="1">
        <f>U50-T50</f>
        <v/>
      </c>
      <c r="W50" s="151" t="n"/>
      <c r="X50" s="128" t="n"/>
      <c r="Y50" s="128" t="n"/>
      <c r="Z50" s="128" t="n"/>
      <c r="AA50" s="128" t="n"/>
    </row>
    <row r="51">
      <c r="A51" s="149">
        <f>A49+1</f>
        <v/>
      </c>
      <c r="B51" s="4" t="inlineStr">
        <is>
          <t>DAY</t>
        </is>
      </c>
      <c r="C51" s="1">
        <f>D50</f>
        <v/>
      </c>
      <c r="D51" s="1">
        <f>'Aug-26'!D52</f>
        <v/>
      </c>
      <c r="E51" s="1">
        <f>D51-C51</f>
        <v/>
      </c>
      <c r="F51" s="1">
        <f>G50</f>
        <v/>
      </c>
      <c r="G51" s="1">
        <f>'Aug-26'!O52</f>
        <v/>
      </c>
      <c r="H51" s="1">
        <f>G51-F51</f>
        <v/>
      </c>
      <c r="I51" s="151" t="n">
        <v>260</v>
      </c>
      <c r="J51" s="148" t="inlineStr">
        <is>
          <t>1 Hrs</t>
        </is>
      </c>
      <c r="K51" s="148" t="inlineStr">
        <is>
          <t>Nazeer Choudhary</t>
        </is>
      </c>
      <c r="L51" s="148" t="inlineStr">
        <is>
          <t>Saidullah Choudhary</t>
        </is>
      </c>
      <c r="M51" s="148" t="n"/>
      <c r="O51" s="149">
        <f>O49+1</f>
        <v/>
      </c>
      <c r="P51" s="4" t="inlineStr">
        <is>
          <t>DAY</t>
        </is>
      </c>
      <c r="Q51" s="1">
        <f>R50</f>
        <v/>
      </c>
      <c r="R51" s="1">
        <f>'Aug-26'!U52</f>
        <v/>
      </c>
      <c r="S51" s="1">
        <f>R51-Q51</f>
        <v/>
      </c>
      <c r="T51" s="1">
        <f>U50</f>
        <v/>
      </c>
      <c r="U51" s="1">
        <f>'Aug-26'!AF52</f>
        <v/>
      </c>
      <c r="V51" s="1">
        <f>U51-T51</f>
        <v/>
      </c>
      <c r="W51" s="151" t="n">
        <v>270</v>
      </c>
      <c r="X51" s="148" t="inlineStr">
        <is>
          <t>1 Hrs</t>
        </is>
      </c>
      <c r="Y51" s="148" t="inlineStr">
        <is>
          <t>Aman Gupta</t>
        </is>
      </c>
      <c r="Z51" s="148" t="inlineStr">
        <is>
          <t>Kanhaiya Lal</t>
        </is>
      </c>
      <c r="AA51" s="148" t="n"/>
    </row>
    <row r="52">
      <c r="A52" s="128" t="n"/>
      <c r="B52" s="1" t="inlineStr">
        <is>
          <t>NIGHT</t>
        </is>
      </c>
      <c r="C52" s="1">
        <f>D51</f>
        <v/>
      </c>
      <c r="D52" s="1">
        <f>'Aug-26'!D53</f>
        <v/>
      </c>
      <c r="E52" s="1">
        <f>D52-C52</f>
        <v/>
      </c>
      <c r="F52" s="1">
        <f>G51</f>
        <v/>
      </c>
      <c r="G52" s="1">
        <f>'Aug-26'!O53</f>
        <v/>
      </c>
      <c r="H52" s="1">
        <f>G52-F52</f>
        <v/>
      </c>
      <c r="I52" s="151" t="n"/>
      <c r="J52" s="128" t="n"/>
      <c r="K52" s="128" t="n"/>
      <c r="L52" s="128" t="n"/>
      <c r="M52" s="128" t="n"/>
      <c r="O52" s="128" t="n"/>
      <c r="P52" s="1" t="inlineStr">
        <is>
          <t>NIGHT</t>
        </is>
      </c>
      <c r="Q52" s="1">
        <f>R51</f>
        <v/>
      </c>
      <c r="R52" s="1">
        <f>'Aug-26'!U53</f>
        <v/>
      </c>
      <c r="S52" s="1">
        <f>R52-Q52</f>
        <v/>
      </c>
      <c r="T52" s="1">
        <f>U51</f>
        <v/>
      </c>
      <c r="U52" s="1">
        <f>'Aug-26'!AF53</f>
        <v/>
      </c>
      <c r="V52" s="1">
        <f>U52-T52</f>
        <v/>
      </c>
      <c r="W52" s="151" t="n"/>
      <c r="X52" s="128" t="n"/>
      <c r="Y52" s="128" t="n"/>
      <c r="Z52" s="128" t="n"/>
      <c r="AA52" s="128" t="n"/>
    </row>
    <row r="53">
      <c r="A53" s="149">
        <f>A51+1</f>
        <v/>
      </c>
      <c r="B53" s="4" t="inlineStr">
        <is>
          <t>DAY</t>
        </is>
      </c>
      <c r="C53" s="1">
        <f>D52</f>
        <v/>
      </c>
      <c r="D53" s="1">
        <f>'Aug-26'!D54</f>
        <v/>
      </c>
      <c r="E53" s="1">
        <f>D53-C53</f>
        <v/>
      </c>
      <c r="F53" s="1">
        <f>G52</f>
        <v/>
      </c>
      <c r="G53" s="1">
        <f>'Aug-26'!O54</f>
        <v/>
      </c>
      <c r="H53" s="1">
        <f>G53-F53</f>
        <v/>
      </c>
      <c r="I53" s="151" t="n">
        <v>140</v>
      </c>
      <c r="J53" s="148" t="inlineStr">
        <is>
          <t>1 Hrs</t>
        </is>
      </c>
      <c r="K53" s="148" t="inlineStr">
        <is>
          <t>Rajkumar</t>
        </is>
      </c>
      <c r="L53" s="148" t="inlineStr">
        <is>
          <t>Pankaj Choudhary</t>
        </is>
      </c>
      <c r="M53" s="148" t="n"/>
      <c r="O53" s="149">
        <f>O51+1</f>
        <v/>
      </c>
      <c r="P53" s="4" t="inlineStr">
        <is>
          <t>DAY</t>
        </is>
      </c>
      <c r="Q53" s="1">
        <f>R52</f>
        <v/>
      </c>
      <c r="R53" s="1">
        <f>'Aug-26'!U54</f>
        <v/>
      </c>
      <c r="S53" s="1">
        <f>R53-Q53</f>
        <v/>
      </c>
      <c r="T53" s="1">
        <f>U52</f>
        <v/>
      </c>
      <c r="U53" s="1">
        <f>'Aug-26'!AF54</f>
        <v/>
      </c>
      <c r="V53" s="1">
        <f>U53-T53</f>
        <v/>
      </c>
      <c r="W53" s="151" t="n">
        <v>150</v>
      </c>
      <c r="X53" s="148" t="inlineStr">
        <is>
          <t>1 Hrs</t>
        </is>
      </c>
      <c r="Y53" s="148" t="inlineStr">
        <is>
          <t>Aman Gupta</t>
        </is>
      </c>
      <c r="Z53" s="148" t="inlineStr">
        <is>
          <t>Kanhaiya Lal</t>
        </is>
      </c>
      <c r="AA53" s="148" t="n"/>
    </row>
    <row r="54">
      <c r="A54" s="128" t="n"/>
      <c r="B54" s="1" t="inlineStr">
        <is>
          <t>NIGHT</t>
        </is>
      </c>
      <c r="C54" s="1">
        <f>D53</f>
        <v/>
      </c>
      <c r="D54" s="1">
        <f>'Aug-26'!D55</f>
        <v/>
      </c>
      <c r="E54" s="1">
        <f>D54-C54</f>
        <v/>
      </c>
      <c r="F54" s="1">
        <f>G53</f>
        <v/>
      </c>
      <c r="G54" s="1">
        <f>'Aug-26'!O55</f>
        <v/>
      </c>
      <c r="H54" s="1">
        <f>G54-F54</f>
        <v/>
      </c>
      <c r="I54" s="151" t="n"/>
      <c r="J54" s="128" t="n"/>
      <c r="K54" s="128" t="n"/>
      <c r="L54" s="128" t="n"/>
      <c r="M54" s="128" t="n"/>
      <c r="O54" s="128" t="n"/>
      <c r="P54" s="1" t="inlineStr">
        <is>
          <t>NIGHT</t>
        </is>
      </c>
      <c r="Q54" s="1">
        <f>R53</f>
        <v/>
      </c>
      <c r="R54" s="1">
        <f>'Aug-26'!U55</f>
        <v/>
      </c>
      <c r="S54" s="1">
        <f>R54-Q54</f>
        <v/>
      </c>
      <c r="T54" s="1">
        <f>U53</f>
        <v/>
      </c>
      <c r="U54" s="1">
        <f>'Aug-26'!AF55</f>
        <v/>
      </c>
      <c r="V54" s="1">
        <f>U54-T54</f>
        <v/>
      </c>
      <c r="W54" s="151" t="n"/>
      <c r="X54" s="128" t="n"/>
      <c r="Y54" s="128" t="n"/>
      <c r="Z54" s="128" t="n"/>
      <c r="AA54" s="128" t="n"/>
    </row>
    <row r="55">
      <c r="A55" s="149">
        <f>A53+1</f>
        <v/>
      </c>
      <c r="B55" s="4" t="inlineStr">
        <is>
          <t>DAY</t>
        </is>
      </c>
      <c r="C55" s="1">
        <f>D54</f>
        <v/>
      </c>
      <c r="D55" s="1">
        <f>'Aug-26'!D56</f>
        <v/>
      </c>
      <c r="E55" s="1">
        <f>D55-C55</f>
        <v/>
      </c>
      <c r="F55" s="1">
        <f>G54</f>
        <v/>
      </c>
      <c r="G55" s="1">
        <f>'Aug-26'!O56</f>
        <v/>
      </c>
      <c r="H55" s="1">
        <f>G55-F55</f>
        <v/>
      </c>
      <c r="I55" s="151" t="n">
        <v>300</v>
      </c>
      <c r="J55" s="148" t="inlineStr">
        <is>
          <t>1 Hrs</t>
        </is>
      </c>
      <c r="K55" s="148" t="inlineStr">
        <is>
          <t>Nazeer Choudhary</t>
        </is>
      </c>
      <c r="L55" s="148" t="inlineStr">
        <is>
          <t>Pankaj Choudhary</t>
        </is>
      </c>
      <c r="M55" s="148" t="n"/>
      <c r="O55" s="149">
        <f>O53+1</f>
        <v/>
      </c>
      <c r="P55" s="4" t="inlineStr">
        <is>
          <t>DAY</t>
        </is>
      </c>
      <c r="Q55" s="1">
        <f>R54</f>
        <v/>
      </c>
      <c r="R55" s="1">
        <f>'Aug-26'!U56</f>
        <v/>
      </c>
      <c r="S55" s="1">
        <f>R55-Q55</f>
        <v/>
      </c>
      <c r="T55" s="1">
        <f>U54</f>
        <v/>
      </c>
      <c r="U55" s="1">
        <f>'Aug-26'!AF56</f>
        <v/>
      </c>
      <c r="V55" s="1">
        <f>U55-T55</f>
        <v/>
      </c>
      <c r="W55" s="151" t="n">
        <v>260</v>
      </c>
      <c r="X55" s="148" t="inlineStr">
        <is>
          <t>1 Hrs</t>
        </is>
      </c>
      <c r="Y55" s="148" t="inlineStr">
        <is>
          <t>Aman Gupta</t>
        </is>
      </c>
      <c r="Z55" s="148" t="inlineStr">
        <is>
          <t>Rajkumar</t>
        </is>
      </c>
      <c r="AA55" s="148" t="n"/>
    </row>
    <row r="56">
      <c r="A56" s="128" t="n"/>
      <c r="B56" s="1" t="inlineStr">
        <is>
          <t>NIGHT</t>
        </is>
      </c>
      <c r="C56" s="1">
        <f>D55</f>
        <v/>
      </c>
      <c r="D56" s="1">
        <f>'Aug-26'!D57</f>
        <v/>
      </c>
      <c r="E56" s="1">
        <f>D56-C56</f>
        <v/>
      </c>
      <c r="F56" s="1">
        <f>G55</f>
        <v/>
      </c>
      <c r="G56" s="1">
        <f>'Aug-26'!O57</f>
        <v/>
      </c>
      <c r="H56" s="1">
        <f>G56-F56</f>
        <v/>
      </c>
      <c r="I56" s="151" t="n"/>
      <c r="J56" s="128" t="n"/>
      <c r="K56" s="128" t="n"/>
      <c r="L56" s="128" t="n"/>
      <c r="M56" s="128" t="n"/>
      <c r="O56" s="128" t="n"/>
      <c r="P56" s="1" t="inlineStr">
        <is>
          <t>NIGHT</t>
        </is>
      </c>
      <c r="Q56" s="1">
        <f>R55</f>
        <v/>
      </c>
      <c r="R56" s="1">
        <f>'Aug-26'!U57</f>
        <v/>
      </c>
      <c r="S56" s="1">
        <f>R56-Q56</f>
        <v/>
      </c>
      <c r="T56" s="1">
        <f>U55</f>
        <v/>
      </c>
      <c r="U56" s="1">
        <f>'Aug-26'!AF57</f>
        <v/>
      </c>
      <c r="V56" s="1">
        <f>U56-T56</f>
        <v/>
      </c>
      <c r="W56" s="151" t="n"/>
      <c r="X56" s="128" t="n"/>
      <c r="Y56" s="128" t="n"/>
      <c r="Z56" s="128" t="n"/>
      <c r="AA56" s="128" t="n"/>
    </row>
    <row r="57">
      <c r="A57" s="149">
        <f>A55+1</f>
        <v/>
      </c>
      <c r="B57" s="4" t="inlineStr">
        <is>
          <t>DAY</t>
        </is>
      </c>
      <c r="C57" s="1">
        <f>D56</f>
        <v/>
      </c>
      <c r="D57" s="1">
        <f>'Aug-26'!D58</f>
        <v/>
      </c>
      <c r="E57" s="1">
        <f>D57-C57</f>
        <v/>
      </c>
      <c r="F57" s="1">
        <f>G56</f>
        <v/>
      </c>
      <c r="G57" s="1">
        <f>'Aug-26'!O58</f>
        <v/>
      </c>
      <c r="H57" s="1">
        <f>G57-F57</f>
        <v/>
      </c>
      <c r="I57" s="151" t="n">
        <v>200</v>
      </c>
      <c r="J57" s="148" t="inlineStr">
        <is>
          <t>1 Hrs</t>
        </is>
      </c>
      <c r="K57" s="148" t="inlineStr">
        <is>
          <t>Saidullah Choudhary</t>
        </is>
      </c>
      <c r="L57" s="148" t="inlineStr">
        <is>
          <t>Nazeer Choudhary</t>
        </is>
      </c>
      <c r="M57" s="148" t="n"/>
      <c r="O57" s="149">
        <f>O55+1</f>
        <v/>
      </c>
      <c r="P57" s="4" t="inlineStr">
        <is>
          <t>DAY</t>
        </is>
      </c>
      <c r="Q57" s="1">
        <f>R56</f>
        <v/>
      </c>
      <c r="R57" s="1">
        <f>'Aug-26'!U58</f>
        <v/>
      </c>
      <c r="S57" s="1">
        <f>R57-Q57</f>
        <v/>
      </c>
      <c r="T57" s="1">
        <f>U56</f>
        <v/>
      </c>
      <c r="U57" s="1">
        <f>'Aug-26'!AF58</f>
        <v/>
      </c>
      <c r="V57" s="1">
        <f>U57-T57</f>
        <v/>
      </c>
      <c r="W57" s="151" t="n">
        <v>220</v>
      </c>
      <c r="X57" s="148" t="inlineStr">
        <is>
          <t>1 Hrs</t>
        </is>
      </c>
      <c r="Y57" s="148" t="inlineStr">
        <is>
          <t>Kanhaiya Lal</t>
        </is>
      </c>
      <c r="Z57" s="148" t="inlineStr">
        <is>
          <t>Rajkumar</t>
        </is>
      </c>
      <c r="AA57" s="148" t="n"/>
    </row>
    <row r="58">
      <c r="A58" s="128" t="n"/>
      <c r="B58" s="1" t="inlineStr">
        <is>
          <t>NIGHT</t>
        </is>
      </c>
      <c r="C58" s="1">
        <f>D57</f>
        <v/>
      </c>
      <c r="D58" s="1">
        <f>'Aug-26'!D59</f>
        <v/>
      </c>
      <c r="E58" s="1">
        <f>D58-C58</f>
        <v/>
      </c>
      <c r="F58" s="1">
        <f>G57</f>
        <v/>
      </c>
      <c r="G58" s="1">
        <f>'Aug-26'!O59</f>
        <v/>
      </c>
      <c r="H58" s="1">
        <f>G58-F58</f>
        <v/>
      </c>
      <c r="I58" s="151" t="n"/>
      <c r="J58" s="128" t="n"/>
      <c r="K58" s="128" t="n"/>
      <c r="L58" s="128" t="n"/>
      <c r="M58" s="128" t="n"/>
      <c r="O58" s="128" t="n"/>
      <c r="P58" s="1" t="inlineStr">
        <is>
          <t>NIGHT</t>
        </is>
      </c>
      <c r="Q58" s="1">
        <f>R57</f>
        <v/>
      </c>
      <c r="R58" s="1">
        <f>'Aug-26'!U59</f>
        <v/>
      </c>
      <c r="S58" s="1">
        <f>R58-Q58</f>
        <v/>
      </c>
      <c r="T58" s="1">
        <f>U57</f>
        <v/>
      </c>
      <c r="U58" s="1">
        <f>'Aug-26'!AF59</f>
        <v/>
      </c>
      <c r="V58" s="1">
        <f>U58-T58</f>
        <v/>
      </c>
      <c r="W58" s="151" t="n"/>
      <c r="X58" s="128" t="n"/>
      <c r="Y58" s="128" t="n"/>
      <c r="Z58" s="128" t="n"/>
      <c r="AA58" s="128" t="n"/>
    </row>
    <row r="59">
      <c r="A59" s="149">
        <f>A57+1</f>
        <v/>
      </c>
      <c r="B59" s="4" t="inlineStr">
        <is>
          <t>DAY</t>
        </is>
      </c>
      <c r="C59" s="1">
        <f>D58</f>
        <v/>
      </c>
      <c r="D59" s="1">
        <f>'Aug-26'!D60</f>
        <v/>
      </c>
      <c r="E59" s="1">
        <f>D59-C59</f>
        <v/>
      </c>
      <c r="F59" s="1">
        <f>G58</f>
        <v/>
      </c>
      <c r="G59" s="1">
        <f>'Aug-26'!O60</f>
        <v/>
      </c>
      <c r="H59" s="1">
        <f>G59-F59</f>
        <v/>
      </c>
      <c r="I59" s="151" t="n">
        <v>200</v>
      </c>
      <c r="J59" s="148" t="inlineStr">
        <is>
          <t>1 Hrs</t>
        </is>
      </c>
      <c r="K59" s="148" t="inlineStr">
        <is>
          <t>Pankaj Choudhary</t>
        </is>
      </c>
      <c r="L59" s="148" t="inlineStr">
        <is>
          <t>Kanhaiya Lal</t>
        </is>
      </c>
      <c r="M59" s="148" t="n"/>
      <c r="O59" s="149">
        <f>O57+1</f>
        <v/>
      </c>
      <c r="P59" s="4" t="inlineStr">
        <is>
          <t>DAY</t>
        </is>
      </c>
      <c r="Q59" s="1">
        <f>R58</f>
        <v/>
      </c>
      <c r="R59" s="1">
        <f>'Aug-26'!U60</f>
        <v/>
      </c>
      <c r="S59" s="1">
        <f>R59-Q59</f>
        <v/>
      </c>
      <c r="T59" s="1">
        <f>U58</f>
        <v/>
      </c>
      <c r="U59" s="1">
        <f>'Aug-26'!AF60</f>
        <v/>
      </c>
      <c r="V59" s="1">
        <f>U59-T59</f>
        <v/>
      </c>
      <c r="W59" s="151" t="n">
        <v>180</v>
      </c>
      <c r="X59" s="148" t="inlineStr">
        <is>
          <t>1 Hrs</t>
        </is>
      </c>
      <c r="Y59" s="148" t="inlineStr">
        <is>
          <t>Saidullah Choudhary</t>
        </is>
      </c>
      <c r="Z59" s="148" t="inlineStr">
        <is>
          <t>Aman Gupta</t>
        </is>
      </c>
      <c r="AA59" s="148" t="n"/>
    </row>
    <row r="60">
      <c r="A60" s="128" t="n"/>
      <c r="B60" s="1" t="inlineStr">
        <is>
          <t>NIGHT</t>
        </is>
      </c>
      <c r="C60" s="1">
        <f>D59</f>
        <v/>
      </c>
      <c r="D60" s="1">
        <f>'Aug-26'!D61</f>
        <v/>
      </c>
      <c r="E60" s="1">
        <f>D60-C60</f>
        <v/>
      </c>
      <c r="F60" s="1">
        <f>G59</f>
        <v/>
      </c>
      <c r="G60" s="1">
        <f>'Aug-26'!O61</f>
        <v/>
      </c>
      <c r="H60" s="1">
        <f>G60-F60</f>
        <v/>
      </c>
      <c r="I60" s="151" t="n"/>
      <c r="J60" s="128" t="n"/>
      <c r="K60" s="128" t="n"/>
      <c r="L60" s="128" t="n"/>
      <c r="M60" s="128" t="n"/>
      <c r="O60" s="128" t="n"/>
      <c r="P60" s="1" t="inlineStr">
        <is>
          <t>NIGHT</t>
        </is>
      </c>
      <c r="Q60" s="1">
        <f>R59</f>
        <v/>
      </c>
      <c r="R60" s="1">
        <f>'Aug-26'!U61</f>
        <v/>
      </c>
      <c r="S60" s="1">
        <f>R60-Q60</f>
        <v/>
      </c>
      <c r="T60" s="1">
        <f>U59</f>
        <v/>
      </c>
      <c r="U60" s="1">
        <f>'Aug-26'!AF61</f>
        <v/>
      </c>
      <c r="V60" s="1">
        <f>U60-T60</f>
        <v/>
      </c>
      <c r="W60" s="151" t="n">
        <v>180</v>
      </c>
      <c r="X60" s="128" t="n"/>
      <c r="Y60" s="128" t="n"/>
      <c r="Z60" s="128" t="n"/>
      <c r="AA60" s="128" t="n"/>
    </row>
    <row r="61">
      <c r="A61" s="149">
        <f>A59+1</f>
        <v/>
      </c>
      <c r="B61" s="4" t="inlineStr">
        <is>
          <t>DAY</t>
        </is>
      </c>
      <c r="C61" s="1">
        <f>D60</f>
        <v/>
      </c>
      <c r="D61" s="1">
        <f>'Aug-26'!D62</f>
        <v/>
      </c>
      <c r="E61" s="1">
        <f>D61-C61</f>
        <v/>
      </c>
      <c r="F61" s="1">
        <f>G60</f>
        <v/>
      </c>
      <c r="G61" s="1">
        <f>'Aug-26'!O62</f>
        <v/>
      </c>
      <c r="H61" s="1">
        <f>G61-F61</f>
        <v/>
      </c>
      <c r="I61" s="151" t="n">
        <v>160</v>
      </c>
      <c r="J61" s="148" t="inlineStr">
        <is>
          <t>1 Hrs</t>
        </is>
      </c>
      <c r="K61" s="148" t="inlineStr">
        <is>
          <t>Pankaj Choudhary</t>
        </is>
      </c>
      <c r="L61" s="148" t="inlineStr">
        <is>
          <t>Saidullah Choudhary</t>
        </is>
      </c>
      <c r="M61" s="148" t="n"/>
      <c r="O61" s="149">
        <f>O59+1</f>
        <v/>
      </c>
      <c r="P61" s="4" t="inlineStr">
        <is>
          <t>DAY</t>
        </is>
      </c>
      <c r="Q61" s="1">
        <f>R60</f>
        <v/>
      </c>
      <c r="R61" s="1">
        <f>'Aug-26'!U62</f>
        <v/>
      </c>
      <c r="S61" s="1">
        <f>R61-Q61</f>
        <v/>
      </c>
      <c r="T61" s="1">
        <f>U60</f>
        <v/>
      </c>
      <c r="U61" s="1">
        <f>'Aug-26'!AF62</f>
        <v/>
      </c>
      <c r="V61" s="1">
        <f>U61-T61</f>
        <v/>
      </c>
      <c r="W61" s="1" t="n"/>
      <c r="X61" s="148" t="inlineStr">
        <is>
          <t>1 Hrs</t>
        </is>
      </c>
      <c r="Y61" s="148" t="inlineStr">
        <is>
          <t>Rajkumar</t>
        </is>
      </c>
      <c r="Z61" s="148" t="inlineStr">
        <is>
          <t>Aman Gupta</t>
        </is>
      </c>
      <c r="AA61" s="148" t="n"/>
    </row>
    <row r="62">
      <c r="A62" s="128" t="n"/>
      <c r="B62" s="1" t="inlineStr">
        <is>
          <t>NIGHT</t>
        </is>
      </c>
      <c r="C62" s="1">
        <f>D61</f>
        <v/>
      </c>
      <c r="D62" s="1">
        <f>'Aug-26'!D63</f>
        <v/>
      </c>
      <c r="E62" s="1">
        <f>D62-C62</f>
        <v/>
      </c>
      <c r="F62" s="1">
        <f>G61</f>
        <v/>
      </c>
      <c r="G62" s="1">
        <f>'Aug-26'!O63</f>
        <v/>
      </c>
      <c r="H62" s="1">
        <f>G62-F62</f>
        <v/>
      </c>
      <c r="I62" s="151" t="n"/>
      <c r="J62" s="128" t="n"/>
      <c r="K62" s="128" t="n"/>
      <c r="L62" s="128" t="n"/>
      <c r="M62" s="128" t="n"/>
      <c r="O62" s="128" t="n"/>
      <c r="P62" s="1" t="inlineStr">
        <is>
          <t>NIGHT</t>
        </is>
      </c>
      <c r="Q62" s="1">
        <f>R61</f>
        <v/>
      </c>
      <c r="R62" s="1">
        <f>'Aug-26'!U63</f>
        <v/>
      </c>
      <c r="S62" s="1">
        <f>R62-Q62</f>
        <v/>
      </c>
      <c r="T62" s="1">
        <f>U61</f>
        <v/>
      </c>
      <c r="U62" s="1">
        <f>'Aug-26'!AF63</f>
        <v/>
      </c>
      <c r="V62" s="1">
        <f>U62-T62</f>
        <v/>
      </c>
      <c r="W62" s="1" t="n"/>
      <c r="X62" s="128" t="n"/>
      <c r="Y62" s="128" t="n"/>
      <c r="Z62" s="128" t="n"/>
      <c r="AA62" s="128" t="n"/>
    </row>
    <row r="63">
      <c r="A63" s="149">
        <f>A61+1</f>
        <v/>
      </c>
      <c r="B63" s="4" t="inlineStr">
        <is>
          <t>DAY</t>
        </is>
      </c>
      <c r="C63" s="1">
        <f>D62</f>
        <v/>
      </c>
      <c r="D63" s="1">
        <f>'Aug-26'!D64</f>
        <v/>
      </c>
      <c r="E63" s="1">
        <f>D63-C63</f>
        <v/>
      </c>
      <c r="F63" s="1">
        <f>G62</f>
        <v/>
      </c>
      <c r="G63" s="1">
        <f>'Aug-26'!O64</f>
        <v/>
      </c>
      <c r="H63" s="1">
        <f>G63-F63</f>
        <v/>
      </c>
      <c r="I63" s="148" t="n">
        <v>370</v>
      </c>
      <c r="J63" s="148" t="inlineStr">
        <is>
          <t>1 Hrs</t>
        </is>
      </c>
      <c r="K63" s="148" t="inlineStr">
        <is>
          <t>Pankaj Choudhary</t>
        </is>
      </c>
      <c r="L63" s="148" t="inlineStr">
        <is>
          <t>Saidullah Choudhary</t>
        </is>
      </c>
      <c r="M63" s="148" t="n"/>
      <c r="O63" s="149">
        <f>O61+1</f>
        <v/>
      </c>
      <c r="P63" s="4" t="inlineStr">
        <is>
          <t>DAY</t>
        </is>
      </c>
      <c r="Q63" s="1">
        <f>R62</f>
        <v/>
      </c>
      <c r="R63" s="1">
        <f>'Aug-26'!U64</f>
        <v/>
      </c>
      <c r="S63" s="1">
        <f>R63-Q63</f>
        <v/>
      </c>
      <c r="T63" s="1">
        <f>U62</f>
        <v/>
      </c>
      <c r="U63" s="1">
        <f>'Aug-26'!AF64</f>
        <v/>
      </c>
      <c r="V63" s="1">
        <f>U63-T63</f>
        <v/>
      </c>
      <c r="W63" s="148" t="n">
        <v>380</v>
      </c>
      <c r="X63" s="148" t="inlineStr">
        <is>
          <t>1 Hrs</t>
        </is>
      </c>
      <c r="Y63" s="148" t="inlineStr">
        <is>
          <t>Rajkumar</t>
        </is>
      </c>
      <c r="Z63" s="148" t="inlineStr">
        <is>
          <t>Kanhaiya Lal</t>
        </is>
      </c>
      <c r="AA63" s="148" t="n"/>
    </row>
    <row r="64">
      <c r="A64" s="128" t="n"/>
      <c r="B64" s="1" t="inlineStr">
        <is>
          <t>NIGHT</t>
        </is>
      </c>
      <c r="C64" s="1">
        <f>D63</f>
        <v/>
      </c>
      <c r="D64" s="1">
        <f>'Aug-26'!D65</f>
        <v/>
      </c>
      <c r="E64" s="1">
        <f>D64-C64</f>
        <v/>
      </c>
      <c r="F64" s="1">
        <f>G63</f>
        <v/>
      </c>
      <c r="G64" s="1">
        <f>'Aug-26'!O65</f>
        <v/>
      </c>
      <c r="H64" s="1">
        <f>G64-F64</f>
        <v/>
      </c>
      <c r="I64" s="1" t="n"/>
      <c r="J64" s="128" t="n"/>
      <c r="K64" s="128" t="n"/>
      <c r="L64" s="128" t="n"/>
      <c r="M64" s="128" t="n"/>
      <c r="O64" s="128" t="n"/>
      <c r="P64" s="1" t="inlineStr">
        <is>
          <t>NIGHT</t>
        </is>
      </c>
      <c r="Q64" s="1">
        <f>R63</f>
        <v/>
      </c>
      <c r="R64" s="1">
        <f>'Aug-26'!U65</f>
        <v/>
      </c>
      <c r="S64" s="1">
        <f>R64-Q64</f>
        <v/>
      </c>
      <c r="T64" s="1">
        <f>U63</f>
        <v/>
      </c>
      <c r="U64" s="1">
        <f>'Aug-26'!AF65</f>
        <v/>
      </c>
      <c r="V64" s="1">
        <f>U64-T64</f>
        <v/>
      </c>
      <c r="W64" s="1" t="n"/>
      <c r="X64" s="128" t="n"/>
      <c r="Y64" s="128" t="n"/>
      <c r="Z64" s="128" t="n"/>
      <c r="AA64" s="128" t="n"/>
    </row>
    <row r="65">
      <c r="A65" s="151" t="inlineStr">
        <is>
          <t>HMR TOTAL</t>
        </is>
      </c>
      <c r="B65" s="137" t="n"/>
      <c r="C65" s="151" t="n"/>
      <c r="D65" s="151" t="n"/>
      <c r="E65" s="151">
        <f>SUBTOTAL(9,E3:E64)</f>
        <v/>
      </c>
      <c r="F65" s="151" t="n"/>
      <c r="G65" s="151" t="n"/>
      <c r="H65" s="151">
        <f>SUBTOTAL(9,H3:H64)</f>
        <v/>
      </c>
      <c r="I65" s="151">
        <f>SUBTOTAL(9,I3:I64)</f>
        <v/>
      </c>
      <c r="J65" s="151" t="n"/>
      <c r="K65" s="151" t="n"/>
      <c r="L65" s="151" t="n"/>
      <c r="M65" s="151" t="n"/>
      <c r="O65" s="151" t="inlineStr">
        <is>
          <t>HMR TOTAL</t>
        </is>
      </c>
      <c r="P65" s="137" t="n"/>
      <c r="Q65" s="151" t="n"/>
      <c r="R65" s="151" t="n"/>
      <c r="S65" s="151">
        <f>SUBTOTAL(9,S3:S64)</f>
        <v/>
      </c>
      <c r="T65" s="151" t="n"/>
      <c r="U65" s="151" t="n"/>
      <c r="V65" s="151">
        <f>SUBTOTAL(9,V3:V64)</f>
        <v/>
      </c>
      <c r="W65" s="151">
        <f>SUBTOTAL(9,W3:W64)</f>
        <v/>
      </c>
      <c r="X65" s="151" t="n"/>
      <c r="Y65" s="151" t="n"/>
      <c r="Z65" s="151" t="n"/>
      <c r="AA65" s="151" t="n"/>
    </row>
  </sheetData>
  <mergeCells count="316">
    <mergeCell ref="K63:K64"/>
    <mergeCell ref="Z25:Z26"/>
    <mergeCell ref="L53:L54"/>
    <mergeCell ref="K27:K28"/>
    <mergeCell ref="Y51:Y52"/>
    <mergeCell ref="J55:J56"/>
    <mergeCell ref="L55:L56"/>
    <mergeCell ref="Z37:Z38"/>
    <mergeCell ref="X45:X46"/>
    <mergeCell ref="K53:K54"/>
    <mergeCell ref="K9:K10"/>
    <mergeCell ref="M53:M54"/>
    <mergeCell ref="Y33:Y34"/>
    <mergeCell ref="M47:M48"/>
    <mergeCell ref="M9:M10"/>
    <mergeCell ref="O9:O10"/>
    <mergeCell ref="J23:J24"/>
    <mergeCell ref="K55:K56"/>
    <mergeCell ref="A45:A46"/>
    <mergeCell ref="AA15:AA16"/>
    <mergeCell ref="X19:X20"/>
    <mergeCell ref="L43:L44"/>
    <mergeCell ref="AA57:AA58"/>
    <mergeCell ref="X33:X34"/>
    <mergeCell ref="Z33:Z34"/>
    <mergeCell ref="M37:M38"/>
    <mergeCell ref="M27:M28"/>
    <mergeCell ref="Z13:Z14"/>
    <mergeCell ref="J21:J22"/>
    <mergeCell ref="A63:A64"/>
    <mergeCell ref="L21:L22"/>
    <mergeCell ref="M41:M42"/>
    <mergeCell ref="O57:O58"/>
    <mergeCell ref="Z15:Z16"/>
    <mergeCell ref="M43:M44"/>
    <mergeCell ref="Z55:Z56"/>
    <mergeCell ref="M55:M56"/>
    <mergeCell ref="M11:M12"/>
    <mergeCell ref="A41:A42"/>
    <mergeCell ref="K59:K60"/>
    <mergeCell ref="AA5:AA6"/>
    <mergeCell ref="A65:B65"/>
    <mergeCell ref="M25:M26"/>
    <mergeCell ref="O25:O26"/>
    <mergeCell ref="L9:L10"/>
    <mergeCell ref="AA31:AA32"/>
    <mergeCell ref="X41:X42"/>
    <mergeCell ref="O7:O8"/>
    <mergeCell ref="X35:X36"/>
    <mergeCell ref="L11:L12"/>
    <mergeCell ref="Z35:Z36"/>
    <mergeCell ref="X43:X44"/>
    <mergeCell ref="J29:J30"/>
    <mergeCell ref="K51:K52"/>
    <mergeCell ref="M51:M52"/>
    <mergeCell ref="J37:J38"/>
    <mergeCell ref="Z21:Z22"/>
    <mergeCell ref="L37:L38"/>
    <mergeCell ref="AA49:AA50"/>
    <mergeCell ref="Y35:Y36"/>
    <mergeCell ref="A3:A4"/>
    <mergeCell ref="AA53:AA54"/>
    <mergeCell ref="A5:A6"/>
    <mergeCell ref="A1:J1"/>
    <mergeCell ref="K23:K24"/>
    <mergeCell ref="AA55:AA56"/>
    <mergeCell ref="M33:M34"/>
    <mergeCell ref="A47:A48"/>
    <mergeCell ref="Z49:Z50"/>
    <mergeCell ref="O13:O14"/>
    <mergeCell ref="J17:J18"/>
    <mergeCell ref="L17:L18"/>
    <mergeCell ref="J19:J20"/>
    <mergeCell ref="O15:O16"/>
    <mergeCell ref="L19:L20"/>
    <mergeCell ref="A27:A28"/>
    <mergeCell ref="AA63:AA64"/>
    <mergeCell ref="Y1:Z1"/>
    <mergeCell ref="J45:J46"/>
    <mergeCell ref="Z29:Z30"/>
    <mergeCell ref="L45:L46"/>
    <mergeCell ref="Z39:Z40"/>
    <mergeCell ref="J47:J48"/>
    <mergeCell ref="A53:A54"/>
    <mergeCell ref="J51:J52"/>
    <mergeCell ref="O3:O4"/>
    <mergeCell ref="O39:O40"/>
    <mergeCell ref="K37:K38"/>
    <mergeCell ref="M59:M60"/>
    <mergeCell ref="O5:O6"/>
    <mergeCell ref="X57:X58"/>
    <mergeCell ref="Z57:Z58"/>
    <mergeCell ref="J27:J28"/>
    <mergeCell ref="O29:O30"/>
    <mergeCell ref="L33:L34"/>
    <mergeCell ref="A37:A38"/>
    <mergeCell ref="Y7:Y8"/>
    <mergeCell ref="AA7:AA8"/>
    <mergeCell ref="J35:J36"/>
    <mergeCell ref="O31:O32"/>
    <mergeCell ref="L35:L36"/>
    <mergeCell ref="Y49:Y50"/>
    <mergeCell ref="K17:K18"/>
    <mergeCell ref="A17:A18"/>
    <mergeCell ref="K19:K20"/>
    <mergeCell ref="A19:A20"/>
    <mergeCell ref="O1:X1"/>
    <mergeCell ref="A43:A44"/>
    <mergeCell ref="Z45:Z46"/>
    <mergeCell ref="M49:M50"/>
    <mergeCell ref="O49:O50"/>
    <mergeCell ref="X47:X48"/>
    <mergeCell ref="Z47:Z48"/>
    <mergeCell ref="Y29:Y30"/>
    <mergeCell ref="K45:K46"/>
    <mergeCell ref="Y39:Y40"/>
    <mergeCell ref="M15:M16"/>
    <mergeCell ref="K11:K12"/>
    <mergeCell ref="AA39:AA40"/>
    <mergeCell ref="Y31:Y32"/>
    <mergeCell ref="K47:K48"/>
    <mergeCell ref="O55:O56"/>
    <mergeCell ref="AA59:AA60"/>
    <mergeCell ref="Y13:Y14"/>
    <mergeCell ref="A13:A14"/>
    <mergeCell ref="L41:L42"/>
    <mergeCell ref="AA61:AA62"/>
    <mergeCell ref="J3:J4"/>
    <mergeCell ref="L59:L60"/>
    <mergeCell ref="J43:J44"/>
    <mergeCell ref="AA21:AA22"/>
    <mergeCell ref="J5:J6"/>
    <mergeCell ref="X25:X26"/>
    <mergeCell ref="Y57:Y58"/>
    <mergeCell ref="J61:J62"/>
    <mergeCell ref="L61:L62"/>
    <mergeCell ref="Y23:Y24"/>
    <mergeCell ref="AA23:AA24"/>
    <mergeCell ref="K33:K34"/>
    <mergeCell ref="X13:X14"/>
    <mergeCell ref="X7:X8"/>
    <mergeCell ref="Z7:Z8"/>
    <mergeCell ref="K41:K42"/>
    <mergeCell ref="K35:K36"/>
    <mergeCell ref="M35:M36"/>
    <mergeCell ref="X15:X16"/>
    <mergeCell ref="L51:L52"/>
    <mergeCell ref="AA3:AA4"/>
    <mergeCell ref="Y45:Y46"/>
    <mergeCell ref="L49:L50"/>
    <mergeCell ref="AA11:AA12"/>
    <mergeCell ref="Y47:Y48"/>
    <mergeCell ref="K25:K26"/>
    <mergeCell ref="AA47:AA48"/>
    <mergeCell ref="A15:A16"/>
    <mergeCell ref="AA27:AA28"/>
    <mergeCell ref="J9:J10"/>
    <mergeCell ref="X3:X4"/>
    <mergeCell ref="Z3:Z4"/>
    <mergeCell ref="M7:M8"/>
    <mergeCell ref="J11:J12"/>
    <mergeCell ref="O63:O64"/>
    <mergeCell ref="L39:L40"/>
    <mergeCell ref="K43:K44"/>
    <mergeCell ref="K61:K62"/>
    <mergeCell ref="M61:M62"/>
    <mergeCell ref="X29:X30"/>
    <mergeCell ref="Z23:Z24"/>
    <mergeCell ref="X21:X22"/>
    <mergeCell ref="X31:X32"/>
    <mergeCell ref="Z31:Z32"/>
    <mergeCell ref="A59:A60"/>
    <mergeCell ref="AA29:AA30"/>
    <mergeCell ref="K29:K30"/>
    <mergeCell ref="O53:O54"/>
    <mergeCell ref="J57:J58"/>
    <mergeCell ref="L57:L58"/>
    <mergeCell ref="Y15:Y16"/>
    <mergeCell ref="A61:A62"/>
    <mergeCell ref="M39:M40"/>
    <mergeCell ref="AA19:AA20"/>
    <mergeCell ref="Y55:Y56"/>
    <mergeCell ref="AA37:AA38"/>
    <mergeCell ref="X49:X50"/>
    <mergeCell ref="M13:M14"/>
    <mergeCell ref="O65:P65"/>
    <mergeCell ref="X5:X6"/>
    <mergeCell ref="Z5:Z6"/>
    <mergeCell ref="M21:M22"/>
    <mergeCell ref="J25:J26"/>
    <mergeCell ref="K57:K58"/>
    <mergeCell ref="M57:M58"/>
    <mergeCell ref="M23:M24"/>
    <mergeCell ref="O23:O24"/>
    <mergeCell ref="AA17:AA18"/>
    <mergeCell ref="A9:A10"/>
    <mergeCell ref="Y3:Y4"/>
    <mergeCell ref="A49:A50"/>
    <mergeCell ref="L7:L8"/>
    <mergeCell ref="A11:A12"/>
    <mergeCell ref="X39:X40"/>
    <mergeCell ref="Y5:Y6"/>
    <mergeCell ref="AA33:AA34"/>
    <mergeCell ref="X37:X38"/>
    <mergeCell ref="M3:M4"/>
    <mergeCell ref="Z17:Z18"/>
    <mergeCell ref="AA45:AA46"/>
    <mergeCell ref="O21:O22"/>
    <mergeCell ref="L25:L26"/>
    <mergeCell ref="M45:M46"/>
    <mergeCell ref="Z19:Z20"/>
    <mergeCell ref="O11:O12"/>
    <mergeCell ref="M29:M30"/>
    <mergeCell ref="AA51:AA52"/>
    <mergeCell ref="J33:J34"/>
    <mergeCell ref="X27:X28"/>
    <mergeCell ref="Y63:Y64"/>
    <mergeCell ref="J13:J14"/>
    <mergeCell ref="L13:L14"/>
    <mergeCell ref="J15:J16"/>
    <mergeCell ref="L15:L16"/>
    <mergeCell ref="A25:A26"/>
    <mergeCell ref="L23:L24"/>
    <mergeCell ref="AA41:AA42"/>
    <mergeCell ref="AA35:AA36"/>
    <mergeCell ref="X63:X64"/>
    <mergeCell ref="Z63:Z64"/>
    <mergeCell ref="K13:K14"/>
    <mergeCell ref="J41:J42"/>
    <mergeCell ref="K7:K8"/>
    <mergeCell ref="Z27:Z28"/>
    <mergeCell ref="M19:M20"/>
    <mergeCell ref="O37:O38"/>
    <mergeCell ref="L3:L4"/>
    <mergeCell ref="A51:A52"/>
    <mergeCell ref="A7:A8"/>
    <mergeCell ref="J59:J60"/>
    <mergeCell ref="L5:L6"/>
    <mergeCell ref="X53:X54"/>
    <mergeCell ref="Y19:Y20"/>
    <mergeCell ref="Z53:Z54"/>
    <mergeCell ref="X55:X56"/>
    <mergeCell ref="M17:M18"/>
    <mergeCell ref="O17:O18"/>
    <mergeCell ref="A33:A34"/>
    <mergeCell ref="J31:J32"/>
    <mergeCell ref="O27:O28"/>
    <mergeCell ref="L31:L32"/>
    <mergeCell ref="O19:O20"/>
    <mergeCell ref="A35:A36"/>
    <mergeCell ref="K15:K16"/>
    <mergeCell ref="Y21:Y22"/>
    <mergeCell ref="Z41:Z42"/>
    <mergeCell ref="O45:O46"/>
    <mergeCell ref="J49:J50"/>
    <mergeCell ref="Z43:Z44"/>
    <mergeCell ref="K1:L1"/>
    <mergeCell ref="O47:O48"/>
    <mergeCell ref="L29:L30"/>
    <mergeCell ref="A21:A22"/>
    <mergeCell ref="A57:A58"/>
    <mergeCell ref="Y27:Y28"/>
    <mergeCell ref="O51:O52"/>
    <mergeCell ref="A23:A24"/>
    <mergeCell ref="X59:X60"/>
    <mergeCell ref="Z59:Z60"/>
    <mergeCell ref="M63:M64"/>
    <mergeCell ref="K3:K4"/>
    <mergeCell ref="X61:X62"/>
    <mergeCell ref="A39:A40"/>
    <mergeCell ref="Z61:Z62"/>
    <mergeCell ref="J39:J40"/>
    <mergeCell ref="K5:K6"/>
    <mergeCell ref="M5:M6"/>
    <mergeCell ref="Y53:Y54"/>
    <mergeCell ref="Y9:Y10"/>
    <mergeCell ref="AA9:AA10"/>
    <mergeCell ref="O33:O34"/>
    <mergeCell ref="X23:X24"/>
    <mergeCell ref="Y11:Y12"/>
    <mergeCell ref="O35:O36"/>
    <mergeCell ref="K31:K32"/>
    <mergeCell ref="X51:X52"/>
    <mergeCell ref="Z51:Z52"/>
    <mergeCell ref="X9:X10"/>
    <mergeCell ref="Y37:Y38"/>
    <mergeCell ref="Y41:Y42"/>
    <mergeCell ref="A31:A32"/>
    <mergeCell ref="K49:K50"/>
    <mergeCell ref="J53:J54"/>
    <mergeCell ref="Y43:Y44"/>
    <mergeCell ref="K21:K22"/>
    <mergeCell ref="AA43:AA44"/>
    <mergeCell ref="L47:L48"/>
    <mergeCell ref="Y17:Y18"/>
    <mergeCell ref="M31:M32"/>
    <mergeCell ref="A55:A56"/>
    <mergeCell ref="O41:O42"/>
    <mergeCell ref="K39:K40"/>
    <mergeCell ref="J7:J8"/>
    <mergeCell ref="Y59:Y60"/>
    <mergeCell ref="O59:O60"/>
    <mergeCell ref="J63:J64"/>
    <mergeCell ref="L63:L64"/>
    <mergeCell ref="O43:O44"/>
    <mergeCell ref="Y25:Y26"/>
    <mergeCell ref="AA25:AA26"/>
    <mergeCell ref="O61:O62"/>
    <mergeCell ref="Y61:Y62"/>
    <mergeCell ref="A29:A30"/>
    <mergeCell ref="L27:L28"/>
    <mergeCell ref="Z9:Z10"/>
    <mergeCell ref="AA13:AA14"/>
    <mergeCell ref="X17:X18"/>
    <mergeCell ref="X11:X12"/>
    <mergeCell ref="Z11:Z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1" ySplit="2" topLeftCell="M48" activePane="bottomRight" state="frozen"/>
      <selection activeCell="F64" sqref="F64:F65"/>
      <selection pane="topRight" activeCell="F64" sqref="F64:F65"/>
      <selection pane="bottomLeft" activeCell="F64" sqref="F64:F65"/>
      <selection pane="bottomRight" activeCell="Q69" sqref="Q69"/>
    </sheetView>
  </sheetViews>
  <sheetFormatPr baseColWidth="8" defaultRowHeight="15"/>
  <cols>
    <col width="5.28515625" bestFit="1" customWidth="1" style="140" min="7" max="7"/>
    <col width="11.28515625" bestFit="1" customWidth="1" style="140" min="10" max="10"/>
    <col width="9.5703125" bestFit="1" customWidth="1" style="140" min="11" max="11"/>
    <col width="10.42578125" bestFit="1" customWidth="1" style="140" min="12" max="12"/>
    <col width="15.5703125" bestFit="1" customWidth="1" style="140" min="13" max="13"/>
    <col width="11.7109375" customWidth="1" style="140" min="14" max="14"/>
    <col width="11.5703125" customWidth="1" style="140" min="15" max="15"/>
    <col width="10.42578125" bestFit="1" customWidth="1" style="140" min="29" max="29"/>
  </cols>
  <sheetData>
    <row r="1" ht="19.5" customHeight="1" s="140" thickBot="1">
      <c r="A1" s="142" t="inlineStr">
        <is>
          <t xml:space="preserve">NEW MACHINE NO - XCMG-8 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37" t="inlineStr">
        <is>
          <t>DATE</t>
        </is>
      </c>
      <c r="B2" s="38" t="inlineStr">
        <is>
          <t>SHIFT</t>
        </is>
      </c>
      <c r="C2" s="40" t="inlineStr">
        <is>
          <t>SHIFT START - HMR</t>
        </is>
      </c>
      <c r="D2" s="40" t="inlineStr">
        <is>
          <t>SHIFT END - HMR</t>
        </is>
      </c>
      <c r="E2" s="39" t="inlineStr">
        <is>
          <t>HOURS</t>
        </is>
      </c>
      <c r="F2" s="41" t="inlineStr">
        <is>
          <t>DIESEL</t>
        </is>
      </c>
      <c r="G2" s="38" t="inlineStr">
        <is>
          <t>HMR</t>
        </is>
      </c>
      <c r="H2" s="38" t="inlineStr">
        <is>
          <t>HOURS</t>
        </is>
      </c>
      <c r="I2" s="39" t="inlineStr">
        <is>
          <t>AVERAGE</t>
        </is>
      </c>
      <c r="J2" s="34" t="inlineStr">
        <is>
          <t>START TIME</t>
        </is>
      </c>
      <c r="K2" s="34" t="inlineStr">
        <is>
          <t>END TIME</t>
        </is>
      </c>
      <c r="L2" s="34" t="inlineStr">
        <is>
          <t>TOTAL HRS</t>
        </is>
      </c>
      <c r="M2" s="34" t="inlineStr">
        <is>
          <t>Remarks</t>
        </is>
      </c>
      <c r="N2" s="35" t="inlineStr">
        <is>
          <t>Container Start Count</t>
        </is>
      </c>
      <c r="O2" s="35" t="inlineStr">
        <is>
          <t>Container End Count</t>
        </is>
      </c>
      <c r="P2" s="34" t="inlineStr">
        <is>
          <t>Total</t>
        </is>
      </c>
      <c r="R2" s="37" t="inlineStr">
        <is>
          <t>DATE</t>
        </is>
      </c>
      <c r="S2" s="38" t="inlineStr">
        <is>
          <t>SHIFT</t>
        </is>
      </c>
      <c r="T2" s="40" t="inlineStr">
        <is>
          <t>SHIFT START - HMR</t>
        </is>
      </c>
      <c r="U2" s="40" t="inlineStr">
        <is>
          <t>SHIFT END - HMR</t>
        </is>
      </c>
      <c r="V2" s="39" t="inlineStr">
        <is>
          <t>HOURS</t>
        </is>
      </c>
      <c r="W2" s="41" t="inlineStr">
        <is>
          <t>DIESEL</t>
        </is>
      </c>
      <c r="X2" s="38" t="inlineStr">
        <is>
          <t>HMR</t>
        </is>
      </c>
      <c r="Y2" s="38" t="inlineStr">
        <is>
          <t>HOURS</t>
        </is>
      </c>
      <c r="Z2" s="39" t="inlineStr">
        <is>
          <t>AVERAGE</t>
        </is>
      </c>
      <c r="AA2" s="34" t="inlineStr">
        <is>
          <t>START TIME</t>
        </is>
      </c>
      <c r="AB2" s="34" t="inlineStr">
        <is>
          <t>END TIME</t>
        </is>
      </c>
      <c r="AC2" s="34" t="inlineStr">
        <is>
          <t>TOTAL HRS</t>
        </is>
      </c>
      <c r="AD2" s="34" t="inlineStr">
        <is>
          <t>Remarks</t>
        </is>
      </c>
      <c r="AE2" s="35" t="inlineStr">
        <is>
          <t>Container Start Count</t>
        </is>
      </c>
      <c r="AF2" s="35" t="inlineStr">
        <is>
          <t>Container End Count</t>
        </is>
      </c>
      <c r="AG2" s="34" t="inlineStr">
        <is>
          <t>Total</t>
        </is>
      </c>
    </row>
    <row r="3">
      <c r="A3" s="6" t="n">
        <v>46113</v>
      </c>
      <c r="B3" s="7" t="inlineStr">
        <is>
          <t xml:space="preserve">DAY </t>
        </is>
      </c>
      <c r="C3" s="42" t="n"/>
      <c r="D3" s="7" t="n"/>
      <c r="E3" s="11" t="n"/>
      <c r="F3" s="144" t="n"/>
      <c r="G3" s="141" t="n"/>
      <c r="H3" s="157" t="n"/>
      <c r="I3" s="129" t="n"/>
      <c r="J3" s="9" t="n"/>
      <c r="K3" s="9" t="n"/>
      <c r="L3" s="9" t="n"/>
      <c r="M3" s="10" t="n"/>
      <c r="N3" s="8" t="n"/>
      <c r="O3" s="7" t="n"/>
      <c r="P3" s="7" t="n"/>
      <c r="R3" s="6" t="n">
        <v>46113</v>
      </c>
      <c r="S3" s="7" t="inlineStr">
        <is>
          <t xml:space="preserve">DAY </t>
        </is>
      </c>
      <c r="T3" s="42" t="n"/>
      <c r="U3" s="7" t="n"/>
      <c r="V3" s="11" t="n"/>
      <c r="W3" s="144" t="n"/>
      <c r="X3" s="141" t="n"/>
      <c r="Y3" s="157" t="n"/>
      <c r="Z3" s="129" t="n"/>
      <c r="AA3" s="9" t="n"/>
      <c r="AB3" s="9" t="n"/>
      <c r="AC3" s="9" t="n"/>
      <c r="AD3" s="10" t="n"/>
      <c r="AE3" s="8" t="n"/>
      <c r="AF3" s="7" t="n"/>
      <c r="AG3" s="7" t="n"/>
    </row>
    <row r="4">
      <c r="A4" s="6">
        <f>A3</f>
        <v/>
      </c>
      <c r="B4" s="127" t="inlineStr">
        <is>
          <t>NIGHT</t>
        </is>
      </c>
      <c r="C4" s="13" t="n"/>
      <c r="D4" s="127" t="n"/>
      <c r="E4" s="11" t="n"/>
      <c r="F4" s="128" t="n"/>
      <c r="G4" s="128" t="n"/>
      <c r="H4" s="158" t="n"/>
      <c r="I4" s="128" t="n"/>
      <c r="J4" s="15" t="n"/>
      <c r="K4" s="15" t="n"/>
      <c r="L4" s="15" t="n"/>
      <c r="M4" s="16" t="n"/>
      <c r="N4" s="14" t="n"/>
      <c r="O4" s="127" t="n"/>
      <c r="P4" s="7" t="n"/>
      <c r="R4" s="6">
        <f>R3</f>
        <v/>
      </c>
      <c r="S4" s="127" t="inlineStr">
        <is>
          <t>NIGHT</t>
        </is>
      </c>
      <c r="T4" s="13" t="n"/>
      <c r="U4" s="127" t="n"/>
      <c r="V4" s="11" t="n"/>
      <c r="W4" s="128" t="n"/>
      <c r="X4" s="128" t="n"/>
      <c r="Y4" s="158" t="n"/>
      <c r="Z4" s="128" t="n"/>
      <c r="AA4" s="15" t="n"/>
      <c r="AB4" s="15" t="n"/>
      <c r="AC4" s="15" t="n"/>
      <c r="AD4" s="16" t="n"/>
      <c r="AE4" s="14" t="n"/>
      <c r="AF4" s="127" t="n"/>
      <c r="AG4" s="7" t="n"/>
    </row>
    <row r="5">
      <c r="A5" s="17">
        <f>A4+1</f>
        <v/>
      </c>
      <c r="B5" s="148" t="inlineStr">
        <is>
          <t xml:space="preserve">DAY </t>
        </is>
      </c>
      <c r="C5" s="8" t="n"/>
      <c r="D5" s="8" t="n"/>
      <c r="E5" s="11" t="n"/>
      <c r="F5" s="130" t="n"/>
      <c r="G5" s="130" t="n"/>
      <c r="H5" s="148" t="n"/>
      <c r="I5" s="154" t="n"/>
      <c r="J5" s="18" t="n"/>
      <c r="K5" s="18" t="n"/>
      <c r="L5" s="19" t="n"/>
      <c r="M5" s="20" t="n"/>
      <c r="N5" s="14" t="n"/>
      <c r="O5" s="8" t="n"/>
      <c r="P5" s="7" t="n"/>
      <c r="R5" s="17">
        <f>R4+1</f>
        <v/>
      </c>
      <c r="S5" s="148" t="inlineStr">
        <is>
          <t xml:space="preserve">DAY </t>
        </is>
      </c>
      <c r="T5" s="8" t="n"/>
      <c r="U5" s="8" t="n"/>
      <c r="V5" s="11" t="n"/>
      <c r="W5" s="130" t="n"/>
      <c r="X5" s="130" t="n"/>
      <c r="Y5" s="148" t="n"/>
      <c r="Z5" s="154" t="n"/>
      <c r="AA5" s="18" t="n"/>
      <c r="AB5" s="18" t="n"/>
      <c r="AC5" s="19" t="n"/>
      <c r="AD5" s="20" t="n"/>
      <c r="AE5" s="14" t="n"/>
      <c r="AF5" s="8" t="n"/>
      <c r="AG5" s="7" t="n"/>
    </row>
    <row r="6">
      <c r="A6" s="17">
        <f>A5</f>
        <v/>
      </c>
      <c r="B6" s="148" t="inlineStr">
        <is>
          <t>NIGHT</t>
        </is>
      </c>
      <c r="C6" s="8" t="n"/>
      <c r="D6" s="8" t="n"/>
      <c r="E6" s="11" t="n"/>
      <c r="F6" s="128" t="n"/>
      <c r="G6" s="128" t="n"/>
      <c r="H6" s="128" t="n"/>
      <c r="I6" s="128" t="n"/>
      <c r="J6" s="18" t="n"/>
      <c r="K6" s="18" t="n"/>
      <c r="L6" s="22" t="n"/>
      <c r="M6" s="23" t="n"/>
      <c r="N6" s="14" t="n"/>
      <c r="O6" s="8" t="n"/>
      <c r="P6" s="7" t="n"/>
      <c r="R6" s="17">
        <f>R5</f>
        <v/>
      </c>
      <c r="S6" s="148" t="inlineStr">
        <is>
          <t>NIGHT</t>
        </is>
      </c>
      <c r="T6" s="8" t="n"/>
      <c r="U6" s="8" t="n"/>
      <c r="V6" s="11" t="n"/>
      <c r="W6" s="128" t="n"/>
      <c r="X6" s="128" t="n"/>
      <c r="Y6" s="128" t="n"/>
      <c r="Z6" s="128" t="n"/>
      <c r="AA6" s="18" t="n"/>
      <c r="AB6" s="18" t="n"/>
      <c r="AC6" s="22" t="n"/>
      <c r="AD6" s="23" t="n"/>
      <c r="AE6" s="14" t="n"/>
      <c r="AF6" s="8" t="n"/>
      <c r="AG6" s="7" t="n"/>
    </row>
    <row r="7">
      <c r="A7" s="17">
        <f>A6+1</f>
        <v/>
      </c>
      <c r="B7" s="127" t="inlineStr">
        <is>
          <t xml:space="preserve">DAY </t>
        </is>
      </c>
      <c r="C7" s="13" t="n"/>
      <c r="D7" s="13" t="n"/>
      <c r="E7" s="11" t="n"/>
      <c r="F7" s="130" t="n"/>
      <c r="G7" s="131" t="n"/>
      <c r="H7" s="148" t="n"/>
      <c r="I7" s="156" t="n"/>
      <c r="J7" s="24" t="n"/>
      <c r="K7" s="24" t="n"/>
      <c r="L7" s="9" t="n"/>
      <c r="M7" s="10" t="n"/>
      <c r="N7" s="14" t="n"/>
      <c r="O7" s="13" t="n"/>
      <c r="P7" s="7" t="n"/>
      <c r="R7" s="17">
        <f>R6+1</f>
        <v/>
      </c>
      <c r="S7" s="127" t="inlineStr">
        <is>
          <t xml:space="preserve">DAY </t>
        </is>
      </c>
      <c r="T7" s="13" t="n"/>
      <c r="U7" s="13" t="n"/>
      <c r="V7" s="11" t="n"/>
      <c r="W7" s="130" t="n"/>
      <c r="X7" s="131" t="n"/>
      <c r="Y7" s="148" t="n"/>
      <c r="Z7" s="156" t="n"/>
      <c r="AA7" s="24" t="n"/>
      <c r="AB7" s="24" t="n"/>
      <c r="AC7" s="9" t="n"/>
      <c r="AD7" s="10" t="n"/>
      <c r="AE7" s="14" t="n"/>
      <c r="AF7" s="13" t="n"/>
      <c r="AG7" s="7" t="n"/>
    </row>
    <row r="8">
      <c r="A8" s="17">
        <f>A7</f>
        <v/>
      </c>
      <c r="B8" s="127" t="inlineStr">
        <is>
          <t>NIGHT</t>
        </is>
      </c>
      <c r="C8" s="13" t="n"/>
      <c r="D8" s="13" t="n"/>
      <c r="E8" s="11" t="n"/>
      <c r="F8" s="128" t="n"/>
      <c r="G8" s="132" t="n"/>
      <c r="H8" s="128" t="n"/>
      <c r="I8" s="128" t="n"/>
      <c r="J8" s="25" t="n"/>
      <c r="K8" s="25" t="n"/>
      <c r="L8" s="15" t="n"/>
      <c r="M8" s="16" t="n"/>
      <c r="N8" s="14" t="n"/>
      <c r="O8" s="13" t="n"/>
      <c r="P8" s="7" t="n"/>
      <c r="R8" s="17">
        <f>R7</f>
        <v/>
      </c>
      <c r="S8" s="127" t="inlineStr">
        <is>
          <t>NIGHT</t>
        </is>
      </c>
      <c r="T8" s="13" t="n"/>
      <c r="U8" s="13" t="n"/>
      <c r="V8" s="11" t="n"/>
      <c r="W8" s="128" t="n"/>
      <c r="X8" s="132" t="n"/>
      <c r="Y8" s="128" t="n"/>
      <c r="Z8" s="128" t="n"/>
      <c r="AA8" s="25" t="n"/>
      <c r="AB8" s="25" t="n"/>
      <c r="AC8" s="15" t="n"/>
      <c r="AD8" s="16" t="n"/>
      <c r="AE8" s="14" t="n"/>
      <c r="AF8" s="13" t="n"/>
      <c r="AG8" s="7" t="n"/>
    </row>
    <row r="9">
      <c r="A9" s="17">
        <f>A8+1</f>
        <v/>
      </c>
      <c r="B9" s="148" t="inlineStr">
        <is>
          <t xml:space="preserve">DAY </t>
        </is>
      </c>
      <c r="C9" s="8" t="n"/>
      <c r="D9" s="8" t="n"/>
      <c r="E9" s="11" t="n"/>
      <c r="F9" s="130" t="n"/>
      <c r="G9" s="133" t="n"/>
      <c r="H9" s="148" t="n"/>
      <c r="I9" s="154" t="n"/>
      <c r="J9" s="18" t="n"/>
      <c r="K9" s="18" t="n"/>
      <c r="L9" s="19" t="n"/>
      <c r="M9" s="27" t="n"/>
      <c r="N9" s="14" t="n"/>
      <c r="O9" s="26" t="n"/>
      <c r="P9" s="7" t="n"/>
      <c r="R9" s="17">
        <f>R8+1</f>
        <v/>
      </c>
      <c r="S9" s="148" t="inlineStr">
        <is>
          <t xml:space="preserve">DAY </t>
        </is>
      </c>
      <c r="T9" s="8" t="n"/>
      <c r="U9" s="8" t="n"/>
      <c r="V9" s="11" t="n"/>
      <c r="W9" s="130" t="n"/>
      <c r="X9" s="133" t="n"/>
      <c r="Y9" s="148" t="n"/>
      <c r="Z9" s="154" t="n"/>
      <c r="AA9" s="18" t="n"/>
      <c r="AB9" s="18" t="n"/>
      <c r="AC9" s="19" t="n"/>
      <c r="AD9" s="27" t="n"/>
      <c r="AE9" s="14" t="n"/>
      <c r="AF9" s="26" t="n"/>
      <c r="AG9" s="7" t="n"/>
    </row>
    <row r="10">
      <c r="A10" s="17">
        <f>A9</f>
        <v/>
      </c>
      <c r="B10" s="148" t="inlineStr">
        <is>
          <t>NIGHT</t>
        </is>
      </c>
      <c r="C10" s="8" t="n"/>
      <c r="D10" s="8" t="n"/>
      <c r="E10" s="11" t="n"/>
      <c r="F10" s="128" t="n"/>
      <c r="G10" s="132" t="n"/>
      <c r="H10" s="128" t="n"/>
      <c r="I10" s="128" t="n"/>
      <c r="J10" s="28" t="n"/>
      <c r="K10" s="28" t="n"/>
      <c r="L10" s="22" t="n"/>
      <c r="M10" s="27" t="n"/>
      <c r="N10" s="14" t="n"/>
      <c r="O10" s="26" t="n"/>
      <c r="P10" s="7" t="n"/>
      <c r="R10" s="17">
        <f>R9</f>
        <v/>
      </c>
      <c r="S10" s="148" t="inlineStr">
        <is>
          <t>NIGHT</t>
        </is>
      </c>
      <c r="T10" s="8" t="n"/>
      <c r="U10" s="8" t="n"/>
      <c r="V10" s="11" t="n"/>
      <c r="W10" s="128" t="n"/>
      <c r="X10" s="132" t="n"/>
      <c r="Y10" s="128" t="n"/>
      <c r="Z10" s="128" t="n"/>
      <c r="AA10" s="28" t="n"/>
      <c r="AB10" s="28" t="n"/>
      <c r="AC10" s="22" t="n"/>
      <c r="AD10" s="27" t="n"/>
      <c r="AE10" s="14" t="n"/>
      <c r="AF10" s="26" t="n"/>
      <c r="AG10" s="7" t="n"/>
    </row>
    <row r="11">
      <c r="A11" s="17">
        <f>A10+1</f>
        <v/>
      </c>
      <c r="B11" s="148" t="inlineStr">
        <is>
          <t xml:space="preserve">DAY </t>
        </is>
      </c>
      <c r="C11" s="8" t="n"/>
      <c r="D11" s="8" t="n"/>
      <c r="E11" s="11" t="n"/>
      <c r="F11" s="130" t="n"/>
      <c r="G11" s="133" t="n"/>
      <c r="H11" s="148" t="n"/>
      <c r="I11" s="154" t="n"/>
      <c r="J11" s="28" t="n"/>
      <c r="K11" s="28" t="n"/>
      <c r="L11" s="22" t="n"/>
      <c r="M11" s="23" t="n"/>
      <c r="N11" s="14" t="n"/>
      <c r="O11" s="8" t="n"/>
      <c r="P11" s="7" t="n"/>
      <c r="R11" s="17">
        <f>R10+1</f>
        <v/>
      </c>
      <c r="S11" s="148" t="inlineStr">
        <is>
          <t xml:space="preserve">DAY </t>
        </is>
      </c>
      <c r="T11" s="8" t="n"/>
      <c r="U11" s="8" t="n"/>
      <c r="V11" s="11" t="n"/>
      <c r="W11" s="130" t="n"/>
      <c r="X11" s="133" t="n"/>
      <c r="Y11" s="148" t="n"/>
      <c r="Z11" s="154" t="n"/>
      <c r="AA11" s="28" t="n"/>
      <c r="AB11" s="28" t="n"/>
      <c r="AC11" s="22" t="n"/>
      <c r="AD11" s="23" t="n"/>
      <c r="AE11" s="14" t="n"/>
      <c r="AF11" s="8" t="n"/>
      <c r="AG11" s="7" t="n"/>
    </row>
    <row r="12">
      <c r="A12" s="17">
        <f>A11</f>
        <v/>
      </c>
      <c r="B12" s="148" t="inlineStr">
        <is>
          <t>NIGHT</t>
        </is>
      </c>
      <c r="C12" s="8" t="n"/>
      <c r="D12" s="8" t="n"/>
      <c r="E12" s="11" t="n"/>
      <c r="F12" s="128" t="n"/>
      <c r="G12" s="132" t="n"/>
      <c r="H12" s="128" t="n"/>
      <c r="I12" s="128" t="n"/>
      <c r="J12" s="29" t="n"/>
      <c r="K12" s="18" t="n"/>
      <c r="L12" s="22" t="n"/>
      <c r="M12" s="23" t="n"/>
      <c r="N12" s="14" t="n"/>
      <c r="O12" s="8" t="n"/>
      <c r="P12" s="7" t="n"/>
      <c r="R12" s="17">
        <f>R11</f>
        <v/>
      </c>
      <c r="S12" s="148" t="inlineStr">
        <is>
          <t>NIGHT</t>
        </is>
      </c>
      <c r="T12" s="8" t="n"/>
      <c r="U12" s="8" t="n"/>
      <c r="V12" s="11" t="n"/>
      <c r="W12" s="128" t="n"/>
      <c r="X12" s="132" t="n"/>
      <c r="Y12" s="128" t="n"/>
      <c r="Z12" s="128" t="n"/>
      <c r="AA12" s="29" t="n"/>
      <c r="AB12" s="18" t="n"/>
      <c r="AC12" s="22" t="n"/>
      <c r="AD12" s="23" t="n"/>
      <c r="AE12" s="14" t="n"/>
      <c r="AF12" s="8" t="n"/>
      <c r="AG12" s="7" t="n"/>
    </row>
    <row r="13">
      <c r="A13" s="17">
        <f>A12+1</f>
        <v/>
      </c>
      <c r="B13" s="148" t="inlineStr">
        <is>
          <t xml:space="preserve">DAY </t>
        </is>
      </c>
      <c r="C13" s="8" t="n"/>
      <c r="D13" s="8" t="n"/>
      <c r="E13" s="21" t="n"/>
      <c r="F13" s="155" t="n"/>
      <c r="G13" s="133" t="n"/>
      <c r="H13" s="148" t="n"/>
      <c r="I13" s="154" t="n"/>
      <c r="J13" s="30" t="n"/>
      <c r="K13" s="28" t="n"/>
      <c r="L13" s="22" t="n"/>
      <c r="M13" s="23" t="n"/>
      <c r="N13" s="14" t="n"/>
      <c r="O13" s="8" t="n"/>
      <c r="P13" s="7" t="n"/>
      <c r="R13" s="17">
        <f>R12+1</f>
        <v/>
      </c>
      <c r="S13" s="148" t="inlineStr">
        <is>
          <t xml:space="preserve">DAY </t>
        </is>
      </c>
      <c r="T13" s="8" t="n"/>
      <c r="U13" s="8" t="n"/>
      <c r="V13" s="21" t="n"/>
      <c r="W13" s="155" t="n"/>
      <c r="X13" s="133" t="n"/>
      <c r="Y13" s="148" t="n"/>
      <c r="Z13" s="154" t="n"/>
      <c r="AA13" s="30" t="n"/>
      <c r="AB13" s="28" t="n"/>
      <c r="AC13" s="22" t="n"/>
      <c r="AD13" s="23" t="n"/>
      <c r="AE13" s="14" t="n"/>
      <c r="AF13" s="8" t="n"/>
      <c r="AG13" s="7" t="n"/>
    </row>
    <row r="14">
      <c r="A14" s="17">
        <f>A13</f>
        <v/>
      </c>
      <c r="B14" s="148" t="inlineStr">
        <is>
          <t>NIGHT</t>
        </is>
      </c>
      <c r="C14" s="8" t="n"/>
      <c r="D14" s="8" t="n"/>
      <c r="E14" s="21" t="n"/>
      <c r="F14" s="128" t="n"/>
      <c r="G14" s="132" t="n"/>
      <c r="H14" s="128" t="n"/>
      <c r="I14" s="128" t="n"/>
      <c r="J14" s="29" t="n"/>
      <c r="K14" s="18" t="n"/>
      <c r="L14" s="22" t="n"/>
      <c r="M14" s="23" t="n"/>
      <c r="N14" s="14" t="n"/>
      <c r="O14" s="8" t="n"/>
      <c r="P14" s="7" t="n"/>
      <c r="R14" s="17">
        <f>R13</f>
        <v/>
      </c>
      <c r="S14" s="148" t="inlineStr">
        <is>
          <t>NIGHT</t>
        </is>
      </c>
      <c r="T14" s="8" t="n"/>
      <c r="U14" s="8" t="n"/>
      <c r="V14" s="21" t="n"/>
      <c r="W14" s="128" t="n"/>
      <c r="X14" s="132" t="n"/>
      <c r="Y14" s="128" t="n"/>
      <c r="Z14" s="128" t="n"/>
      <c r="AA14" s="29" t="n"/>
      <c r="AB14" s="18" t="n"/>
      <c r="AC14" s="22" t="n"/>
      <c r="AD14" s="23" t="n"/>
      <c r="AE14" s="14" t="n"/>
      <c r="AF14" s="8" t="n"/>
      <c r="AG14" s="7" t="n"/>
    </row>
    <row r="15">
      <c r="A15" s="17">
        <f>A14+1</f>
        <v/>
      </c>
      <c r="B15" s="148" t="inlineStr">
        <is>
          <t xml:space="preserve">DAY </t>
        </is>
      </c>
      <c r="C15" s="8" t="n"/>
      <c r="D15" s="8" t="n"/>
      <c r="E15" s="21" t="n"/>
      <c r="F15" s="130" t="n"/>
      <c r="G15" s="133" t="n"/>
      <c r="H15" s="148" t="n"/>
      <c r="I15" s="154" t="n"/>
      <c r="J15" s="28" t="n"/>
      <c r="K15" s="28" t="n"/>
      <c r="L15" s="22" t="n"/>
      <c r="M15" s="23" t="n"/>
      <c r="N15" s="14" t="n"/>
      <c r="O15" s="8" t="n"/>
      <c r="P15" s="26" t="n"/>
      <c r="R15" s="17">
        <f>R14+1</f>
        <v/>
      </c>
      <c r="S15" s="148" t="inlineStr">
        <is>
          <t xml:space="preserve">DAY </t>
        </is>
      </c>
      <c r="T15" s="8" t="n"/>
      <c r="U15" s="8" t="n"/>
      <c r="V15" s="21" t="n"/>
      <c r="W15" s="130" t="n"/>
      <c r="X15" s="133" t="n"/>
      <c r="Y15" s="148" t="n"/>
      <c r="Z15" s="154" t="n"/>
      <c r="AA15" s="28" t="n"/>
      <c r="AB15" s="28" t="n"/>
      <c r="AC15" s="22" t="n"/>
      <c r="AD15" s="23" t="n"/>
      <c r="AE15" s="14" t="n"/>
      <c r="AF15" s="8" t="n"/>
      <c r="AG15" s="26" t="n"/>
    </row>
    <row r="16">
      <c r="A16" s="17">
        <f>A15</f>
        <v/>
      </c>
      <c r="B16" s="148" t="inlineStr">
        <is>
          <t>NIGHT</t>
        </is>
      </c>
      <c r="C16" s="8" t="n"/>
      <c r="D16" s="148" t="n"/>
      <c r="E16" s="21" t="n"/>
      <c r="F16" s="128" t="n"/>
      <c r="G16" s="132" t="n"/>
      <c r="H16" s="128" t="n"/>
      <c r="I16" s="128" t="n"/>
      <c r="J16" s="28" t="n"/>
      <c r="K16" s="28" t="n"/>
      <c r="L16" s="22" t="n"/>
      <c r="M16" s="23" t="n"/>
      <c r="N16" s="14" t="n"/>
      <c r="O16" s="148" t="n"/>
      <c r="P16" s="26" t="n"/>
      <c r="R16" s="17">
        <f>R15</f>
        <v/>
      </c>
      <c r="S16" s="148" t="inlineStr">
        <is>
          <t>NIGHT</t>
        </is>
      </c>
      <c r="T16" s="8" t="n"/>
      <c r="U16" s="148" t="n"/>
      <c r="V16" s="21" t="n"/>
      <c r="W16" s="128" t="n"/>
      <c r="X16" s="132" t="n"/>
      <c r="Y16" s="128" t="n"/>
      <c r="Z16" s="128" t="n"/>
      <c r="AA16" s="28" t="n"/>
      <c r="AB16" s="28" t="n"/>
      <c r="AC16" s="22" t="n"/>
      <c r="AD16" s="23" t="n"/>
      <c r="AE16" s="14" t="n"/>
      <c r="AF16" s="148" t="n"/>
      <c r="AG16" s="26" t="n"/>
    </row>
    <row r="17">
      <c r="A17" s="17">
        <f>A16+1</f>
        <v/>
      </c>
      <c r="B17" s="148" t="inlineStr">
        <is>
          <t xml:space="preserve">DAY </t>
        </is>
      </c>
      <c r="C17" s="8" t="n"/>
      <c r="D17" s="8" t="n"/>
      <c r="E17" s="21" t="n"/>
      <c r="F17" s="130" t="n"/>
      <c r="G17" s="133" t="n"/>
      <c r="H17" s="148" t="n"/>
      <c r="I17" s="154" t="n"/>
      <c r="J17" s="28" t="n"/>
      <c r="K17" s="28" t="n"/>
      <c r="L17" s="22" t="n"/>
      <c r="M17" s="23" t="n"/>
      <c r="N17" s="14" t="n"/>
      <c r="O17" s="8" t="n"/>
      <c r="P17" s="26" t="n"/>
      <c r="R17" s="17">
        <f>R16+1</f>
        <v/>
      </c>
      <c r="S17" s="148" t="inlineStr">
        <is>
          <t xml:space="preserve">DAY </t>
        </is>
      </c>
      <c r="T17" s="8" t="n"/>
      <c r="U17" s="8" t="n"/>
      <c r="V17" s="21" t="n"/>
      <c r="W17" s="130" t="n"/>
      <c r="X17" s="133" t="n"/>
      <c r="Y17" s="148" t="n"/>
      <c r="Z17" s="154" t="n"/>
      <c r="AA17" s="28" t="n"/>
      <c r="AB17" s="28" t="n"/>
      <c r="AC17" s="22" t="n"/>
      <c r="AD17" s="23" t="n"/>
      <c r="AE17" s="14" t="n"/>
      <c r="AF17" s="8" t="n"/>
      <c r="AG17" s="26" t="n"/>
    </row>
    <row r="18">
      <c r="A18" s="17">
        <f>A17</f>
        <v/>
      </c>
      <c r="B18" s="148" t="inlineStr">
        <is>
          <t>NIGHT</t>
        </is>
      </c>
      <c r="C18" s="8" t="n"/>
      <c r="D18" s="8" t="n"/>
      <c r="E18" s="21" t="n"/>
      <c r="F18" s="128" t="n"/>
      <c r="G18" s="132" t="n"/>
      <c r="H18" s="128" t="n"/>
      <c r="I18" s="128" t="n"/>
      <c r="J18" s="28" t="n"/>
      <c r="K18" s="28" t="n"/>
      <c r="L18" s="22" t="n"/>
      <c r="M18" s="23" t="n"/>
      <c r="N18" s="14" t="n"/>
      <c r="O18" s="8" t="n"/>
      <c r="P18" s="26" t="n"/>
      <c r="R18" s="17">
        <f>R17</f>
        <v/>
      </c>
      <c r="S18" s="148" t="inlineStr">
        <is>
          <t>NIGHT</t>
        </is>
      </c>
      <c r="T18" s="8" t="n"/>
      <c r="U18" s="8" t="n"/>
      <c r="V18" s="21" t="n"/>
      <c r="W18" s="128" t="n"/>
      <c r="X18" s="132" t="n"/>
      <c r="Y18" s="128" t="n"/>
      <c r="Z18" s="128" t="n"/>
      <c r="AA18" s="28" t="n"/>
      <c r="AB18" s="28" t="n"/>
      <c r="AC18" s="22" t="n"/>
      <c r="AD18" s="23" t="n"/>
      <c r="AE18" s="14" t="n"/>
      <c r="AF18" s="8" t="n"/>
      <c r="AG18" s="26" t="n"/>
    </row>
    <row r="19">
      <c r="A19" s="17">
        <f>A18+1</f>
        <v/>
      </c>
      <c r="B19" s="148" t="inlineStr">
        <is>
          <t xml:space="preserve">DAY </t>
        </is>
      </c>
      <c r="C19" s="8" t="n"/>
      <c r="D19" s="13" t="n"/>
      <c r="E19" s="21" t="n"/>
      <c r="F19" s="155" t="n"/>
      <c r="G19" s="131" t="n"/>
      <c r="H19" s="148" t="n"/>
      <c r="I19" s="154" t="n"/>
      <c r="J19" s="25" t="n"/>
      <c r="K19" s="25" t="n"/>
      <c r="L19" s="15" t="n"/>
      <c r="M19" s="16" t="n"/>
      <c r="N19" s="14" t="n"/>
      <c r="O19" s="13" t="n"/>
      <c r="P19" s="26" t="n"/>
      <c r="R19" s="17">
        <f>R18+1</f>
        <v/>
      </c>
      <c r="S19" s="148" t="inlineStr">
        <is>
          <t xml:space="preserve">DAY </t>
        </is>
      </c>
      <c r="T19" s="8" t="n"/>
      <c r="U19" s="13" t="n"/>
      <c r="V19" s="21" t="n"/>
      <c r="W19" s="155" t="n"/>
      <c r="X19" s="131" t="n"/>
      <c r="Y19" s="148" t="n"/>
      <c r="Z19" s="154" t="n"/>
      <c r="AA19" s="25" t="n"/>
      <c r="AB19" s="25" t="n"/>
      <c r="AC19" s="15" t="n"/>
      <c r="AD19" s="16" t="n"/>
      <c r="AE19" s="14" t="n"/>
      <c r="AF19" s="13" t="n"/>
      <c r="AG19" s="26" t="n"/>
    </row>
    <row r="20">
      <c r="A20" s="17">
        <f>A19</f>
        <v/>
      </c>
      <c r="B20" s="148" t="inlineStr">
        <is>
          <t>NIGHT</t>
        </is>
      </c>
      <c r="C20" s="8" t="n"/>
      <c r="D20" s="13" t="n"/>
      <c r="E20" s="21" t="n"/>
      <c r="F20" s="128" t="n"/>
      <c r="G20" s="132" t="n"/>
      <c r="H20" s="128" t="n"/>
      <c r="I20" s="128" t="n"/>
      <c r="J20" s="25" t="n"/>
      <c r="K20" s="25" t="n"/>
      <c r="L20" s="15" t="n"/>
      <c r="M20" s="16" t="n"/>
      <c r="N20" s="14" t="n"/>
      <c r="O20" s="13" t="n"/>
      <c r="P20" s="26" t="n"/>
      <c r="R20" s="17">
        <f>R19</f>
        <v/>
      </c>
      <c r="S20" s="148" t="inlineStr">
        <is>
          <t>NIGHT</t>
        </is>
      </c>
      <c r="T20" s="8" t="n"/>
      <c r="U20" s="13" t="n"/>
      <c r="V20" s="21" t="n"/>
      <c r="W20" s="128" t="n"/>
      <c r="X20" s="132" t="n"/>
      <c r="Y20" s="128" t="n"/>
      <c r="Z20" s="128" t="n"/>
      <c r="AA20" s="25" t="n"/>
      <c r="AB20" s="25" t="n"/>
      <c r="AC20" s="15" t="n"/>
      <c r="AD20" s="16" t="n"/>
      <c r="AE20" s="14" t="n"/>
      <c r="AF20" s="13" t="n"/>
      <c r="AG20" s="26" t="n"/>
    </row>
    <row r="21">
      <c r="A21" s="17">
        <f>A20+1</f>
        <v/>
      </c>
      <c r="B21" s="148" t="inlineStr">
        <is>
          <t xml:space="preserve">DAY </t>
        </is>
      </c>
      <c r="C21" s="8" t="n"/>
      <c r="D21" s="8" t="n"/>
      <c r="E21" s="21" t="n"/>
      <c r="F21" s="130" t="n"/>
      <c r="G21" s="133" t="n"/>
      <c r="H21" s="148" t="n"/>
      <c r="I21" s="154" t="n"/>
      <c r="J21" s="28" t="n"/>
      <c r="K21" s="28" t="n"/>
      <c r="L21" s="22" t="n"/>
      <c r="M21" s="23" t="n"/>
      <c r="N21" s="14" t="n"/>
      <c r="O21" s="8" t="n"/>
      <c r="P21" s="26" t="n"/>
      <c r="R21" s="17">
        <f>R20+1</f>
        <v/>
      </c>
      <c r="S21" s="148" t="inlineStr">
        <is>
          <t xml:space="preserve">DAY </t>
        </is>
      </c>
      <c r="T21" s="8" t="n"/>
      <c r="U21" s="8" t="n"/>
      <c r="V21" s="21" t="n"/>
      <c r="W21" s="130" t="n"/>
      <c r="X21" s="133" t="n"/>
      <c r="Y21" s="148" t="n"/>
      <c r="Z21" s="154" t="n"/>
      <c r="AA21" s="28" t="n"/>
      <c r="AB21" s="28" t="n"/>
      <c r="AC21" s="22" t="n"/>
      <c r="AD21" s="23" t="n"/>
      <c r="AE21" s="14" t="n"/>
      <c r="AF21" s="8" t="n"/>
      <c r="AG21" s="26" t="n"/>
    </row>
    <row r="22">
      <c r="A22" s="17">
        <f>A21</f>
        <v/>
      </c>
      <c r="B22" s="148" t="inlineStr">
        <is>
          <t>NIGHT</t>
        </is>
      </c>
      <c r="C22" s="8" t="n"/>
      <c r="D22" s="8" t="n"/>
      <c r="E22" s="21" t="n"/>
      <c r="F22" s="128" t="n"/>
      <c r="G22" s="132" t="n"/>
      <c r="H22" s="128" t="n"/>
      <c r="I22" s="128" t="n"/>
      <c r="J22" s="28" t="n"/>
      <c r="K22" s="28" t="n"/>
      <c r="L22" s="22" t="n"/>
      <c r="M22" s="23" t="n"/>
      <c r="N22" s="14" t="n"/>
      <c r="O22" s="8" t="n"/>
      <c r="P22" s="26" t="n"/>
      <c r="R22" s="17">
        <f>R21</f>
        <v/>
      </c>
      <c r="S22" s="148" t="inlineStr">
        <is>
          <t>NIGHT</t>
        </is>
      </c>
      <c r="T22" s="8" t="n"/>
      <c r="U22" s="8" t="n"/>
      <c r="V22" s="21" t="n"/>
      <c r="W22" s="128" t="n"/>
      <c r="X22" s="132" t="n"/>
      <c r="Y22" s="128" t="n"/>
      <c r="Z22" s="128" t="n"/>
      <c r="AA22" s="28" t="n"/>
      <c r="AB22" s="28" t="n"/>
      <c r="AC22" s="22" t="n"/>
      <c r="AD22" s="23" t="n"/>
      <c r="AE22" s="14" t="n"/>
      <c r="AF22" s="8" t="n"/>
      <c r="AG22" s="26" t="n"/>
    </row>
    <row r="23">
      <c r="A23" s="17">
        <f>A22+1</f>
        <v/>
      </c>
      <c r="B23" s="148" t="inlineStr">
        <is>
          <t xml:space="preserve">DAY </t>
        </is>
      </c>
      <c r="C23" s="8" t="n"/>
      <c r="D23" s="8" t="n"/>
      <c r="E23" s="21" t="n"/>
      <c r="F23" s="130" t="n"/>
      <c r="G23" s="133" t="n"/>
      <c r="H23" s="148" t="n"/>
      <c r="I23" s="154" t="n"/>
      <c r="J23" s="28" t="n"/>
      <c r="K23" s="28" t="n"/>
      <c r="L23" s="22" t="n"/>
      <c r="M23" s="23" t="n"/>
      <c r="N23" s="14" t="n"/>
      <c r="O23" s="8" t="n"/>
      <c r="P23" s="26" t="n"/>
      <c r="R23" s="17">
        <f>R22+1</f>
        <v/>
      </c>
      <c r="S23" s="148" t="inlineStr">
        <is>
          <t xml:space="preserve">DAY </t>
        </is>
      </c>
      <c r="T23" s="8" t="n"/>
      <c r="U23" s="8" t="n"/>
      <c r="V23" s="21" t="n"/>
      <c r="W23" s="130" t="n"/>
      <c r="X23" s="133" t="n"/>
      <c r="Y23" s="148" t="n"/>
      <c r="Z23" s="154" t="n"/>
      <c r="AA23" s="28" t="n"/>
      <c r="AB23" s="28" t="n"/>
      <c r="AC23" s="22" t="n"/>
      <c r="AD23" s="23" t="n"/>
      <c r="AE23" s="14" t="n"/>
      <c r="AF23" s="8" t="n"/>
      <c r="AG23" s="26" t="n"/>
    </row>
    <row r="24">
      <c r="A24" s="17">
        <f>A23</f>
        <v/>
      </c>
      <c r="B24" s="148" t="inlineStr">
        <is>
          <t>NIGHT</t>
        </is>
      </c>
      <c r="C24" s="8" t="n"/>
      <c r="D24" s="8" t="n"/>
      <c r="E24" s="21" t="n"/>
      <c r="F24" s="128" t="n"/>
      <c r="G24" s="132" t="n"/>
      <c r="H24" s="128" t="n"/>
      <c r="I24" s="128" t="n"/>
      <c r="J24" s="28" t="n"/>
      <c r="K24" s="28" t="n"/>
      <c r="L24" s="22" t="n"/>
      <c r="M24" s="23" t="n"/>
      <c r="N24" s="14" t="n"/>
      <c r="O24" s="8" t="n"/>
      <c r="P24" s="26" t="n"/>
      <c r="R24" s="17">
        <f>R23</f>
        <v/>
      </c>
      <c r="S24" s="148" t="inlineStr">
        <is>
          <t>NIGHT</t>
        </is>
      </c>
      <c r="T24" s="8" t="n"/>
      <c r="U24" s="8" t="n"/>
      <c r="V24" s="21" t="n"/>
      <c r="W24" s="128" t="n"/>
      <c r="X24" s="132" t="n"/>
      <c r="Y24" s="128" t="n"/>
      <c r="Z24" s="128" t="n"/>
      <c r="AA24" s="28" t="n"/>
      <c r="AB24" s="28" t="n"/>
      <c r="AC24" s="22" t="n"/>
      <c r="AD24" s="23" t="n"/>
      <c r="AE24" s="14" t="n"/>
      <c r="AF24" s="8" t="n"/>
      <c r="AG24" s="26" t="n"/>
    </row>
    <row r="25">
      <c r="A25" s="17">
        <f>A24+1</f>
        <v/>
      </c>
      <c r="B25" s="148" t="inlineStr">
        <is>
          <t xml:space="preserve">DAY </t>
        </is>
      </c>
      <c r="C25" s="8" t="n"/>
      <c r="D25" s="127" t="n"/>
      <c r="E25" s="21" t="n"/>
      <c r="F25" s="134" t="n"/>
      <c r="G25" s="131" t="n"/>
      <c r="H25" s="148" t="n"/>
      <c r="I25" s="154" t="n"/>
      <c r="J25" s="9" t="n"/>
      <c r="K25" s="9" t="n"/>
      <c r="L25" s="15" t="n"/>
      <c r="M25" s="16" t="n"/>
      <c r="N25" s="14" t="n"/>
      <c r="O25" s="127" t="n"/>
      <c r="P25" s="26" t="n"/>
      <c r="R25" s="17">
        <f>R24+1</f>
        <v/>
      </c>
      <c r="S25" s="148" t="inlineStr">
        <is>
          <t xml:space="preserve">DAY </t>
        </is>
      </c>
      <c r="T25" s="8" t="n"/>
      <c r="U25" s="127" t="n"/>
      <c r="V25" s="21" t="n"/>
      <c r="W25" s="134" t="n"/>
      <c r="X25" s="131" t="n"/>
      <c r="Y25" s="148" t="n"/>
      <c r="Z25" s="154" t="n"/>
      <c r="AA25" s="9" t="n"/>
      <c r="AB25" s="9" t="n"/>
      <c r="AC25" s="15" t="n"/>
      <c r="AD25" s="16" t="n"/>
      <c r="AE25" s="14" t="n"/>
      <c r="AF25" s="127" t="n"/>
      <c r="AG25" s="26" t="n"/>
    </row>
    <row r="26">
      <c r="A26" s="17">
        <f>A25</f>
        <v/>
      </c>
      <c r="B26" s="148" t="inlineStr">
        <is>
          <t>NIGHT</t>
        </is>
      </c>
      <c r="C26" s="8" t="n"/>
      <c r="D26" s="127" t="n"/>
      <c r="E26" s="21" t="n"/>
      <c r="F26" s="128" t="n"/>
      <c r="G26" s="132" t="n"/>
      <c r="H26" s="128" t="n"/>
      <c r="I26" s="128" t="n"/>
      <c r="J26" s="9" t="n"/>
      <c r="K26" s="9" t="n"/>
      <c r="L26" s="15" t="n"/>
      <c r="M26" s="16" t="n"/>
      <c r="N26" s="14" t="n"/>
      <c r="O26" s="127" t="n"/>
      <c r="P26" s="26" t="n"/>
      <c r="R26" s="17">
        <f>R25</f>
        <v/>
      </c>
      <c r="S26" s="148" t="inlineStr">
        <is>
          <t>NIGHT</t>
        </is>
      </c>
      <c r="T26" s="8" t="n"/>
      <c r="U26" s="127" t="n"/>
      <c r="V26" s="21" t="n"/>
      <c r="W26" s="128" t="n"/>
      <c r="X26" s="132" t="n"/>
      <c r="Y26" s="128" t="n"/>
      <c r="Z26" s="128" t="n"/>
      <c r="AA26" s="9" t="n"/>
      <c r="AB26" s="9" t="n"/>
      <c r="AC26" s="15" t="n"/>
      <c r="AD26" s="16" t="n"/>
      <c r="AE26" s="14" t="n"/>
      <c r="AF26" s="127" t="n"/>
      <c r="AG26" s="26" t="n"/>
    </row>
    <row r="27">
      <c r="A27" s="17">
        <f>A26+1</f>
        <v/>
      </c>
      <c r="B27" s="148" t="inlineStr">
        <is>
          <t xml:space="preserve">DAY </t>
        </is>
      </c>
      <c r="C27" s="8" t="n"/>
      <c r="D27" s="8" t="n"/>
      <c r="E27" s="21" t="n"/>
      <c r="F27" s="130" t="n"/>
      <c r="G27" s="133" t="n"/>
      <c r="H27" s="148" t="n"/>
      <c r="I27" s="154" t="n"/>
      <c r="J27" s="28" t="n"/>
      <c r="K27" s="28" t="n"/>
      <c r="L27" s="22" t="n"/>
      <c r="M27" s="23" t="n"/>
      <c r="N27" s="14" t="n"/>
      <c r="O27" s="8" t="n"/>
      <c r="P27" s="26" t="n"/>
      <c r="R27" s="17">
        <f>R26+1</f>
        <v/>
      </c>
      <c r="S27" s="148" t="inlineStr">
        <is>
          <t xml:space="preserve">DAY </t>
        </is>
      </c>
      <c r="T27" s="8" t="n"/>
      <c r="U27" s="8" t="n"/>
      <c r="V27" s="21" t="n"/>
      <c r="W27" s="130" t="n"/>
      <c r="X27" s="133" t="n"/>
      <c r="Y27" s="148" t="n"/>
      <c r="Z27" s="154" t="n"/>
      <c r="AA27" s="28" t="n"/>
      <c r="AB27" s="28" t="n"/>
      <c r="AC27" s="22" t="n"/>
      <c r="AD27" s="23" t="n"/>
      <c r="AE27" s="14" t="n"/>
      <c r="AF27" s="8" t="n"/>
      <c r="AG27" s="26" t="n"/>
    </row>
    <row r="28">
      <c r="A28" s="17">
        <f>A27</f>
        <v/>
      </c>
      <c r="B28" s="148" t="inlineStr">
        <is>
          <t>NIGHT</t>
        </is>
      </c>
      <c r="C28" s="8" t="n"/>
      <c r="D28" s="8" t="n"/>
      <c r="E28" s="21" t="n"/>
      <c r="F28" s="128" t="n"/>
      <c r="G28" s="132" t="n"/>
      <c r="H28" s="128" t="n"/>
      <c r="I28" s="128" t="n"/>
      <c r="J28" s="18" t="n"/>
      <c r="K28" s="18" t="n"/>
      <c r="L28" s="22" t="n"/>
      <c r="M28" s="23" t="n"/>
      <c r="N28" s="14" t="n"/>
      <c r="O28" s="8" t="n"/>
      <c r="P28" s="26" t="n"/>
      <c r="R28" s="17">
        <f>R27</f>
        <v/>
      </c>
      <c r="S28" s="148" t="inlineStr">
        <is>
          <t>NIGHT</t>
        </is>
      </c>
      <c r="T28" s="8" t="n"/>
      <c r="U28" s="8" t="n"/>
      <c r="V28" s="21" t="n"/>
      <c r="W28" s="128" t="n"/>
      <c r="X28" s="132" t="n"/>
      <c r="Y28" s="128" t="n"/>
      <c r="Z28" s="128" t="n"/>
      <c r="AA28" s="18" t="n"/>
      <c r="AB28" s="18" t="n"/>
      <c r="AC28" s="22" t="n"/>
      <c r="AD28" s="23" t="n"/>
      <c r="AE28" s="14" t="n"/>
      <c r="AF28" s="8" t="n"/>
      <c r="AG28" s="26" t="n"/>
    </row>
    <row r="29">
      <c r="A29" s="17">
        <f>A28+1</f>
        <v/>
      </c>
      <c r="B29" s="148" t="inlineStr">
        <is>
          <t xml:space="preserve">DAY </t>
        </is>
      </c>
      <c r="C29" s="8" t="n"/>
      <c r="D29" s="8" t="n"/>
      <c r="E29" s="21" t="n"/>
      <c r="F29" s="130" t="n"/>
      <c r="G29" s="133" t="n"/>
      <c r="H29" s="148" t="n"/>
      <c r="I29" s="154" t="n"/>
      <c r="J29" s="18" t="n"/>
      <c r="K29" s="18" t="n"/>
      <c r="L29" s="22" t="n"/>
      <c r="M29" s="23" t="n"/>
      <c r="N29" s="14" t="n"/>
      <c r="O29" s="8" t="n"/>
      <c r="P29" s="26" t="n"/>
      <c r="R29" s="17">
        <f>R28+1</f>
        <v/>
      </c>
      <c r="S29" s="148" t="inlineStr">
        <is>
          <t xml:space="preserve">DAY </t>
        </is>
      </c>
      <c r="T29" s="8" t="n"/>
      <c r="U29" s="8" t="n"/>
      <c r="V29" s="21" t="n"/>
      <c r="W29" s="130" t="n"/>
      <c r="X29" s="133" t="n"/>
      <c r="Y29" s="148" t="n"/>
      <c r="Z29" s="154" t="n"/>
      <c r="AA29" s="18" t="n"/>
      <c r="AB29" s="18" t="n"/>
      <c r="AC29" s="22" t="n"/>
      <c r="AD29" s="23" t="n"/>
      <c r="AE29" s="14" t="n"/>
      <c r="AF29" s="8" t="n"/>
      <c r="AG29" s="26" t="n"/>
    </row>
    <row r="30">
      <c r="A30" s="17">
        <f>A29</f>
        <v/>
      </c>
      <c r="B30" s="148" t="inlineStr">
        <is>
          <t>NIGHT</t>
        </is>
      </c>
      <c r="C30" s="8" t="n"/>
      <c r="D30" s="8" t="n"/>
      <c r="E30" s="21" t="n"/>
      <c r="F30" s="128" t="n"/>
      <c r="G30" s="132" t="n"/>
      <c r="H30" s="128" t="n"/>
      <c r="I30" s="128" t="n"/>
      <c r="J30" s="18" t="n"/>
      <c r="K30" s="18" t="n"/>
      <c r="L30" s="22" t="n"/>
      <c r="M30" s="23" t="n"/>
      <c r="N30" s="14" t="n"/>
      <c r="O30" s="8" t="n"/>
      <c r="P30" s="26" t="n"/>
      <c r="R30" s="17">
        <f>R29</f>
        <v/>
      </c>
      <c r="S30" s="148" t="inlineStr">
        <is>
          <t>NIGHT</t>
        </is>
      </c>
      <c r="T30" s="8" t="n"/>
      <c r="U30" s="8" t="n"/>
      <c r="V30" s="21" t="n"/>
      <c r="W30" s="128" t="n"/>
      <c r="X30" s="132" t="n"/>
      <c r="Y30" s="128" t="n"/>
      <c r="Z30" s="128" t="n"/>
      <c r="AA30" s="18" t="n"/>
      <c r="AB30" s="18" t="n"/>
      <c r="AC30" s="22" t="n"/>
      <c r="AD30" s="23" t="n"/>
      <c r="AE30" s="14" t="n"/>
      <c r="AF30" s="8" t="n"/>
      <c r="AG30" s="26" t="n"/>
    </row>
    <row r="31">
      <c r="A31" s="17">
        <f>A30+1</f>
        <v/>
      </c>
      <c r="B31" s="127" t="inlineStr">
        <is>
          <t xml:space="preserve">DAY </t>
        </is>
      </c>
      <c r="C31" s="8" t="n"/>
      <c r="D31" s="8" t="n"/>
      <c r="E31" s="11" t="n"/>
      <c r="F31" s="130" t="n"/>
      <c r="G31" s="133" t="n"/>
      <c r="H31" s="148" t="n"/>
      <c r="I31" s="156" t="n"/>
      <c r="J31" s="24" t="n"/>
      <c r="K31" s="24" t="n"/>
      <c r="L31" s="22" t="n"/>
      <c r="M31" s="23" t="n"/>
      <c r="N31" s="14" t="n"/>
      <c r="O31" s="13" t="n"/>
      <c r="P31" s="7" t="n"/>
      <c r="R31" s="17">
        <f>R30+1</f>
        <v/>
      </c>
      <c r="S31" s="127" t="inlineStr">
        <is>
          <t xml:space="preserve">DAY </t>
        </is>
      </c>
      <c r="T31" s="8" t="n"/>
      <c r="U31" s="8" t="n"/>
      <c r="V31" s="11" t="n"/>
      <c r="W31" s="130" t="n"/>
      <c r="X31" s="133" t="n"/>
      <c r="Y31" s="148" t="n"/>
      <c r="Z31" s="156" t="n"/>
      <c r="AA31" s="24" t="n"/>
      <c r="AB31" s="24" t="n"/>
      <c r="AC31" s="22" t="n"/>
      <c r="AD31" s="23" t="n"/>
      <c r="AE31" s="14" t="n"/>
      <c r="AF31" s="13" t="n"/>
      <c r="AG31" s="7" t="n"/>
    </row>
    <row r="32">
      <c r="A32" s="17">
        <f>A31</f>
        <v/>
      </c>
      <c r="B32" s="127" t="inlineStr">
        <is>
          <t>NIGHT</t>
        </is>
      </c>
      <c r="C32" s="8" t="n"/>
      <c r="D32" s="13" t="n"/>
      <c r="E32" s="11" t="n"/>
      <c r="F32" s="128" t="n"/>
      <c r="G32" s="132" t="n"/>
      <c r="H32" s="128" t="n"/>
      <c r="I32" s="128" t="n"/>
      <c r="J32" s="25" t="n"/>
      <c r="K32" s="25" t="n"/>
      <c r="L32" s="15" t="n"/>
      <c r="M32" s="16" t="n"/>
      <c r="N32" s="14" t="n"/>
      <c r="O32" s="13" t="n"/>
      <c r="P32" s="7" t="n"/>
      <c r="R32" s="17">
        <f>R31</f>
        <v/>
      </c>
      <c r="S32" s="127" t="inlineStr">
        <is>
          <t>NIGHT</t>
        </is>
      </c>
      <c r="T32" s="8" t="n"/>
      <c r="U32" s="13" t="n"/>
      <c r="V32" s="11" t="n"/>
      <c r="W32" s="128" t="n"/>
      <c r="X32" s="132" t="n"/>
      <c r="Y32" s="128" t="n"/>
      <c r="Z32" s="128" t="n"/>
      <c r="AA32" s="25" t="n"/>
      <c r="AB32" s="25" t="n"/>
      <c r="AC32" s="15" t="n"/>
      <c r="AD32" s="16" t="n"/>
      <c r="AE32" s="14" t="n"/>
      <c r="AF32" s="13" t="n"/>
      <c r="AG32" s="7" t="n"/>
    </row>
    <row r="33">
      <c r="A33" s="17">
        <f>A32+1</f>
        <v/>
      </c>
      <c r="B33" s="127" t="inlineStr">
        <is>
          <t xml:space="preserve">DAY </t>
        </is>
      </c>
      <c r="C33" s="8" t="n"/>
      <c r="D33" s="13" t="n"/>
      <c r="E33" s="11" t="n"/>
      <c r="F33" s="130" t="n"/>
      <c r="G33" s="131" t="n"/>
      <c r="H33" s="148" t="n"/>
      <c r="I33" s="156" t="n"/>
      <c r="J33" s="24" t="n"/>
      <c r="K33" s="24" t="n"/>
      <c r="L33" s="22" t="n"/>
      <c r="M33" s="23" t="n"/>
      <c r="N33" s="14" t="n"/>
      <c r="O33" s="13" t="n"/>
      <c r="P33" s="7" t="n"/>
      <c r="R33" s="17">
        <f>R32+1</f>
        <v/>
      </c>
      <c r="S33" s="127" t="inlineStr">
        <is>
          <t xml:space="preserve">DAY </t>
        </is>
      </c>
      <c r="T33" s="8" t="n"/>
      <c r="U33" s="13" t="n"/>
      <c r="V33" s="11" t="n"/>
      <c r="W33" s="130" t="n"/>
      <c r="X33" s="131" t="n"/>
      <c r="Y33" s="148" t="n"/>
      <c r="Z33" s="156" t="n"/>
      <c r="AA33" s="24" t="n"/>
      <c r="AB33" s="24" t="n"/>
      <c r="AC33" s="22" t="n"/>
      <c r="AD33" s="23" t="n"/>
      <c r="AE33" s="14" t="n"/>
      <c r="AF33" s="13" t="n"/>
      <c r="AG33" s="7" t="n"/>
    </row>
    <row r="34">
      <c r="A34" s="17">
        <f>A33</f>
        <v/>
      </c>
      <c r="B34" s="127" t="inlineStr">
        <is>
          <t>NIGHT</t>
        </is>
      </c>
      <c r="C34" s="8" t="n"/>
      <c r="D34" s="13" t="n"/>
      <c r="E34" s="11" t="n"/>
      <c r="F34" s="128" t="n"/>
      <c r="G34" s="132" t="n"/>
      <c r="H34" s="128" t="n"/>
      <c r="I34" s="128" t="n"/>
      <c r="J34" s="25" t="n"/>
      <c r="K34" s="25" t="n"/>
      <c r="L34" s="15" t="n"/>
      <c r="M34" s="16" t="n"/>
      <c r="N34" s="14" t="n"/>
      <c r="O34" s="13" t="n"/>
      <c r="P34" s="7" t="n"/>
      <c r="R34" s="17">
        <f>R33</f>
        <v/>
      </c>
      <c r="S34" s="127" t="inlineStr">
        <is>
          <t>NIGHT</t>
        </is>
      </c>
      <c r="T34" s="8" t="n"/>
      <c r="U34" s="13" t="n"/>
      <c r="V34" s="11" t="n"/>
      <c r="W34" s="128" t="n"/>
      <c r="X34" s="132" t="n"/>
      <c r="Y34" s="128" t="n"/>
      <c r="Z34" s="128" t="n"/>
      <c r="AA34" s="25" t="n"/>
      <c r="AB34" s="25" t="n"/>
      <c r="AC34" s="15" t="n"/>
      <c r="AD34" s="16" t="n"/>
      <c r="AE34" s="14" t="n"/>
      <c r="AF34" s="13" t="n"/>
      <c r="AG34" s="7" t="n"/>
    </row>
    <row r="35">
      <c r="A35" s="17">
        <f>A34+1</f>
        <v/>
      </c>
      <c r="B35" s="127" t="inlineStr">
        <is>
          <t xml:space="preserve">DAY </t>
        </is>
      </c>
      <c r="C35" s="8" t="n"/>
      <c r="D35" s="13" t="n"/>
      <c r="E35" s="11" t="n"/>
      <c r="F35" s="130" t="n">
        <v>500</v>
      </c>
      <c r="G35" s="131" t="n">
        <v>45</v>
      </c>
      <c r="H35" s="148" t="n"/>
      <c r="I35" s="154" t="n"/>
      <c r="J35" s="24" t="n"/>
      <c r="K35" s="24" t="n"/>
      <c r="L35" s="22" t="n"/>
      <c r="M35" s="23" t="n"/>
      <c r="N35" s="14" t="n"/>
      <c r="O35" s="13" t="n"/>
      <c r="P35" s="7" t="n"/>
      <c r="R35" s="17">
        <f>R34+1</f>
        <v/>
      </c>
      <c r="S35" s="127" t="inlineStr">
        <is>
          <t xml:space="preserve">DAY </t>
        </is>
      </c>
      <c r="T35" s="8" t="n"/>
      <c r="U35" s="13" t="n"/>
      <c r="V35" s="11" t="n"/>
      <c r="W35" s="130" t="n"/>
      <c r="X35" s="131" t="n"/>
      <c r="Y35" s="148" t="n"/>
      <c r="Z35" s="154" t="n"/>
      <c r="AA35" s="24" t="n"/>
      <c r="AB35" s="24" t="n"/>
      <c r="AC35" s="22" t="n"/>
      <c r="AD35" s="23" t="n"/>
      <c r="AE35" s="14" t="n"/>
      <c r="AF35" s="13" t="n"/>
      <c r="AG35" s="7" t="n"/>
    </row>
    <row r="36">
      <c r="A36" s="17">
        <f>A35</f>
        <v/>
      </c>
      <c r="B36" s="127" t="inlineStr">
        <is>
          <t>NIGHT</t>
        </is>
      </c>
      <c r="C36" s="8" t="n"/>
      <c r="D36" s="13" t="n"/>
      <c r="E36" s="11" t="n"/>
      <c r="F36" s="128" t="n"/>
      <c r="G36" s="132" t="n"/>
      <c r="H36" s="128" t="n"/>
      <c r="I36" s="128" t="n"/>
      <c r="J36" s="25" t="n"/>
      <c r="K36" s="25" t="n"/>
      <c r="L36" s="15" t="n"/>
      <c r="M36" s="16" t="n"/>
      <c r="N36" s="14" t="n"/>
      <c r="O36" s="7" t="n"/>
      <c r="P36" s="7" t="n"/>
      <c r="R36" s="17">
        <f>R35</f>
        <v/>
      </c>
      <c r="S36" s="127" t="inlineStr">
        <is>
          <t>NIGHT</t>
        </is>
      </c>
      <c r="T36" s="8" t="n"/>
      <c r="U36" s="13" t="n"/>
      <c r="V36" s="11" t="n"/>
      <c r="W36" s="128" t="n"/>
      <c r="X36" s="132" t="n"/>
      <c r="Y36" s="128" t="n"/>
      <c r="Z36" s="128" t="n"/>
      <c r="AA36" s="25" t="n"/>
      <c r="AB36" s="25" t="n"/>
      <c r="AC36" s="15" t="n"/>
      <c r="AD36" s="16" t="n"/>
      <c r="AE36" s="14" t="n"/>
      <c r="AF36" s="7" t="n"/>
      <c r="AG36" s="7" t="n"/>
    </row>
    <row r="37">
      <c r="A37" s="17">
        <f>A36+1</f>
        <v/>
      </c>
      <c r="B37" s="148" t="inlineStr">
        <is>
          <t xml:space="preserve">DAY </t>
        </is>
      </c>
      <c r="C37" s="8" t="n"/>
      <c r="D37" s="8" t="n"/>
      <c r="E37" s="21" t="n"/>
      <c r="F37" s="130" t="n"/>
      <c r="G37" s="131" t="n"/>
      <c r="H37" s="148" t="n"/>
      <c r="I37" s="154" t="n"/>
      <c r="J37" s="25" t="n"/>
      <c r="K37" s="25" t="n"/>
      <c r="L37" s="22" t="n"/>
      <c r="M37" s="23" t="n"/>
      <c r="N37" s="14" t="n"/>
      <c r="O37" s="26" t="n"/>
      <c r="P37" s="26" t="n"/>
      <c r="R37" s="17">
        <f>R36+1</f>
        <v/>
      </c>
      <c r="S37" s="148" t="inlineStr">
        <is>
          <t xml:space="preserve">DAY </t>
        </is>
      </c>
      <c r="T37" s="8" t="n"/>
      <c r="U37" s="8" t="n"/>
      <c r="V37" s="21" t="n"/>
      <c r="W37" s="130" t="n"/>
      <c r="X37" s="131" t="n"/>
      <c r="Y37" s="148" t="n"/>
      <c r="Z37" s="154" t="n"/>
      <c r="AA37" s="25" t="n"/>
      <c r="AB37" s="25" t="n"/>
      <c r="AC37" s="22" t="n"/>
      <c r="AD37" s="23" t="n"/>
      <c r="AE37" s="14" t="n"/>
      <c r="AF37" s="26" t="n"/>
      <c r="AG37" s="26" t="n"/>
    </row>
    <row r="38">
      <c r="A38" s="17">
        <f>A37</f>
        <v/>
      </c>
      <c r="B38" s="148" t="inlineStr">
        <is>
          <t>NIGHT</t>
        </is>
      </c>
      <c r="C38" s="8" t="n"/>
      <c r="D38" s="8" t="n"/>
      <c r="E38" s="21" t="n"/>
      <c r="F38" s="128" t="n"/>
      <c r="G38" s="132" t="n"/>
      <c r="H38" s="128" t="n"/>
      <c r="I38" s="128" t="n"/>
      <c r="J38" s="45" t="n">
        <v>0.08333333333333333</v>
      </c>
      <c r="K38" s="45" t="n">
        <v>0.5</v>
      </c>
      <c r="L38" s="46">
        <f>K38-J38</f>
        <v/>
      </c>
      <c r="M38" s="47" t="inlineStr">
        <is>
          <t>Electric problem</t>
        </is>
      </c>
      <c r="N38" s="14" t="n"/>
      <c r="O38" s="26" t="n"/>
      <c r="P38" s="26" t="n"/>
      <c r="R38" s="17">
        <f>R37</f>
        <v/>
      </c>
      <c r="S38" s="148" t="inlineStr">
        <is>
          <t>NIGHT</t>
        </is>
      </c>
      <c r="T38" s="8" t="n"/>
      <c r="U38" s="8" t="n"/>
      <c r="V38" s="21" t="n"/>
      <c r="W38" s="128" t="n"/>
      <c r="X38" s="132" t="n"/>
      <c r="Y38" s="128" t="n"/>
      <c r="Z38" s="128" t="n"/>
      <c r="AA38" s="25" t="n"/>
      <c r="AB38" s="25" t="n"/>
      <c r="AC38" s="15" t="n"/>
      <c r="AD38" s="16" t="n"/>
      <c r="AE38" s="14" t="n"/>
      <c r="AF38" s="26" t="n"/>
      <c r="AG38" s="26" t="n"/>
    </row>
    <row r="39">
      <c r="A39" s="17">
        <f>A38+1</f>
        <v/>
      </c>
      <c r="B39" s="148" t="inlineStr">
        <is>
          <t xml:space="preserve">DAY </t>
        </is>
      </c>
      <c r="C39" s="8" t="n"/>
      <c r="D39" s="8" t="n"/>
      <c r="E39" s="21" t="n"/>
      <c r="F39" s="130" t="n"/>
      <c r="G39" s="133" t="n"/>
      <c r="H39" s="148" t="n"/>
      <c r="I39" s="154" t="n"/>
      <c r="J39" s="45">
        <f>K38</f>
        <v/>
      </c>
      <c r="K39" s="45" t="n">
        <v>0.6666666666666666</v>
      </c>
      <c r="L39" s="46">
        <f>K39-J39</f>
        <v/>
      </c>
      <c r="M39" s="47" t="inlineStr">
        <is>
          <t>Electric problem</t>
        </is>
      </c>
      <c r="N39" s="14" t="n"/>
      <c r="O39" s="26" t="n"/>
      <c r="P39" s="26" t="n"/>
      <c r="R39" s="17">
        <f>R38+1</f>
        <v/>
      </c>
      <c r="S39" s="148" t="inlineStr">
        <is>
          <t xml:space="preserve">DAY </t>
        </is>
      </c>
      <c r="T39" s="8" t="n"/>
      <c r="U39" s="8" t="n"/>
      <c r="V39" s="21" t="n"/>
      <c r="W39" s="130" t="n"/>
      <c r="X39" s="133" t="n"/>
      <c r="Y39" s="148" t="n"/>
      <c r="Z39" s="154" t="n"/>
      <c r="AA39" s="25" t="n"/>
      <c r="AB39" s="25" t="n"/>
      <c r="AC39" s="22" t="n"/>
      <c r="AD39" s="23" t="n"/>
      <c r="AE39" s="14" t="n"/>
      <c r="AF39" s="26" t="n"/>
      <c r="AG39" s="26" t="n"/>
    </row>
    <row r="40">
      <c r="A40" s="17">
        <f>A39</f>
        <v/>
      </c>
      <c r="B40" s="148" t="inlineStr">
        <is>
          <t>NIGHT</t>
        </is>
      </c>
      <c r="C40" s="8" t="n"/>
      <c r="D40" s="8" t="n"/>
      <c r="E40" s="21" t="n"/>
      <c r="F40" s="128" t="n"/>
      <c r="G40" s="132" t="n"/>
      <c r="H40" s="128" t="n"/>
      <c r="I40" s="128" t="n"/>
      <c r="J40" s="28" t="n"/>
      <c r="K40" s="28" t="n"/>
      <c r="L40" s="22" t="n"/>
      <c r="M40" s="23" t="n"/>
      <c r="N40" s="14" t="n"/>
      <c r="O40" s="26" t="n"/>
      <c r="P40" s="26" t="n"/>
      <c r="R40" s="17">
        <f>R39</f>
        <v/>
      </c>
      <c r="S40" s="148" t="inlineStr">
        <is>
          <t>NIGHT</t>
        </is>
      </c>
      <c r="T40" s="8" t="n"/>
      <c r="U40" s="8" t="n"/>
      <c r="V40" s="21" t="n"/>
      <c r="W40" s="128" t="n"/>
      <c r="X40" s="132" t="n"/>
      <c r="Y40" s="128" t="n"/>
      <c r="Z40" s="128" t="n"/>
      <c r="AA40" s="28" t="n"/>
      <c r="AB40" s="28" t="n"/>
      <c r="AC40" s="22" t="n"/>
      <c r="AD40" s="23" t="n"/>
      <c r="AE40" s="14" t="n"/>
      <c r="AF40" s="26" t="n"/>
      <c r="AG40" s="26" t="n"/>
    </row>
    <row r="41">
      <c r="A41" s="17">
        <f>A40+1</f>
        <v/>
      </c>
      <c r="B41" s="148" t="inlineStr">
        <is>
          <t xml:space="preserve">DAY </t>
        </is>
      </c>
      <c r="C41" s="8" t="n"/>
      <c r="D41" s="8" t="n"/>
      <c r="E41" s="21" t="n"/>
      <c r="F41" s="130" t="n"/>
      <c r="G41" s="133" t="n"/>
      <c r="H41" s="148" t="n"/>
      <c r="I41" s="154" t="n"/>
      <c r="J41" s="28" t="n"/>
      <c r="K41" s="28" t="n"/>
      <c r="L41" s="22" t="n"/>
      <c r="M41" s="23" t="n"/>
      <c r="N41" s="14" t="n"/>
      <c r="O41" s="26" t="n"/>
      <c r="P41" s="26">
        <f>O41-N41</f>
        <v/>
      </c>
      <c r="R41" s="17">
        <f>R40+1</f>
        <v/>
      </c>
      <c r="S41" s="148" t="inlineStr">
        <is>
          <t xml:space="preserve">DAY </t>
        </is>
      </c>
      <c r="T41" s="8" t="n"/>
      <c r="U41" s="8" t="n"/>
      <c r="V41" s="21" t="n"/>
      <c r="W41" s="130" t="n"/>
      <c r="X41" s="133" t="n"/>
      <c r="Y41" s="148" t="n"/>
      <c r="Z41" s="154" t="n"/>
      <c r="AA41" s="28" t="n"/>
      <c r="AB41" s="28" t="n"/>
      <c r="AC41" s="22" t="n"/>
      <c r="AD41" s="23" t="n"/>
      <c r="AE41" s="14" t="n"/>
      <c r="AF41" s="26" t="n"/>
      <c r="AG41" s="26" t="n"/>
    </row>
    <row r="42">
      <c r="A42" s="17">
        <f>A41</f>
        <v/>
      </c>
      <c r="B42" s="148" t="inlineStr">
        <is>
          <t>NIGHT</t>
        </is>
      </c>
      <c r="C42" s="8" t="n"/>
      <c r="D42" s="8" t="n"/>
      <c r="E42" s="21" t="n"/>
      <c r="F42" s="128" t="n"/>
      <c r="G42" s="132" t="n"/>
      <c r="H42" s="128" t="n"/>
      <c r="I42" s="128" t="n"/>
      <c r="J42" s="28" t="n"/>
      <c r="K42" s="28" t="n"/>
      <c r="L42" s="22" t="n"/>
      <c r="M42" s="23" t="n"/>
      <c r="N42" s="14" t="n"/>
      <c r="O42" s="26" t="n"/>
      <c r="P42" s="26">
        <f>O42-N42</f>
        <v/>
      </c>
      <c r="R42" s="17">
        <f>R41</f>
        <v/>
      </c>
      <c r="S42" s="148" t="inlineStr">
        <is>
          <t>NIGHT</t>
        </is>
      </c>
      <c r="T42" s="8" t="n"/>
      <c r="U42" s="8" t="n"/>
      <c r="V42" s="21" t="n"/>
      <c r="W42" s="128" t="n"/>
      <c r="X42" s="132" t="n"/>
      <c r="Y42" s="128" t="n"/>
      <c r="Z42" s="128" t="n"/>
      <c r="AA42" s="28" t="n"/>
      <c r="AB42" s="28" t="n"/>
      <c r="AC42" s="22" t="n"/>
      <c r="AD42" s="23" t="n"/>
      <c r="AE42" s="14" t="n"/>
      <c r="AF42" s="26" t="n"/>
      <c r="AG42" s="26" t="n"/>
    </row>
    <row r="43">
      <c r="A43" s="17">
        <f>A42+1</f>
        <v/>
      </c>
      <c r="B43" s="148" t="inlineStr">
        <is>
          <t xml:space="preserve">DAY </t>
        </is>
      </c>
      <c r="C43" s="8" t="n">
        <v>62</v>
      </c>
      <c r="D43" s="8" t="n">
        <v>72</v>
      </c>
      <c r="E43" s="21">
        <f>D43-C43</f>
        <v/>
      </c>
      <c r="F43" s="130" t="n">
        <v>230</v>
      </c>
      <c r="G43" s="133" t="n">
        <v>69</v>
      </c>
      <c r="H43" s="148">
        <f>G43-G35</f>
        <v/>
      </c>
      <c r="I43" s="154">
        <f>(F43+F35)/H43</f>
        <v/>
      </c>
      <c r="J43" s="28" t="n"/>
      <c r="K43" s="28" t="n"/>
      <c r="L43" s="22" t="n"/>
      <c r="M43" s="23" t="n"/>
      <c r="N43" s="14" t="n">
        <v>534</v>
      </c>
      <c r="O43" s="31" t="n">
        <v>685</v>
      </c>
      <c r="P43" s="26">
        <f>O43-N43</f>
        <v/>
      </c>
      <c r="R43" s="17">
        <f>R42+1</f>
        <v/>
      </c>
      <c r="S43" s="148" t="inlineStr">
        <is>
          <t xml:space="preserve">DAY </t>
        </is>
      </c>
      <c r="T43" s="8" t="n"/>
      <c r="U43" s="8" t="n"/>
      <c r="V43" s="21" t="n"/>
      <c r="W43" s="130" t="n"/>
      <c r="X43" s="133" t="n"/>
      <c r="Y43" s="148" t="n"/>
      <c r="Z43" s="154" t="n"/>
      <c r="AA43" s="28" t="n"/>
      <c r="AB43" s="28" t="n"/>
      <c r="AC43" s="22" t="n"/>
      <c r="AD43" s="23" t="n"/>
      <c r="AE43" s="14" t="n"/>
      <c r="AF43" s="31" t="n"/>
      <c r="AG43" s="26" t="n"/>
    </row>
    <row r="44">
      <c r="A44" s="17">
        <f>A43</f>
        <v/>
      </c>
      <c r="B44" s="148" t="inlineStr">
        <is>
          <t>NIGHT</t>
        </is>
      </c>
      <c r="C44" s="8">
        <f>D43</f>
        <v/>
      </c>
      <c r="D44" s="8" t="n">
        <v>82</v>
      </c>
      <c r="E44" s="21">
        <f>D44-C44</f>
        <v/>
      </c>
      <c r="F44" s="128" t="n"/>
      <c r="G44" s="132" t="n"/>
      <c r="H44" s="128" t="n"/>
      <c r="I44" s="128" t="n"/>
      <c r="J44" s="28" t="n"/>
      <c r="K44" s="28" t="n"/>
      <c r="L44" s="22" t="n"/>
      <c r="M44" s="23" t="n"/>
      <c r="N44" s="14">
        <f>O43</f>
        <v/>
      </c>
      <c r="O44" s="31" t="n">
        <v>779</v>
      </c>
      <c r="P44" s="26">
        <f>O44-N44</f>
        <v/>
      </c>
      <c r="R44" s="17">
        <f>R43</f>
        <v/>
      </c>
      <c r="S44" s="148" t="inlineStr">
        <is>
          <t>NIGHT</t>
        </is>
      </c>
      <c r="T44" s="8" t="n"/>
      <c r="U44" s="8" t="n"/>
      <c r="V44" s="21" t="n"/>
      <c r="W44" s="128" t="n"/>
      <c r="X44" s="132" t="n"/>
      <c r="Y44" s="128" t="n"/>
      <c r="Z44" s="128" t="n"/>
      <c r="AA44" s="28" t="n"/>
      <c r="AB44" s="28" t="n"/>
      <c r="AC44" s="22" t="n"/>
      <c r="AD44" s="23" t="n"/>
      <c r="AE44" s="14" t="n"/>
      <c r="AF44" s="31" t="n"/>
      <c r="AG44" s="26" t="n"/>
    </row>
    <row r="45">
      <c r="A45" s="17">
        <f>A44+1</f>
        <v/>
      </c>
      <c r="B45" s="148" t="inlineStr">
        <is>
          <t xml:space="preserve">DAY </t>
        </is>
      </c>
      <c r="C45" s="8">
        <f>D44</f>
        <v/>
      </c>
      <c r="D45" s="8" t="n">
        <v>88</v>
      </c>
      <c r="E45" s="21">
        <f>D45-C45</f>
        <v/>
      </c>
      <c r="F45" s="130" t="n">
        <v>130.1</v>
      </c>
      <c r="G45" s="133" t="n">
        <v>85</v>
      </c>
      <c r="H45" s="148">
        <f>G45-G43</f>
        <v/>
      </c>
      <c r="I45" s="154">
        <f>F45/H45</f>
        <v/>
      </c>
      <c r="J45" s="28" t="n"/>
      <c r="K45" s="28" t="n"/>
      <c r="L45" s="22" t="n"/>
      <c r="M45" s="23" t="n"/>
      <c r="N45" s="14" t="n">
        <v>779</v>
      </c>
      <c r="O45" s="31" t="n">
        <v>836</v>
      </c>
      <c r="P45" s="26">
        <f>O45-N45</f>
        <v/>
      </c>
      <c r="R45" s="17">
        <f>R44+1</f>
        <v/>
      </c>
      <c r="S45" s="148" t="inlineStr">
        <is>
          <t xml:space="preserve">DAY </t>
        </is>
      </c>
      <c r="T45" s="8" t="n"/>
      <c r="U45" s="8" t="n"/>
      <c r="V45" s="21" t="n"/>
      <c r="W45" s="130" t="n"/>
      <c r="X45" s="133" t="n"/>
      <c r="Y45" s="148" t="n"/>
      <c r="Z45" s="154" t="n"/>
      <c r="AA45" s="28" t="n"/>
      <c r="AB45" s="28" t="n"/>
      <c r="AC45" s="22" t="n"/>
      <c r="AD45" s="23" t="n"/>
      <c r="AE45" s="14" t="n"/>
      <c r="AF45" s="31" t="n"/>
      <c r="AG45" s="26" t="n"/>
    </row>
    <row r="46">
      <c r="A46" s="17">
        <f>A45</f>
        <v/>
      </c>
      <c r="B46" s="148" t="inlineStr">
        <is>
          <t>NIGHT</t>
        </is>
      </c>
      <c r="C46" s="8">
        <f>D45</f>
        <v/>
      </c>
      <c r="D46" s="8" t="n">
        <v>95</v>
      </c>
      <c r="E46" s="21">
        <f>D46-C46</f>
        <v/>
      </c>
      <c r="F46" s="128" t="n"/>
      <c r="G46" s="132" t="n"/>
      <c r="H46" s="128" t="n"/>
      <c r="I46" s="128" t="n"/>
      <c r="J46" s="28" t="n"/>
      <c r="K46" s="28" t="n"/>
      <c r="L46" s="22" t="n"/>
      <c r="M46" s="23" t="n"/>
      <c r="N46" s="14">
        <f>O45</f>
        <v/>
      </c>
      <c r="O46" s="31" t="n">
        <v>902</v>
      </c>
      <c r="P46" s="26">
        <f>O46-N46</f>
        <v/>
      </c>
      <c r="R46" s="17">
        <f>R45</f>
        <v/>
      </c>
      <c r="S46" s="148" t="inlineStr">
        <is>
          <t>NIGHT</t>
        </is>
      </c>
      <c r="T46" s="8" t="n"/>
      <c r="U46" s="8" t="n"/>
      <c r="V46" s="21" t="n"/>
      <c r="W46" s="128" t="n"/>
      <c r="X46" s="132" t="n"/>
      <c r="Y46" s="128" t="n"/>
      <c r="Z46" s="128" t="n"/>
      <c r="AA46" s="28" t="n"/>
      <c r="AB46" s="28" t="n"/>
      <c r="AC46" s="22" t="n"/>
      <c r="AD46" s="23" t="n"/>
      <c r="AE46" s="14" t="n"/>
      <c r="AF46" s="31" t="n"/>
      <c r="AG46" s="26" t="n"/>
    </row>
    <row r="47">
      <c r="A47" s="17">
        <f>A46+1</f>
        <v/>
      </c>
      <c r="B47" s="148" t="inlineStr">
        <is>
          <t xml:space="preserve">DAY </t>
        </is>
      </c>
      <c r="C47" s="8">
        <f>D46</f>
        <v/>
      </c>
      <c r="D47" s="8" t="n">
        <v>101</v>
      </c>
      <c r="E47" s="21">
        <f>D47-C47</f>
        <v/>
      </c>
      <c r="F47" s="130" t="n">
        <v>160</v>
      </c>
      <c r="G47" s="133" t="n">
        <v>98</v>
      </c>
      <c r="H47" s="148">
        <f>G47-G45</f>
        <v/>
      </c>
      <c r="I47" s="154">
        <f>F47/H47</f>
        <v/>
      </c>
      <c r="J47" s="28" t="n"/>
      <c r="K47" s="28" t="n"/>
      <c r="L47" s="22" t="n"/>
      <c r="M47" s="23" t="n"/>
      <c r="N47" s="14">
        <f>O46</f>
        <v/>
      </c>
      <c r="O47" s="31" t="n">
        <v>973</v>
      </c>
      <c r="P47" s="26">
        <f>O47-N47</f>
        <v/>
      </c>
      <c r="R47" s="17">
        <f>R46+1</f>
        <v/>
      </c>
      <c r="S47" s="148" t="inlineStr">
        <is>
          <t xml:space="preserve">DAY </t>
        </is>
      </c>
      <c r="T47" s="8" t="n"/>
      <c r="U47" s="8" t="n"/>
      <c r="V47" s="21" t="n"/>
      <c r="W47" s="130" t="n"/>
      <c r="X47" s="133" t="n"/>
      <c r="Y47" s="148" t="n"/>
      <c r="Z47" s="154" t="n"/>
      <c r="AA47" s="28" t="n"/>
      <c r="AB47" s="28" t="n"/>
      <c r="AC47" s="22" t="n"/>
      <c r="AD47" s="23" t="n"/>
      <c r="AE47" s="14" t="n"/>
      <c r="AF47" s="31" t="n"/>
      <c r="AG47" s="26" t="n"/>
    </row>
    <row r="48">
      <c r="A48" s="17">
        <f>A47</f>
        <v/>
      </c>
      <c r="B48" s="148" t="inlineStr">
        <is>
          <t>NIGHT</t>
        </is>
      </c>
      <c r="C48" s="8">
        <f>D47</f>
        <v/>
      </c>
      <c r="D48" s="8" t="n">
        <v>112</v>
      </c>
      <c r="E48" s="21">
        <f>D48-C48</f>
        <v/>
      </c>
      <c r="F48" s="128" t="n"/>
      <c r="G48" s="132" t="n"/>
      <c r="H48" s="128" t="n"/>
      <c r="I48" s="128" t="n"/>
      <c r="J48" s="28" t="n"/>
      <c r="K48" s="28" t="n"/>
      <c r="L48" s="22" t="n"/>
      <c r="M48" s="23" t="n"/>
      <c r="N48" s="14">
        <f>O47</f>
        <v/>
      </c>
      <c r="O48" s="31" t="n">
        <v>1088</v>
      </c>
      <c r="P48" s="26">
        <f>O48-N48</f>
        <v/>
      </c>
      <c r="R48" s="17">
        <f>R47</f>
        <v/>
      </c>
      <c r="S48" s="148" t="inlineStr">
        <is>
          <t>NIGHT</t>
        </is>
      </c>
      <c r="T48" s="8" t="n"/>
      <c r="U48" s="8" t="n"/>
      <c r="V48" s="21" t="n"/>
      <c r="W48" s="128" t="n"/>
      <c r="X48" s="132" t="n"/>
      <c r="Y48" s="128" t="n"/>
      <c r="Z48" s="128" t="n"/>
      <c r="AA48" s="28" t="n"/>
      <c r="AB48" s="28" t="n"/>
      <c r="AC48" s="22" t="n"/>
      <c r="AD48" s="23" t="n"/>
      <c r="AE48" s="14" t="n"/>
      <c r="AF48" s="31" t="n"/>
      <c r="AG48" s="26" t="n"/>
    </row>
    <row r="49">
      <c r="A49" s="17">
        <f>A48+1</f>
        <v/>
      </c>
      <c r="B49" s="148" t="inlineStr">
        <is>
          <t xml:space="preserve">DAY </t>
        </is>
      </c>
      <c r="C49" s="8">
        <f>D48</f>
        <v/>
      </c>
      <c r="D49" s="8" t="n">
        <v>122</v>
      </c>
      <c r="E49" s="21">
        <f>D49-C49</f>
        <v/>
      </c>
      <c r="F49" s="130" t="n">
        <v>208</v>
      </c>
      <c r="G49" s="133" t="n">
        <v>117</v>
      </c>
      <c r="H49" s="148">
        <f>G49-G47</f>
        <v/>
      </c>
      <c r="I49" s="154">
        <f>F49/H49</f>
        <v/>
      </c>
      <c r="J49" s="28" t="n"/>
      <c r="K49" s="28" t="n"/>
      <c r="L49" s="22" t="n"/>
      <c r="M49" s="23" t="n"/>
      <c r="N49" s="14">
        <f>O48</f>
        <v/>
      </c>
      <c r="O49" s="31" t="n">
        <v>1207</v>
      </c>
      <c r="P49" s="26">
        <f>O49-N49</f>
        <v/>
      </c>
      <c r="R49" s="17">
        <f>R48+1</f>
        <v/>
      </c>
      <c r="S49" s="148" t="inlineStr">
        <is>
          <t xml:space="preserve">DAY </t>
        </is>
      </c>
      <c r="T49" s="8" t="n"/>
      <c r="U49" s="8" t="n"/>
      <c r="V49" s="21" t="n"/>
      <c r="W49" s="130" t="n"/>
      <c r="X49" s="133" t="n"/>
      <c r="Y49" s="148" t="n"/>
      <c r="Z49" s="154" t="n"/>
      <c r="AA49" s="28" t="n"/>
      <c r="AB49" s="28" t="n"/>
      <c r="AC49" s="22" t="n"/>
      <c r="AD49" s="23" t="n"/>
      <c r="AE49" s="14" t="n"/>
      <c r="AF49" s="31" t="n"/>
      <c r="AG49" s="26" t="n"/>
    </row>
    <row r="50">
      <c r="A50" s="17">
        <f>A49</f>
        <v/>
      </c>
      <c r="B50" s="148" t="inlineStr">
        <is>
          <t>NIGHT</t>
        </is>
      </c>
      <c r="C50" s="8">
        <f>D49</f>
        <v/>
      </c>
      <c r="D50" s="8" t="n">
        <v>131</v>
      </c>
      <c r="E50" s="21">
        <f>D50-C50</f>
        <v/>
      </c>
      <c r="F50" s="128" t="n"/>
      <c r="G50" s="132" t="n"/>
      <c r="H50" s="128" t="n"/>
      <c r="I50" s="128" t="n"/>
      <c r="J50" s="28" t="n"/>
      <c r="K50" s="28" t="n"/>
      <c r="L50" s="22" t="n"/>
      <c r="M50" s="23" t="n"/>
      <c r="N50" s="14">
        <f>O49</f>
        <v/>
      </c>
      <c r="O50" s="31" t="n">
        <v>1306</v>
      </c>
      <c r="P50" s="26">
        <f>O50-N50</f>
        <v/>
      </c>
      <c r="R50" s="17">
        <f>R49</f>
        <v/>
      </c>
      <c r="S50" s="148" t="inlineStr">
        <is>
          <t>NIGHT</t>
        </is>
      </c>
      <c r="T50" s="8" t="n"/>
      <c r="U50" s="8" t="n"/>
      <c r="V50" s="21" t="n"/>
      <c r="W50" s="128" t="n"/>
      <c r="X50" s="132" t="n"/>
      <c r="Y50" s="128" t="n"/>
      <c r="Z50" s="128" t="n"/>
      <c r="AA50" s="28" t="n"/>
      <c r="AB50" s="28" t="n"/>
      <c r="AC50" s="22" t="n"/>
      <c r="AD50" s="23" t="n"/>
      <c r="AE50" s="14" t="n"/>
      <c r="AF50" s="31" t="n"/>
      <c r="AG50" s="26" t="n"/>
    </row>
    <row r="51">
      <c r="A51" s="17">
        <f>A50+1</f>
        <v/>
      </c>
      <c r="B51" s="148" t="inlineStr">
        <is>
          <t xml:space="preserve">DAY </t>
        </is>
      </c>
      <c r="C51" s="8">
        <f>D50</f>
        <v/>
      </c>
      <c r="D51" s="8" t="n">
        <v>141</v>
      </c>
      <c r="E51" s="21">
        <f>D51-C51</f>
        <v/>
      </c>
      <c r="F51" s="130" t="n">
        <v>250</v>
      </c>
      <c r="G51" s="133" t="n">
        <v>136</v>
      </c>
      <c r="H51" s="148">
        <f>G51-G49</f>
        <v/>
      </c>
      <c r="I51" s="154">
        <f>F51/H51</f>
        <v/>
      </c>
      <c r="J51" s="28" t="n"/>
      <c r="K51" s="28" t="n"/>
      <c r="L51" s="22" t="n"/>
      <c r="M51" s="23" t="n"/>
      <c r="N51" s="14">
        <f>O50</f>
        <v/>
      </c>
      <c r="O51" s="31" t="n">
        <v>1419</v>
      </c>
      <c r="P51" s="26">
        <f>O51-N51</f>
        <v/>
      </c>
      <c r="R51" s="17">
        <f>R50+1</f>
        <v/>
      </c>
      <c r="S51" s="148" t="inlineStr">
        <is>
          <t xml:space="preserve">DAY </t>
        </is>
      </c>
      <c r="T51" s="8" t="n"/>
      <c r="U51" s="8" t="n"/>
      <c r="V51" s="21" t="n"/>
      <c r="W51" s="130" t="n"/>
      <c r="X51" s="133" t="n"/>
      <c r="Y51" s="148" t="n"/>
      <c r="Z51" s="154" t="n"/>
      <c r="AA51" s="28" t="n"/>
      <c r="AB51" s="28" t="n"/>
      <c r="AC51" s="22" t="n"/>
      <c r="AD51" s="23" t="n"/>
      <c r="AE51" s="14" t="n"/>
      <c r="AF51" s="31" t="n"/>
      <c r="AG51" s="26" t="n"/>
    </row>
    <row r="52">
      <c r="A52" s="17">
        <f>A51</f>
        <v/>
      </c>
      <c r="B52" s="148" t="inlineStr">
        <is>
          <t>NIGHT</t>
        </is>
      </c>
      <c r="C52" s="8">
        <f>D51</f>
        <v/>
      </c>
      <c r="D52" s="8" t="n">
        <v>150</v>
      </c>
      <c r="E52" s="21">
        <f>D52-C52</f>
        <v/>
      </c>
      <c r="F52" s="128" t="n"/>
      <c r="G52" s="132" t="n"/>
      <c r="H52" s="128" t="n"/>
      <c r="I52" s="128" t="n"/>
      <c r="J52" s="28" t="n"/>
      <c r="K52" s="28" t="n"/>
      <c r="L52" s="22" t="n"/>
      <c r="M52" s="23" t="n"/>
      <c r="N52" s="14">
        <f>O51</f>
        <v/>
      </c>
      <c r="O52" s="31" t="n">
        <v>1529</v>
      </c>
      <c r="P52" s="26">
        <f>O52-N52</f>
        <v/>
      </c>
      <c r="R52" s="17">
        <f>R51</f>
        <v/>
      </c>
      <c r="S52" s="148" t="inlineStr">
        <is>
          <t>NIGHT</t>
        </is>
      </c>
      <c r="T52" s="8" t="n"/>
      <c r="U52" s="8" t="n"/>
      <c r="V52" s="21" t="n"/>
      <c r="W52" s="128" t="n"/>
      <c r="X52" s="132" t="n"/>
      <c r="Y52" s="128" t="n"/>
      <c r="Z52" s="128" t="n"/>
      <c r="AA52" s="28" t="n"/>
      <c r="AB52" s="28" t="n"/>
      <c r="AC52" s="22" t="n"/>
      <c r="AD52" s="23" t="n"/>
      <c r="AE52" s="14" t="n"/>
      <c r="AF52" s="31" t="n"/>
      <c r="AG52" s="26" t="n"/>
    </row>
    <row r="53">
      <c r="A53" s="17">
        <f>A52+1</f>
        <v/>
      </c>
      <c r="B53" s="148" t="inlineStr">
        <is>
          <t xml:space="preserve">DAY </t>
        </is>
      </c>
      <c r="C53" s="8">
        <f>D52</f>
        <v/>
      </c>
      <c r="D53" s="8" t="n">
        <v>159</v>
      </c>
      <c r="E53" s="21">
        <f>D53-C53</f>
        <v/>
      </c>
      <c r="F53" s="130" t="n">
        <v>180</v>
      </c>
      <c r="G53" s="133" t="n">
        <v>153</v>
      </c>
      <c r="H53" s="148">
        <f>G53-G51</f>
        <v/>
      </c>
      <c r="I53" s="154">
        <f>F53/H53</f>
        <v/>
      </c>
      <c r="J53" s="28" t="n"/>
      <c r="K53" s="28" t="n"/>
      <c r="L53" s="22" t="n"/>
      <c r="M53" s="23" t="n"/>
      <c r="N53" s="14">
        <f>O52</f>
        <v/>
      </c>
      <c r="O53" s="31" t="n">
        <v>1615</v>
      </c>
      <c r="P53" s="26">
        <f>O53-N53</f>
        <v/>
      </c>
      <c r="R53" s="17">
        <f>R52+1</f>
        <v/>
      </c>
      <c r="S53" s="148" t="inlineStr">
        <is>
          <t xml:space="preserve">DAY </t>
        </is>
      </c>
      <c r="T53" s="8" t="n"/>
      <c r="U53" s="8" t="n"/>
      <c r="V53" s="21" t="n"/>
      <c r="W53" s="130" t="n"/>
      <c r="X53" s="133" t="n"/>
      <c r="Y53" s="148" t="n"/>
      <c r="Z53" s="154" t="n"/>
      <c r="AA53" s="28" t="n"/>
      <c r="AB53" s="28" t="n"/>
      <c r="AC53" s="22" t="n"/>
      <c r="AD53" s="23" t="n"/>
      <c r="AE53" s="14" t="n"/>
      <c r="AF53" s="31" t="n"/>
      <c r="AG53" s="26" t="n"/>
    </row>
    <row r="54">
      <c r="A54" s="17">
        <f>A53</f>
        <v/>
      </c>
      <c r="B54" s="148" t="inlineStr">
        <is>
          <t>NIGHT</t>
        </is>
      </c>
      <c r="C54" s="8">
        <f>D53</f>
        <v/>
      </c>
      <c r="D54" s="8" t="n">
        <v>169</v>
      </c>
      <c r="E54" s="21">
        <f>D54-C54</f>
        <v/>
      </c>
      <c r="F54" s="128" t="n"/>
      <c r="G54" s="132" t="n"/>
      <c r="H54" s="128" t="n"/>
      <c r="I54" s="128" t="n"/>
      <c r="J54" s="28" t="n"/>
      <c r="K54" s="28" t="n"/>
      <c r="L54" s="22" t="n"/>
      <c r="M54" s="23" t="n"/>
      <c r="N54" s="14">
        <f>O53</f>
        <v/>
      </c>
      <c r="O54" s="31" t="n">
        <v>1699</v>
      </c>
      <c r="P54" s="26">
        <f>O54-N54</f>
        <v/>
      </c>
      <c r="R54" s="17">
        <f>R53</f>
        <v/>
      </c>
      <c r="S54" s="148" t="inlineStr">
        <is>
          <t>NIGHT</t>
        </is>
      </c>
      <c r="T54" s="8" t="n"/>
      <c r="U54" s="8" t="n"/>
      <c r="V54" s="21" t="n"/>
      <c r="W54" s="128" t="n"/>
      <c r="X54" s="132" t="n"/>
      <c r="Y54" s="128" t="n"/>
      <c r="Z54" s="128" t="n"/>
      <c r="AA54" s="28" t="n"/>
      <c r="AB54" s="28" t="n"/>
      <c r="AC54" s="22" t="n"/>
      <c r="AD54" s="23" t="n"/>
      <c r="AE54" s="14" t="n"/>
      <c r="AF54" s="31" t="n"/>
      <c r="AG54" s="26" t="n"/>
    </row>
    <row r="55">
      <c r="A55" s="17">
        <f>A54+1</f>
        <v/>
      </c>
      <c r="B55" s="148" t="inlineStr">
        <is>
          <t xml:space="preserve">DAY </t>
        </is>
      </c>
      <c r="C55" s="8">
        <f>D54</f>
        <v/>
      </c>
      <c r="D55" s="8" t="n">
        <v>180</v>
      </c>
      <c r="E55" s="21">
        <f>D55-C55</f>
        <v/>
      </c>
      <c r="F55" s="130" t="n">
        <v>180</v>
      </c>
      <c r="G55" s="133" t="n">
        <v>173</v>
      </c>
      <c r="H55" s="148">
        <f>G55-G53</f>
        <v/>
      </c>
      <c r="I55" s="154">
        <f>F55/H55</f>
        <v/>
      </c>
      <c r="J55" s="28" t="n"/>
      <c r="K55" s="28" t="n"/>
      <c r="L55" s="22" t="n"/>
      <c r="M55" s="23" t="n"/>
      <c r="N55" s="14">
        <f>O54</f>
        <v/>
      </c>
      <c r="O55" s="31" t="n">
        <v>1824</v>
      </c>
      <c r="P55" s="26">
        <f>O55-N55</f>
        <v/>
      </c>
      <c r="R55" s="17">
        <f>R54+1</f>
        <v/>
      </c>
      <c r="S55" s="148" t="inlineStr">
        <is>
          <t xml:space="preserve">DAY </t>
        </is>
      </c>
      <c r="T55" s="8" t="n"/>
      <c r="U55" s="8" t="n"/>
      <c r="V55" s="21" t="n"/>
      <c r="W55" s="130" t="n"/>
      <c r="X55" s="133" t="n"/>
      <c r="Y55" s="148" t="n"/>
      <c r="Z55" s="154" t="n"/>
      <c r="AA55" s="28" t="n"/>
      <c r="AB55" s="28" t="n"/>
      <c r="AC55" s="22" t="n"/>
      <c r="AD55" s="23" t="n"/>
      <c r="AE55" s="14" t="n"/>
      <c r="AF55" s="31" t="n"/>
      <c r="AG55" s="26" t="n"/>
    </row>
    <row r="56">
      <c r="A56" s="17">
        <f>A55</f>
        <v/>
      </c>
      <c r="B56" s="148" t="inlineStr">
        <is>
          <t>NIGHT</t>
        </is>
      </c>
      <c r="C56" s="8">
        <f>D55</f>
        <v/>
      </c>
      <c r="D56" s="8" t="n">
        <v>190</v>
      </c>
      <c r="E56" s="21">
        <f>D56-C56</f>
        <v/>
      </c>
      <c r="F56" s="128" t="n"/>
      <c r="G56" s="132" t="n"/>
      <c r="H56" s="128" t="n"/>
      <c r="I56" s="128" t="n"/>
      <c r="J56" s="28" t="n"/>
      <c r="K56" s="28" t="n"/>
      <c r="L56" s="22" t="n"/>
      <c r="M56" s="23" t="n"/>
      <c r="N56" s="14">
        <f>O55</f>
        <v/>
      </c>
      <c r="O56" s="31" t="n">
        <v>1917</v>
      </c>
      <c r="P56" s="26">
        <f>O56-N56</f>
        <v/>
      </c>
      <c r="R56" s="17">
        <f>R55</f>
        <v/>
      </c>
      <c r="S56" s="148" t="inlineStr">
        <is>
          <t>NIGHT</t>
        </is>
      </c>
      <c r="T56" s="8" t="n"/>
      <c r="U56" s="8" t="n"/>
      <c r="V56" s="21" t="n"/>
      <c r="W56" s="128" t="n"/>
      <c r="X56" s="132" t="n"/>
      <c r="Y56" s="128" t="n"/>
      <c r="Z56" s="128" t="n"/>
      <c r="AA56" s="28" t="n"/>
      <c r="AB56" s="28" t="n"/>
      <c r="AC56" s="22" t="n"/>
      <c r="AD56" s="23" t="n"/>
      <c r="AE56" s="14" t="n"/>
      <c r="AF56" s="31" t="n"/>
      <c r="AG56" s="26" t="n"/>
    </row>
    <row r="57">
      <c r="A57" s="17">
        <f>A56+1</f>
        <v/>
      </c>
      <c r="B57" s="148" t="inlineStr">
        <is>
          <t xml:space="preserve">DAY </t>
        </is>
      </c>
      <c r="C57" s="8">
        <f>D56</f>
        <v/>
      </c>
      <c r="D57" s="8" t="n">
        <v>197</v>
      </c>
      <c r="E57" s="21">
        <f>D57-C57</f>
        <v/>
      </c>
      <c r="F57" s="130" t="n">
        <v>290</v>
      </c>
      <c r="G57" s="133" t="n">
        <v>195</v>
      </c>
      <c r="H57" s="148">
        <f>G57-G55</f>
        <v/>
      </c>
      <c r="I57" s="154">
        <f>F57/H57</f>
        <v/>
      </c>
      <c r="J57" s="28" t="n"/>
      <c r="K57" s="28" t="n"/>
      <c r="L57" s="22" t="n"/>
      <c r="M57" s="23" t="n"/>
      <c r="N57" s="14">
        <f>O56</f>
        <v/>
      </c>
      <c r="O57" s="31" t="n">
        <v>1990</v>
      </c>
      <c r="P57" s="26">
        <f>O57-N57</f>
        <v/>
      </c>
      <c r="R57" s="17">
        <f>R56+1</f>
        <v/>
      </c>
      <c r="S57" s="148" t="inlineStr">
        <is>
          <t xml:space="preserve">DAY </t>
        </is>
      </c>
      <c r="T57" s="8" t="n"/>
      <c r="U57" s="8" t="n"/>
      <c r="V57" s="21" t="n"/>
      <c r="W57" s="130" t="n"/>
      <c r="X57" s="133" t="n"/>
      <c r="Y57" s="148" t="n"/>
      <c r="Z57" s="154" t="n"/>
      <c r="AA57" s="28" t="n"/>
      <c r="AB57" s="28" t="n"/>
      <c r="AC57" s="22" t="n"/>
      <c r="AD57" s="23" t="n"/>
      <c r="AE57" s="14" t="n"/>
      <c r="AF57" s="31" t="n"/>
      <c r="AG57" s="26" t="n"/>
    </row>
    <row r="58">
      <c r="A58" s="17">
        <f>A57</f>
        <v/>
      </c>
      <c r="B58" s="148" t="inlineStr">
        <is>
          <t>NIGHT</t>
        </is>
      </c>
      <c r="C58" s="8">
        <f>D57</f>
        <v/>
      </c>
      <c r="D58" s="8" t="n">
        <v>208</v>
      </c>
      <c r="E58" s="21">
        <f>D58-C58</f>
        <v/>
      </c>
      <c r="F58" s="128" t="n"/>
      <c r="G58" s="132" t="n"/>
      <c r="H58" s="128" t="n"/>
      <c r="I58" s="128" t="n"/>
      <c r="J58" s="28" t="n"/>
      <c r="K58" s="28" t="n"/>
      <c r="L58" s="22" t="n"/>
      <c r="M58" s="23" t="n"/>
      <c r="N58" s="14">
        <f>O57</f>
        <v/>
      </c>
      <c r="O58" s="31" t="n">
        <v>2115</v>
      </c>
      <c r="P58" s="26">
        <f>O58-N58</f>
        <v/>
      </c>
      <c r="R58" s="17">
        <f>R57</f>
        <v/>
      </c>
      <c r="S58" s="148" t="inlineStr">
        <is>
          <t>NIGHT</t>
        </is>
      </c>
      <c r="T58" s="8" t="n"/>
      <c r="U58" s="8" t="n"/>
      <c r="V58" s="21" t="n"/>
      <c r="W58" s="128" t="n"/>
      <c r="X58" s="132" t="n"/>
      <c r="Y58" s="128" t="n"/>
      <c r="Z58" s="128" t="n"/>
      <c r="AA58" s="28" t="n"/>
      <c r="AB58" s="28" t="n"/>
      <c r="AC58" s="22" t="n"/>
      <c r="AD58" s="23" t="n"/>
      <c r="AE58" s="14" t="n"/>
      <c r="AF58" s="31" t="n"/>
      <c r="AG58" s="26" t="n"/>
    </row>
    <row r="59">
      <c r="A59" s="17">
        <f>A58+1</f>
        <v/>
      </c>
      <c r="B59" s="148" t="inlineStr">
        <is>
          <t xml:space="preserve">DAY </t>
        </is>
      </c>
      <c r="C59" s="8">
        <f>D58</f>
        <v/>
      </c>
      <c r="D59" s="8" t="n">
        <v>218</v>
      </c>
      <c r="E59" s="21">
        <f>D59-C59</f>
        <v/>
      </c>
      <c r="F59" s="130" t="n">
        <v>170</v>
      </c>
      <c r="G59" s="133" t="n">
        <v>211</v>
      </c>
      <c r="H59" s="148">
        <f>G59-G57</f>
        <v/>
      </c>
      <c r="I59" s="154">
        <f>F59/H59</f>
        <v/>
      </c>
      <c r="J59" s="28" t="n"/>
      <c r="K59" s="28" t="n"/>
      <c r="L59" s="22" t="n"/>
      <c r="M59" s="23" t="n"/>
      <c r="N59" s="14">
        <f>O58</f>
        <v/>
      </c>
      <c r="O59" s="31" t="n">
        <v>2212</v>
      </c>
      <c r="P59" s="26">
        <f>O59-N59</f>
        <v/>
      </c>
      <c r="R59" s="17">
        <f>R58+1</f>
        <v/>
      </c>
      <c r="S59" s="148" t="inlineStr">
        <is>
          <t xml:space="preserve">DAY </t>
        </is>
      </c>
      <c r="T59" s="8" t="n">
        <v>9</v>
      </c>
      <c r="U59" s="8" t="n">
        <v>12</v>
      </c>
      <c r="V59" s="21">
        <f>U59-T59</f>
        <v/>
      </c>
      <c r="W59" s="130" t="n">
        <v>560</v>
      </c>
      <c r="X59" s="133" t="n">
        <v>11</v>
      </c>
      <c r="Y59" s="148" t="n"/>
      <c r="Z59" s="154" t="n"/>
      <c r="AA59" s="28" t="n"/>
      <c r="AB59" s="28" t="n"/>
      <c r="AC59" s="22" t="n"/>
      <c r="AD59" s="23" t="n"/>
      <c r="AE59" s="14" t="n">
        <v>1</v>
      </c>
      <c r="AF59" s="31" t="n">
        <v>22</v>
      </c>
      <c r="AG59" s="26" t="n">
        <v>22</v>
      </c>
    </row>
    <row r="60">
      <c r="A60" s="17">
        <f>A59</f>
        <v/>
      </c>
      <c r="B60" s="148" t="inlineStr">
        <is>
          <t>NIGHT</t>
        </is>
      </c>
      <c r="C60" s="8">
        <f>D59</f>
        <v/>
      </c>
      <c r="D60" s="8" t="n">
        <v>228</v>
      </c>
      <c r="E60" s="21">
        <f>D60-C60</f>
        <v/>
      </c>
      <c r="F60" s="128" t="n"/>
      <c r="G60" s="132" t="n"/>
      <c r="H60" s="128" t="n"/>
      <c r="I60" s="128" t="n"/>
      <c r="J60" s="28" t="n"/>
      <c r="K60" s="28" t="n"/>
      <c r="L60" s="22" t="n"/>
      <c r="M60" s="23" t="n"/>
      <c r="N60" s="14">
        <f>O59</f>
        <v/>
      </c>
      <c r="O60" s="31" t="n">
        <v>2329</v>
      </c>
      <c r="P60" s="26">
        <f>O60-N60</f>
        <v/>
      </c>
      <c r="R60" s="17">
        <f>R59</f>
        <v/>
      </c>
      <c r="S60" s="148" t="inlineStr">
        <is>
          <t>NIGHT</t>
        </is>
      </c>
      <c r="T60" s="8" t="n">
        <v>12</v>
      </c>
      <c r="U60" s="8" t="n">
        <v>21</v>
      </c>
      <c r="V60" s="21">
        <f>U60-T60</f>
        <v/>
      </c>
      <c r="W60" s="128" t="n"/>
      <c r="X60" s="132" t="n"/>
      <c r="Y60" s="128" t="n"/>
      <c r="Z60" s="128" t="n"/>
      <c r="AA60" s="28" t="n"/>
      <c r="AB60" s="28" t="n"/>
      <c r="AC60" s="22" t="n"/>
      <c r="AD60" s="23" t="n"/>
      <c r="AE60" s="14" t="n">
        <v>22</v>
      </c>
      <c r="AF60" s="31" t="n">
        <v>75</v>
      </c>
      <c r="AG60" s="26">
        <f>AF60-AE60</f>
        <v/>
      </c>
    </row>
    <row r="61">
      <c r="A61" s="17">
        <f>A60+1</f>
        <v/>
      </c>
      <c r="B61" s="148" t="inlineStr">
        <is>
          <t xml:space="preserve">DAY </t>
        </is>
      </c>
      <c r="C61" s="8">
        <f>D60</f>
        <v/>
      </c>
      <c r="D61" s="8" t="n">
        <v>235</v>
      </c>
      <c r="E61" s="21">
        <f>D61-C61</f>
        <v/>
      </c>
      <c r="F61" s="130" t="n">
        <v>230</v>
      </c>
      <c r="G61" s="133" t="n">
        <v>231</v>
      </c>
      <c r="H61" s="148">
        <f>G61-G59</f>
        <v/>
      </c>
      <c r="I61" s="154">
        <f>F61/H61</f>
        <v/>
      </c>
      <c r="J61" s="28" t="n"/>
      <c r="K61" s="28" t="n"/>
      <c r="L61" s="22" t="n"/>
      <c r="M61" s="23" t="n"/>
      <c r="N61" s="14">
        <f>O60</f>
        <v/>
      </c>
      <c r="O61" s="31" t="n">
        <v>2410</v>
      </c>
      <c r="P61" s="26">
        <f>O61-N61</f>
        <v/>
      </c>
      <c r="R61" s="17">
        <f>R60+1</f>
        <v/>
      </c>
      <c r="S61" s="148" t="inlineStr">
        <is>
          <t xml:space="preserve">DAY </t>
        </is>
      </c>
      <c r="T61" s="8">
        <f>U60</f>
        <v/>
      </c>
      <c r="U61" s="8" t="n">
        <v>28</v>
      </c>
      <c r="V61" s="21">
        <f>U61-T61</f>
        <v/>
      </c>
      <c r="W61" s="130" t="n">
        <v>150</v>
      </c>
      <c r="X61" s="133" t="n">
        <v>27</v>
      </c>
      <c r="Y61" s="148">
        <f>X61-X59</f>
        <v/>
      </c>
      <c r="Z61" s="154">
        <f>W61/Y61</f>
        <v/>
      </c>
      <c r="AA61" s="28" t="n"/>
      <c r="AB61" s="28" t="n"/>
      <c r="AC61" s="22" t="n"/>
      <c r="AD61" s="23" t="n"/>
      <c r="AE61" s="31">
        <f>AF60</f>
        <v/>
      </c>
      <c r="AF61" s="31" t="n">
        <v>106</v>
      </c>
      <c r="AG61" s="26">
        <f>AF61-AE61</f>
        <v/>
      </c>
    </row>
    <row r="62" ht="15.75" customHeight="1" s="140" thickBot="1">
      <c r="A62" s="17">
        <f>A61</f>
        <v/>
      </c>
      <c r="B62" s="148" t="inlineStr">
        <is>
          <t>NIGHT</t>
        </is>
      </c>
      <c r="C62" s="8">
        <f>D61</f>
        <v/>
      </c>
      <c r="D62" s="8" t="n">
        <v>246</v>
      </c>
      <c r="E62" s="21">
        <f>D62-C62</f>
        <v/>
      </c>
      <c r="F62" s="128" t="n"/>
      <c r="G62" s="132" t="n"/>
      <c r="H62" s="128" t="n"/>
      <c r="I62" s="128" t="n"/>
      <c r="J62" s="28" t="n"/>
      <c r="K62" s="28" t="n"/>
      <c r="L62" s="22" t="n"/>
      <c r="M62" s="23" t="n"/>
      <c r="N62" s="14">
        <f>O61</f>
        <v/>
      </c>
      <c r="O62" s="31" t="n">
        <v>2516</v>
      </c>
      <c r="P62" s="26">
        <f>O62-N62</f>
        <v/>
      </c>
      <c r="R62" s="17">
        <f>R61</f>
        <v/>
      </c>
      <c r="S62" s="148" t="inlineStr">
        <is>
          <t>NIGHT</t>
        </is>
      </c>
      <c r="T62" s="8">
        <f>U61</f>
        <v/>
      </c>
      <c r="U62" s="8" t="n">
        <v>37</v>
      </c>
      <c r="V62" s="21">
        <f>U62-T62</f>
        <v/>
      </c>
      <c r="W62" s="128" t="n"/>
      <c r="X62" s="132" t="n"/>
      <c r="Y62" s="128" t="n"/>
      <c r="Z62" s="128" t="n"/>
      <c r="AA62" s="28" t="n"/>
      <c r="AB62" s="28" t="n"/>
      <c r="AC62" s="22" t="n"/>
      <c r="AD62" s="23" t="n"/>
      <c r="AE62" s="31">
        <f>AF61</f>
        <v/>
      </c>
      <c r="AF62" s="31" t="n">
        <v>225</v>
      </c>
      <c r="AG62" s="26">
        <f>AF62-AE62</f>
        <v/>
      </c>
    </row>
    <row r="63" ht="16.5" customHeight="1" s="140" thickBot="1">
      <c r="A63" s="145" t="inlineStr">
        <is>
          <t xml:space="preserve">TOTAL Running Hours: </t>
        </is>
      </c>
      <c r="B63" s="143" t="n"/>
      <c r="C63" s="143" t="n"/>
      <c r="D63" s="146" t="n"/>
      <c r="E63" s="159">
        <f>SUBTOTAL(9,E3:E62)</f>
        <v/>
      </c>
      <c r="F63" s="159">
        <f>SUBTOTAL(9,F3:F62)</f>
        <v/>
      </c>
      <c r="G63" s="33" t="n"/>
      <c r="H63" s="33" t="n"/>
      <c r="I63" s="36">
        <f>F63/E63</f>
        <v/>
      </c>
      <c r="J63" s="159" t="inlineStr">
        <is>
          <t>TOTAL BREAKDOWN 14:00Hrs</t>
        </is>
      </c>
      <c r="K63" s="143" t="n"/>
      <c r="L63" s="143" t="n"/>
      <c r="M63" s="146" t="n"/>
      <c r="N63" s="159" t="n"/>
      <c r="O63" s="159" t="n"/>
      <c r="P63" s="159">
        <f>SUBTOTAL(9,P3:P62)</f>
        <v/>
      </c>
      <c r="R63" s="145" t="inlineStr">
        <is>
          <t xml:space="preserve">TOTAL Running Hours: </t>
        </is>
      </c>
      <c r="S63" s="143" t="n"/>
      <c r="T63" s="143" t="n"/>
      <c r="U63" s="146" t="n"/>
      <c r="V63" s="159">
        <f>SUBTOTAL(9,V3:V62)</f>
        <v/>
      </c>
      <c r="W63" s="159">
        <f>SUBTOTAL(9,W3:W62)</f>
        <v/>
      </c>
      <c r="X63" s="33" t="n"/>
      <c r="Y63" s="33" t="n"/>
      <c r="Z63" s="36">
        <f>W63/V63</f>
        <v/>
      </c>
      <c r="AA63" s="159" t="inlineStr">
        <is>
          <t>TOTAL BREAKDOWN 0:00</t>
        </is>
      </c>
      <c r="AB63" s="143" t="n"/>
      <c r="AC63" s="143" t="n"/>
      <c r="AD63" s="146" t="n"/>
      <c r="AE63" s="159" t="n"/>
      <c r="AF63" s="159" t="n"/>
      <c r="AG63" s="159">
        <f>SUBTOTAL(9,AG3:AG62)</f>
        <v/>
      </c>
    </row>
    <row r="66">
      <c r="B66" t="inlineStr">
        <is>
          <t>Tax invoice raised on 27-05-26 month of April-26</t>
        </is>
      </c>
      <c r="R66" t="inlineStr">
        <is>
          <t>Tax invoice raised on 27-05-26 month of April-26</t>
        </is>
      </c>
    </row>
  </sheetData>
  <mergeCells count="248">
    <mergeCell ref="F53:F54"/>
    <mergeCell ref="H53:H54"/>
    <mergeCell ref="W37:W38"/>
    <mergeCell ref="H9:H10"/>
    <mergeCell ref="F3:F4"/>
    <mergeCell ref="F59:F60"/>
    <mergeCell ref="F55:F56"/>
    <mergeCell ref="Z25:Z26"/>
    <mergeCell ref="H59:H60"/>
    <mergeCell ref="Z3:Z4"/>
    <mergeCell ref="X3:X4"/>
    <mergeCell ref="H55:H56"/>
    <mergeCell ref="H11:H12"/>
    <mergeCell ref="I57:I58"/>
    <mergeCell ref="F45:F46"/>
    <mergeCell ref="H39:H40"/>
    <mergeCell ref="Y19:Y20"/>
    <mergeCell ref="X53:X54"/>
    <mergeCell ref="Z53:Z54"/>
    <mergeCell ref="W51:W52"/>
    <mergeCell ref="H61:H62"/>
    <mergeCell ref="Y51:Y52"/>
    <mergeCell ref="G3:G4"/>
    <mergeCell ref="I3:I4"/>
    <mergeCell ref="I17:I18"/>
    <mergeCell ref="H45:H46"/>
    <mergeCell ref="F47:F48"/>
    <mergeCell ref="Z37:Z38"/>
    <mergeCell ref="W41:W42"/>
    <mergeCell ref="X55:X56"/>
    <mergeCell ref="G49:G50"/>
    <mergeCell ref="Z29:Z30"/>
    <mergeCell ref="I43:I44"/>
    <mergeCell ref="F31:F32"/>
    <mergeCell ref="F13:F14"/>
    <mergeCell ref="G5:G6"/>
    <mergeCell ref="H13:H14"/>
    <mergeCell ref="W11:W12"/>
    <mergeCell ref="Z39:Z40"/>
    <mergeCell ref="G33:G34"/>
    <mergeCell ref="X45:X46"/>
    <mergeCell ref="H47:H48"/>
    <mergeCell ref="W43:W44"/>
    <mergeCell ref="G51:G52"/>
    <mergeCell ref="I51:I52"/>
    <mergeCell ref="X29:X30"/>
    <mergeCell ref="F37:F38"/>
    <mergeCell ref="I29:I30"/>
    <mergeCell ref="W27:W28"/>
    <mergeCell ref="H37:H38"/>
    <mergeCell ref="Z23:Z24"/>
    <mergeCell ref="G41:G42"/>
    <mergeCell ref="H15:H16"/>
    <mergeCell ref="X21:X22"/>
    <mergeCell ref="G35:G36"/>
    <mergeCell ref="I35:I36"/>
    <mergeCell ref="X31:X32"/>
    <mergeCell ref="F57:F58"/>
    <mergeCell ref="Z31:Z32"/>
    <mergeCell ref="I31:I32"/>
    <mergeCell ref="Y33:Y34"/>
    <mergeCell ref="W13:W14"/>
    <mergeCell ref="G21:G22"/>
    <mergeCell ref="I15:I16"/>
    <mergeCell ref="H23:H24"/>
    <mergeCell ref="F7:F8"/>
    <mergeCell ref="W15:W16"/>
    <mergeCell ref="Y15:Y16"/>
    <mergeCell ref="I45:I46"/>
    <mergeCell ref="G23:G24"/>
    <mergeCell ref="W25:W26"/>
    <mergeCell ref="H43:H44"/>
    <mergeCell ref="X57:X58"/>
    <mergeCell ref="Z57:Z58"/>
    <mergeCell ref="G13:G14"/>
    <mergeCell ref="Y55:Y56"/>
    <mergeCell ref="G7:G8"/>
    <mergeCell ref="H41:H42"/>
    <mergeCell ref="I7:I8"/>
    <mergeCell ref="Y21:Y22"/>
    <mergeCell ref="F5:F6"/>
    <mergeCell ref="Z41:Z42"/>
    <mergeCell ref="G39:G40"/>
    <mergeCell ref="H49:H50"/>
    <mergeCell ref="X19:X20"/>
    <mergeCell ref="W45:W46"/>
    <mergeCell ref="W7:W8"/>
    <mergeCell ref="F35:F36"/>
    <mergeCell ref="H17:H18"/>
    <mergeCell ref="X49:X50"/>
    <mergeCell ref="Z43:Z44"/>
    <mergeCell ref="W47:W48"/>
    <mergeCell ref="F33:F34"/>
    <mergeCell ref="Y7:Y8"/>
    <mergeCell ref="X33:X34"/>
    <mergeCell ref="Z33:Z34"/>
    <mergeCell ref="I33:I34"/>
    <mergeCell ref="X5:X6"/>
    <mergeCell ref="J1:M1"/>
    <mergeCell ref="H19:H20"/>
    <mergeCell ref="Z5:Z6"/>
    <mergeCell ref="Y49:Y50"/>
    <mergeCell ref="F9:F10"/>
    <mergeCell ref="Y27:Y28"/>
    <mergeCell ref="F61:F62"/>
    <mergeCell ref="Z13:Z14"/>
    <mergeCell ref="W17:W18"/>
    <mergeCell ref="G25:G26"/>
    <mergeCell ref="R1:Z1"/>
    <mergeCell ref="I19:I20"/>
    <mergeCell ref="X59:X60"/>
    <mergeCell ref="F11:F12"/>
    <mergeCell ref="Z59:Z60"/>
    <mergeCell ref="Z15:Z16"/>
    <mergeCell ref="G9:G10"/>
    <mergeCell ref="W19:W20"/>
    <mergeCell ref="I9:I10"/>
    <mergeCell ref="G27:G28"/>
    <mergeCell ref="X61:X62"/>
    <mergeCell ref="Z55:Z56"/>
    <mergeCell ref="A1:I1"/>
    <mergeCell ref="Z61:Z62"/>
    <mergeCell ref="Y3:Y4"/>
    <mergeCell ref="G11:G12"/>
    <mergeCell ref="I11:I12"/>
    <mergeCell ref="AA63:AD63"/>
    <mergeCell ref="Z45:Z46"/>
    <mergeCell ref="W53:W54"/>
    <mergeCell ref="Y53:Y54"/>
    <mergeCell ref="H29:H30"/>
    <mergeCell ref="G61:G62"/>
    <mergeCell ref="W5:W6"/>
    <mergeCell ref="Y5:Y6"/>
    <mergeCell ref="I61:I62"/>
    <mergeCell ref="Y9:Y10"/>
    <mergeCell ref="X39:X40"/>
    <mergeCell ref="X47:X48"/>
    <mergeCell ref="Z47:Z48"/>
    <mergeCell ref="W55:W56"/>
    <mergeCell ref="A63:D63"/>
    <mergeCell ref="X23:X24"/>
    <mergeCell ref="H31:H32"/>
    <mergeCell ref="Y11:Y12"/>
    <mergeCell ref="Y29:Y30"/>
    <mergeCell ref="X37:X38"/>
    <mergeCell ref="J63:M63"/>
    <mergeCell ref="G53:G54"/>
    <mergeCell ref="F21:F22"/>
    <mergeCell ref="Y39:Y40"/>
    <mergeCell ref="I53:I54"/>
    <mergeCell ref="F51:F52"/>
    <mergeCell ref="I47:I48"/>
    <mergeCell ref="H51:H52"/>
    <mergeCell ref="Y31:Y32"/>
    <mergeCell ref="F17:F18"/>
    <mergeCell ref="G37:G38"/>
    <mergeCell ref="Z17:Z18"/>
    <mergeCell ref="F41:F42"/>
    <mergeCell ref="I37:I38"/>
    <mergeCell ref="G55:G56"/>
    <mergeCell ref="F23:F24"/>
    <mergeCell ref="G15:G16"/>
    <mergeCell ref="W21:W22"/>
    <mergeCell ref="H57:H58"/>
    <mergeCell ref="W31:W32"/>
    <mergeCell ref="R63:U63"/>
    <mergeCell ref="Y13:Y14"/>
    <mergeCell ref="I39:I40"/>
    <mergeCell ref="Z19:Z20"/>
    <mergeCell ref="F43:F44"/>
    <mergeCell ref="W23:W24"/>
    <mergeCell ref="X51:X52"/>
    <mergeCell ref="Z51:Z52"/>
    <mergeCell ref="H3:H4"/>
    <mergeCell ref="X9:X10"/>
    <mergeCell ref="F39:F40"/>
    <mergeCell ref="I23:I24"/>
    <mergeCell ref="Y37:Y38"/>
    <mergeCell ref="X41:X42"/>
    <mergeCell ref="F49:F50"/>
    <mergeCell ref="X35:X36"/>
    <mergeCell ref="Z35:Z36"/>
    <mergeCell ref="F29:F30"/>
    <mergeCell ref="H5:H6"/>
    <mergeCell ref="W57:W58"/>
    <mergeCell ref="X25:X26"/>
    <mergeCell ref="Y57:Y58"/>
    <mergeCell ref="H33:H34"/>
    <mergeCell ref="X43:X44"/>
    <mergeCell ref="Y41:Y42"/>
    <mergeCell ref="Y23:Y24"/>
    <mergeCell ref="X27:X28"/>
    <mergeCell ref="I49:I50"/>
    <mergeCell ref="I27:I28"/>
    <mergeCell ref="H35:H36"/>
    <mergeCell ref="F15:F16"/>
    <mergeCell ref="G43:G44"/>
    <mergeCell ref="W49:W50"/>
    <mergeCell ref="G17:G18"/>
    <mergeCell ref="Y43:Y44"/>
    <mergeCell ref="F25:F26"/>
    <mergeCell ref="G57:G58"/>
    <mergeCell ref="X13:X14"/>
    <mergeCell ref="W33:W34"/>
    <mergeCell ref="X7:X8"/>
    <mergeCell ref="Z7:Z8"/>
    <mergeCell ref="H21:H22"/>
    <mergeCell ref="I41:I42"/>
    <mergeCell ref="Z21:Z22"/>
    <mergeCell ref="G19:G20"/>
    <mergeCell ref="X15:X16"/>
    <mergeCell ref="W35:W36"/>
    <mergeCell ref="I25:I26"/>
    <mergeCell ref="Y35:Y36"/>
    <mergeCell ref="Y17:Y18"/>
    <mergeCell ref="I21:I22"/>
    <mergeCell ref="W3:W4"/>
    <mergeCell ref="W59:W60"/>
    <mergeCell ref="H7:H8"/>
    <mergeCell ref="Y59:Y60"/>
    <mergeCell ref="AA1:AD1"/>
    <mergeCell ref="I5:I6"/>
    <mergeCell ref="G29:G30"/>
    <mergeCell ref="F27:F28"/>
    <mergeCell ref="H27:H28"/>
    <mergeCell ref="W9:W10"/>
    <mergeCell ref="Y25:Y26"/>
    <mergeCell ref="W61:W62"/>
    <mergeCell ref="I55:I56"/>
    <mergeCell ref="Y61:Y62"/>
    <mergeCell ref="I13:I14"/>
    <mergeCell ref="G45:G46"/>
    <mergeCell ref="Y45:Y46"/>
    <mergeCell ref="W29:W30"/>
    <mergeCell ref="G59:G60"/>
    <mergeCell ref="I59:I60"/>
    <mergeCell ref="H25:H26"/>
    <mergeCell ref="W39:W40"/>
    <mergeCell ref="F19:F20"/>
    <mergeCell ref="Z9:Z10"/>
    <mergeCell ref="Z49:Z50"/>
    <mergeCell ref="G47:G48"/>
    <mergeCell ref="Z27:Z28"/>
    <mergeCell ref="Y47:Y48"/>
    <mergeCell ref="X17:X18"/>
    <mergeCell ref="G31:G32"/>
    <mergeCell ref="X11:X12"/>
    <mergeCell ref="Z11:Z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9"/>
  <sheetViews>
    <sheetView topLeftCell="A49" workbookViewId="0">
      <selection activeCell="A67" sqref="A67"/>
    </sheetView>
  </sheetViews>
  <sheetFormatPr baseColWidth="8" defaultRowHeight="15"/>
  <cols>
    <col width="8.42578125" bestFit="1" customWidth="1" style="140" min="1" max="1"/>
    <col width="6.5703125" bestFit="1" customWidth="1" style="140" min="2" max="2"/>
    <col width="8.7109375" customWidth="1" style="140" min="3" max="3"/>
    <col width="9.140625" customWidth="1" style="140" min="4" max="4"/>
    <col width="17.28515625" customWidth="1" style="140" min="5" max="5"/>
    <col width="7.85546875" bestFit="1" customWidth="1" style="140" min="6" max="6"/>
    <col width="5.28515625" bestFit="1" customWidth="1" style="140" min="7" max="7"/>
    <col width="7.28515625" bestFit="1" customWidth="1" style="140" min="8" max="8"/>
    <col width="9.42578125" bestFit="1" customWidth="1" style="140" min="9" max="9"/>
    <col width="11.28515625" bestFit="1" customWidth="1" style="140" min="10" max="10"/>
    <col width="9.5703125" bestFit="1" customWidth="1" style="140" min="11" max="11"/>
    <col width="10.42578125" bestFit="1" customWidth="1" style="140" min="12" max="12"/>
    <col width="27.42578125" bestFit="1" customWidth="1" style="140" min="13" max="13"/>
    <col width="8.5703125" bestFit="1" customWidth="1" style="140" min="14" max="15"/>
    <col width="5.5703125" bestFit="1" customWidth="1" style="140" min="16" max="16"/>
    <col width="8.42578125" bestFit="1" customWidth="1" style="140" min="18" max="18"/>
    <col width="6.5703125" bestFit="1" customWidth="1" style="140" min="19" max="19"/>
    <col width="10.28515625" customWidth="1" style="140" min="20" max="20"/>
    <col width="7.7109375" customWidth="1" style="140" min="21" max="21"/>
    <col width="7.28515625" bestFit="1" customWidth="1" style="140" min="22" max="22"/>
    <col width="6.7109375" bestFit="1" customWidth="1" style="140" min="23" max="23"/>
    <col width="5.28515625" bestFit="1" customWidth="1" style="140" min="24" max="24"/>
    <col width="7.28515625" bestFit="1" customWidth="1" style="140" min="25" max="25"/>
    <col width="9.42578125" bestFit="1" customWidth="1" style="140" min="26" max="26"/>
    <col width="11.28515625" bestFit="1" customWidth="1" style="140" min="27" max="27"/>
    <col width="9.5703125" bestFit="1" customWidth="1" style="140" min="28" max="28"/>
    <col width="10.42578125" bestFit="1" customWidth="1" style="140" min="29" max="29"/>
    <col width="8.5703125" bestFit="1" customWidth="1" style="140" min="30" max="32"/>
    <col width="5.42578125" bestFit="1" customWidth="1" style="140" min="33" max="33"/>
  </cols>
  <sheetData>
    <row r="1" ht="19.5" customHeight="1" s="140" thickBot="1">
      <c r="A1" s="142" t="inlineStr">
        <is>
          <t>NEW MACHINE NO - XCMG-8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55" t="inlineStr">
        <is>
          <t>DATE</t>
        </is>
      </c>
      <c r="B2" s="56" t="inlineStr">
        <is>
          <t>SHIFT</t>
        </is>
      </c>
      <c r="C2" s="57" t="inlineStr">
        <is>
          <t>SHIFT START - HMR</t>
        </is>
      </c>
      <c r="D2" s="57" t="inlineStr">
        <is>
          <t>SHIFT END - HMR</t>
        </is>
      </c>
      <c r="E2" s="58" t="inlineStr">
        <is>
          <t>HOURS</t>
        </is>
      </c>
      <c r="F2" s="59" t="inlineStr">
        <is>
          <t>DIESEL</t>
        </is>
      </c>
      <c r="G2" s="56" t="inlineStr">
        <is>
          <t>HMR</t>
        </is>
      </c>
      <c r="H2" s="56" t="inlineStr">
        <is>
          <t>HOURS</t>
        </is>
      </c>
      <c r="I2" s="58" t="inlineStr">
        <is>
          <t>AVERAGE</t>
        </is>
      </c>
      <c r="J2" s="60" t="inlineStr">
        <is>
          <t>START TIME</t>
        </is>
      </c>
      <c r="K2" s="60" t="inlineStr">
        <is>
          <t>END TIME</t>
        </is>
      </c>
      <c r="L2" s="60" t="inlineStr">
        <is>
          <t>TOTAL HRS</t>
        </is>
      </c>
      <c r="M2" s="60" t="inlineStr">
        <is>
          <t>Remarks</t>
        </is>
      </c>
      <c r="N2" s="53" t="inlineStr">
        <is>
          <t>Container Start Count</t>
        </is>
      </c>
      <c r="O2" s="53" t="inlineStr">
        <is>
          <t>Container End Count</t>
        </is>
      </c>
      <c r="P2" s="60" t="inlineStr">
        <is>
          <t>Total</t>
        </is>
      </c>
      <c r="R2" s="37" t="inlineStr">
        <is>
          <t>DATE</t>
        </is>
      </c>
      <c r="S2" s="38" t="inlineStr">
        <is>
          <t>SHIFT</t>
        </is>
      </c>
      <c r="T2" s="40" t="inlineStr">
        <is>
          <t>SHIFT START - HMR</t>
        </is>
      </c>
      <c r="U2" s="40" t="inlineStr">
        <is>
          <t>SHIFT END - HMR</t>
        </is>
      </c>
      <c r="V2" s="39" t="inlineStr">
        <is>
          <t>HOURS</t>
        </is>
      </c>
      <c r="W2" s="41" t="inlineStr">
        <is>
          <t>DIESEL</t>
        </is>
      </c>
      <c r="X2" s="38" t="inlineStr">
        <is>
          <t>HMR</t>
        </is>
      </c>
      <c r="Y2" s="38" t="inlineStr">
        <is>
          <t>HOURS</t>
        </is>
      </c>
      <c r="Z2" s="39" t="inlineStr">
        <is>
          <t>AVERAGE</t>
        </is>
      </c>
      <c r="AA2" s="34" t="inlineStr">
        <is>
          <t>START TIME</t>
        </is>
      </c>
      <c r="AB2" s="34" t="inlineStr">
        <is>
          <t>END TIME</t>
        </is>
      </c>
      <c r="AC2" s="34" t="inlineStr">
        <is>
          <t>TOTAL HRS</t>
        </is>
      </c>
      <c r="AD2" s="34" t="inlineStr">
        <is>
          <t>Remarks</t>
        </is>
      </c>
      <c r="AE2" s="35" t="inlineStr">
        <is>
          <t>Container Start Count</t>
        </is>
      </c>
      <c r="AF2" s="35" t="inlineStr">
        <is>
          <t>Container End Count</t>
        </is>
      </c>
      <c r="AG2" s="34" t="inlineStr">
        <is>
          <t>Total</t>
        </is>
      </c>
    </row>
    <row r="3" ht="15.75" customHeight="1" s="140">
      <c r="A3" s="62" t="n"/>
      <c r="B3" s="62" t="n"/>
      <c r="C3" s="63" t="n"/>
      <c r="D3" s="63" t="n"/>
      <c r="E3" s="62" t="n"/>
      <c r="F3" s="62" t="n"/>
      <c r="G3" s="62" t="n">
        <v>231</v>
      </c>
      <c r="H3" s="62" t="n"/>
      <c r="I3" s="62" t="n"/>
      <c r="J3" s="62" t="n"/>
      <c r="K3" s="62" t="n"/>
      <c r="L3" s="62" t="n"/>
      <c r="M3" s="62" t="n"/>
      <c r="N3" s="64" t="n"/>
      <c r="O3" s="64" t="n"/>
      <c r="P3" s="62" t="n"/>
      <c r="R3" s="48" t="n"/>
      <c r="S3" s="49" t="n"/>
      <c r="T3" s="50" t="n"/>
      <c r="U3" s="50" t="n"/>
      <c r="V3" s="51" t="n"/>
      <c r="W3" s="52" t="n"/>
      <c r="X3" s="49" t="n">
        <v>27</v>
      </c>
      <c r="Y3" s="49" t="n"/>
      <c r="Z3" s="51" t="n"/>
      <c r="AA3" s="49" t="n"/>
      <c r="AB3" s="49" t="n"/>
      <c r="AC3" s="49" t="n"/>
      <c r="AD3" s="49" t="n"/>
      <c r="AE3" s="53" t="n"/>
      <c r="AF3" s="54" t="n"/>
      <c r="AG3" s="49" t="n"/>
    </row>
    <row r="4">
      <c r="A4" s="6" t="n">
        <v>46143</v>
      </c>
      <c r="B4" s="7" t="inlineStr">
        <is>
          <t xml:space="preserve">DAY </t>
        </is>
      </c>
      <c r="C4" s="61" t="n">
        <v>246</v>
      </c>
      <c r="D4" s="7" t="n">
        <v>252</v>
      </c>
      <c r="E4" s="11">
        <f>D4-C4</f>
        <v/>
      </c>
      <c r="F4" s="144" t="n">
        <v>200</v>
      </c>
      <c r="G4" s="141" t="n">
        <v>250</v>
      </c>
      <c r="H4" s="127">
        <f>G4-G3</f>
        <v/>
      </c>
      <c r="I4" s="129">
        <f>F4/H4</f>
        <v/>
      </c>
      <c r="J4" s="9" t="n">
        <v>0.2916666666666667</v>
      </c>
      <c r="K4" s="9" t="n">
        <v>0.3333333333333333</v>
      </c>
      <c r="L4" s="9" t="n">
        <v>0.04166666666666666</v>
      </c>
      <c r="M4" s="10" t="inlineStr">
        <is>
          <t>Cooling</t>
        </is>
      </c>
      <c r="N4" s="61" t="n">
        <v>2516</v>
      </c>
      <c r="O4" s="7" t="n">
        <v>2634</v>
      </c>
      <c r="P4" s="7">
        <f>O4-N4</f>
        <v/>
      </c>
      <c r="R4" s="6" t="n">
        <v>46143</v>
      </c>
      <c r="S4" s="7" t="inlineStr">
        <is>
          <t xml:space="preserve">DAY </t>
        </is>
      </c>
      <c r="T4" s="8" t="n">
        <v>37</v>
      </c>
      <c r="U4" s="7" t="n">
        <v>42</v>
      </c>
      <c r="V4" s="11">
        <f>U4-T4</f>
        <v/>
      </c>
      <c r="W4" s="144" t="n">
        <v>100</v>
      </c>
      <c r="X4" s="141" t="n">
        <v>37</v>
      </c>
      <c r="Y4" s="127">
        <f>X4-X3</f>
        <v/>
      </c>
      <c r="Z4" s="129">
        <f>W4/Y4</f>
        <v/>
      </c>
      <c r="AA4" s="9" t="n">
        <v>0.2916666666666667</v>
      </c>
      <c r="AB4" s="9" t="n">
        <v>0.3333333333333333</v>
      </c>
      <c r="AC4" s="9">
        <f>AB4-AA4</f>
        <v/>
      </c>
      <c r="AD4" s="10" t="inlineStr">
        <is>
          <t>Cooling</t>
        </is>
      </c>
      <c r="AE4" s="8" t="n">
        <v>225</v>
      </c>
      <c r="AF4" s="7" t="n">
        <v>316</v>
      </c>
      <c r="AG4" s="7">
        <f>AF4-AE4</f>
        <v/>
      </c>
    </row>
    <row r="5">
      <c r="A5" s="6">
        <f>A4</f>
        <v/>
      </c>
      <c r="B5" s="127" t="inlineStr">
        <is>
          <t>NIGHT</t>
        </is>
      </c>
      <c r="C5" s="13">
        <f>D4</f>
        <v/>
      </c>
      <c r="D5" s="127" t="n">
        <v>263</v>
      </c>
      <c r="E5" s="11">
        <f>D5-C5</f>
        <v/>
      </c>
      <c r="F5" s="128" t="n"/>
      <c r="G5" s="128" t="n"/>
      <c r="H5" s="128" t="n"/>
      <c r="I5" s="128" t="n"/>
      <c r="J5" s="15" t="n"/>
      <c r="K5" s="15" t="n"/>
      <c r="L5" s="15" t="n"/>
      <c r="M5" s="16" t="n"/>
      <c r="N5" s="14">
        <f>O4</f>
        <v/>
      </c>
      <c r="O5" s="127" t="n">
        <v>2712</v>
      </c>
      <c r="P5" s="7">
        <f>O5-N5</f>
        <v/>
      </c>
      <c r="R5" s="6">
        <f>R4</f>
        <v/>
      </c>
      <c r="S5" s="127" t="inlineStr">
        <is>
          <t>NIGHT</t>
        </is>
      </c>
      <c r="T5" s="13">
        <f>U4</f>
        <v/>
      </c>
      <c r="U5" s="127" t="n">
        <v>49</v>
      </c>
      <c r="V5" s="11">
        <f>U5-T5</f>
        <v/>
      </c>
      <c r="W5" s="128" t="n"/>
      <c r="X5" s="128" t="n"/>
      <c r="Y5" s="128" t="n"/>
      <c r="Z5" s="128" t="n"/>
      <c r="AA5" s="15" t="n"/>
      <c r="AB5" s="15" t="n"/>
      <c r="AC5" s="15" t="n"/>
      <c r="AD5" s="16" t="n"/>
      <c r="AE5" s="14">
        <f>AF4</f>
        <v/>
      </c>
      <c r="AF5" s="127" t="n">
        <v>429</v>
      </c>
      <c r="AG5" s="7">
        <f>AF5-AE5</f>
        <v/>
      </c>
    </row>
    <row r="6">
      <c r="A6" s="17">
        <f>A5+1</f>
        <v/>
      </c>
      <c r="B6" s="148" t="inlineStr">
        <is>
          <t xml:space="preserve">DAY </t>
        </is>
      </c>
      <c r="C6" s="13">
        <f>D5</f>
        <v/>
      </c>
      <c r="D6" s="8" t="n">
        <v>270</v>
      </c>
      <c r="E6" s="11">
        <f>D6-C6</f>
        <v/>
      </c>
      <c r="F6" s="130" t="n">
        <v>170</v>
      </c>
      <c r="G6" s="130" t="n">
        <v>267</v>
      </c>
      <c r="H6" s="127">
        <f>G6-G4</f>
        <v/>
      </c>
      <c r="I6" s="129">
        <f>F6/H6</f>
        <v/>
      </c>
      <c r="J6" s="9" t="n"/>
      <c r="K6" s="9" t="n"/>
      <c r="L6" s="9" t="n"/>
      <c r="M6" s="10" t="n"/>
      <c r="N6" s="14">
        <f>O5</f>
        <v/>
      </c>
      <c r="O6" s="8" t="n">
        <v>2798</v>
      </c>
      <c r="P6" s="7">
        <f>O6-N6</f>
        <v/>
      </c>
      <c r="R6" s="17">
        <f>R5+1</f>
        <v/>
      </c>
      <c r="S6" s="148" t="inlineStr">
        <is>
          <t xml:space="preserve">DAY </t>
        </is>
      </c>
      <c r="T6" s="13">
        <f>U5</f>
        <v/>
      </c>
      <c r="U6" s="8" t="n">
        <v>54</v>
      </c>
      <c r="V6" s="11">
        <f>U6-T6</f>
        <v/>
      </c>
      <c r="W6" s="130" t="n">
        <v>200</v>
      </c>
      <c r="X6" s="130" t="n">
        <v>50</v>
      </c>
      <c r="Y6" s="127">
        <f>X6-X4</f>
        <v/>
      </c>
      <c r="Z6" s="129">
        <f>W6/Y6</f>
        <v/>
      </c>
      <c r="AA6" s="18" t="n">
        <v>0.1041666666666667</v>
      </c>
      <c r="AB6" s="18" t="n">
        <v>0.1458333333333333</v>
      </c>
      <c r="AC6" s="9">
        <f>AB6-AA6</f>
        <v/>
      </c>
      <c r="AD6" s="10" t="inlineStr">
        <is>
          <t>Cooling</t>
        </is>
      </c>
      <c r="AE6" s="14">
        <f>AF5</f>
        <v/>
      </c>
      <c r="AF6" s="8" t="n">
        <v>511</v>
      </c>
      <c r="AG6" s="7">
        <f>AF6-AE6</f>
        <v/>
      </c>
    </row>
    <row r="7">
      <c r="A7" s="17">
        <f>A6</f>
        <v/>
      </c>
      <c r="B7" s="148" t="inlineStr">
        <is>
          <t>NIGHT</t>
        </is>
      </c>
      <c r="C7" s="13">
        <f>D6</f>
        <v/>
      </c>
      <c r="D7" s="8" t="n">
        <v>280</v>
      </c>
      <c r="E7" s="11">
        <f>D7-C7</f>
        <v/>
      </c>
      <c r="F7" s="128" t="n"/>
      <c r="G7" s="128" t="n"/>
      <c r="H7" s="128" t="n"/>
      <c r="I7" s="128" t="n"/>
      <c r="J7" s="18" t="n"/>
      <c r="K7" s="18" t="n"/>
      <c r="L7" s="22" t="n"/>
      <c r="M7" s="23" t="n"/>
      <c r="N7" s="14">
        <f>O6</f>
        <v/>
      </c>
      <c r="O7" s="8" t="n">
        <v>2862</v>
      </c>
      <c r="P7" s="7">
        <f>O7-N7</f>
        <v/>
      </c>
      <c r="R7" s="17">
        <f>R6</f>
        <v/>
      </c>
      <c r="S7" s="148" t="inlineStr">
        <is>
          <t>NIGHT</t>
        </is>
      </c>
      <c r="T7" s="13">
        <f>U6</f>
        <v/>
      </c>
      <c r="U7" s="8" t="n">
        <v>59</v>
      </c>
      <c r="V7" s="11">
        <f>U7-T7</f>
        <v/>
      </c>
      <c r="W7" s="128" t="n"/>
      <c r="X7" s="128" t="n"/>
      <c r="Y7" s="128" t="n"/>
      <c r="Z7" s="128" t="n"/>
      <c r="AA7" s="18" t="n"/>
      <c r="AB7" s="18" t="n"/>
      <c r="AC7" s="22" t="n"/>
      <c r="AD7" s="23" t="n"/>
      <c r="AE7" s="14">
        <f>AF6</f>
        <v/>
      </c>
      <c r="AF7" s="8" t="n">
        <v>580</v>
      </c>
      <c r="AG7" s="7">
        <f>AF7-AE7</f>
        <v/>
      </c>
    </row>
    <row r="8">
      <c r="A8" s="17">
        <f>A7+1</f>
        <v/>
      </c>
      <c r="B8" s="127" t="inlineStr">
        <is>
          <t xml:space="preserve">DAY </t>
        </is>
      </c>
      <c r="C8" s="13">
        <f>D7</f>
        <v/>
      </c>
      <c r="D8" s="13" t="n">
        <v>280</v>
      </c>
      <c r="E8" s="11">
        <f>D8-C8</f>
        <v/>
      </c>
      <c r="F8" s="130" t="n">
        <v>120</v>
      </c>
      <c r="G8" s="131" t="n">
        <v>280</v>
      </c>
      <c r="H8" s="127">
        <f>G8-G6</f>
        <v/>
      </c>
      <c r="I8" s="129">
        <f>F8/H8</f>
        <v/>
      </c>
      <c r="J8" s="73" t="n">
        <v>0.3333333333333333</v>
      </c>
      <c r="K8" s="73" t="n">
        <v>0.8333333333333334</v>
      </c>
      <c r="L8" s="73">
        <f>K8-J8</f>
        <v/>
      </c>
      <c r="M8" s="74" t="inlineStr">
        <is>
          <t>No Operator</t>
        </is>
      </c>
      <c r="N8" s="14">
        <f>O7</f>
        <v/>
      </c>
      <c r="O8" s="8" t="n">
        <v>2862</v>
      </c>
      <c r="P8" s="7">
        <f>O8-N8</f>
        <v/>
      </c>
      <c r="R8" s="17">
        <f>R7+1</f>
        <v/>
      </c>
      <c r="S8" s="127" t="inlineStr">
        <is>
          <t xml:space="preserve">DAY </t>
        </is>
      </c>
      <c r="T8" s="13">
        <f>U7</f>
        <v/>
      </c>
      <c r="U8" s="13" t="n">
        <v>69</v>
      </c>
      <c r="V8" s="11">
        <f>U8-T8</f>
        <v/>
      </c>
      <c r="W8" s="130" t="n">
        <v>140</v>
      </c>
      <c r="X8" s="131" t="n">
        <v>61</v>
      </c>
      <c r="Y8" s="127">
        <f>X8-X6</f>
        <v/>
      </c>
      <c r="Z8" s="129">
        <f>W8/Y8</f>
        <v/>
      </c>
      <c r="AA8" s="18" t="n"/>
      <c r="AB8" s="18" t="n"/>
      <c r="AC8" s="9" t="n"/>
      <c r="AD8" s="10" t="n"/>
      <c r="AE8" s="14">
        <f>AF7</f>
        <v/>
      </c>
      <c r="AF8" s="13" t="n">
        <v>704</v>
      </c>
      <c r="AG8" s="7">
        <f>AF8-AE8</f>
        <v/>
      </c>
    </row>
    <row r="9">
      <c r="A9" s="17">
        <f>A8</f>
        <v/>
      </c>
      <c r="B9" s="127" t="inlineStr">
        <is>
          <t>NIGHT</t>
        </is>
      </c>
      <c r="C9" s="13">
        <f>D8</f>
        <v/>
      </c>
      <c r="D9" s="13" t="n">
        <v>290</v>
      </c>
      <c r="E9" s="11">
        <f>D9-C9</f>
        <v/>
      </c>
      <c r="F9" s="128" t="n"/>
      <c r="G9" s="132" t="n"/>
      <c r="H9" s="128" t="n"/>
      <c r="I9" s="128" t="n"/>
      <c r="J9" s="25" t="n"/>
      <c r="K9" s="25" t="n"/>
      <c r="L9" s="15" t="n"/>
      <c r="M9" s="16" t="n"/>
      <c r="N9" s="14">
        <f>O8</f>
        <v/>
      </c>
      <c r="O9" s="13" t="n">
        <v>2985</v>
      </c>
      <c r="P9" s="7">
        <f>O9-N9</f>
        <v/>
      </c>
      <c r="R9" s="17">
        <f>R8</f>
        <v/>
      </c>
      <c r="S9" s="127" t="inlineStr">
        <is>
          <t>NIGHT</t>
        </is>
      </c>
      <c r="T9" s="13">
        <f>U8</f>
        <v/>
      </c>
      <c r="U9" s="13" t="n">
        <v>77</v>
      </c>
      <c r="V9" s="11">
        <f>U9-T9</f>
        <v/>
      </c>
      <c r="W9" s="128" t="n"/>
      <c r="X9" s="132" t="n"/>
      <c r="Y9" s="128" t="n"/>
      <c r="Z9" s="128" t="n"/>
      <c r="AA9" s="25" t="n"/>
      <c r="AB9" s="25" t="n"/>
      <c r="AC9" s="15" t="n"/>
      <c r="AD9" s="16" t="n"/>
      <c r="AE9" s="14">
        <f>AF8</f>
        <v/>
      </c>
      <c r="AF9" s="13" t="n">
        <v>825</v>
      </c>
      <c r="AG9" s="7">
        <f>AF9-AE9</f>
        <v/>
      </c>
    </row>
    <row r="10">
      <c r="A10" s="17">
        <f>A9+1</f>
        <v/>
      </c>
      <c r="B10" s="148" t="inlineStr">
        <is>
          <t xml:space="preserve">DAY </t>
        </is>
      </c>
      <c r="C10" s="13">
        <f>D9</f>
        <v/>
      </c>
      <c r="D10" s="8" t="n">
        <v>290</v>
      </c>
      <c r="E10" s="11">
        <f>D10-C10</f>
        <v/>
      </c>
      <c r="F10" s="130" t="n"/>
      <c r="G10" s="131" t="n"/>
      <c r="H10" s="127" t="n"/>
      <c r="I10" s="129" t="n"/>
      <c r="J10" s="73" t="n">
        <v>0.3333333333333333</v>
      </c>
      <c r="K10" s="73" t="n">
        <v>0.8333333333333334</v>
      </c>
      <c r="L10" s="73">
        <f>K10-J10</f>
        <v/>
      </c>
      <c r="M10" s="74" t="inlineStr">
        <is>
          <t>No Operator</t>
        </is>
      </c>
      <c r="N10" s="14">
        <f>O9</f>
        <v/>
      </c>
      <c r="O10" s="26" t="n">
        <v>2985</v>
      </c>
      <c r="P10" s="7">
        <f>O10-N10</f>
        <v/>
      </c>
      <c r="R10" s="17">
        <f>R9+1</f>
        <v/>
      </c>
      <c r="S10" s="148" t="inlineStr">
        <is>
          <t xml:space="preserve">DAY </t>
        </is>
      </c>
      <c r="T10" s="13">
        <f>U9</f>
        <v/>
      </c>
      <c r="U10" s="8" t="n">
        <v>87</v>
      </c>
      <c r="V10" s="11">
        <f>U10-T10</f>
        <v/>
      </c>
      <c r="W10" s="130" t="n">
        <v>280</v>
      </c>
      <c r="X10" s="133" t="n">
        <v>82</v>
      </c>
      <c r="Y10" s="127">
        <f>X10-X8</f>
        <v/>
      </c>
      <c r="Z10" s="129">
        <f>W10/Y10</f>
        <v/>
      </c>
      <c r="AA10" s="18" t="n"/>
      <c r="AB10" s="18" t="n"/>
      <c r="AC10" s="19" t="n"/>
      <c r="AD10" s="27" t="n"/>
      <c r="AE10" s="14">
        <f>AF9</f>
        <v/>
      </c>
      <c r="AF10" s="26" t="n">
        <v>936</v>
      </c>
      <c r="AG10" s="7">
        <f>AF10-AE10</f>
        <v/>
      </c>
    </row>
    <row r="11">
      <c r="A11" s="17">
        <f>A10</f>
        <v/>
      </c>
      <c r="B11" s="148" t="inlineStr">
        <is>
          <t>NIGHT</t>
        </is>
      </c>
      <c r="C11" s="13">
        <f>D10</f>
        <v/>
      </c>
      <c r="D11" s="8" t="n">
        <v>301</v>
      </c>
      <c r="E11" s="11">
        <f>D11-C11</f>
        <v/>
      </c>
      <c r="F11" s="128" t="n"/>
      <c r="G11" s="132" t="n"/>
      <c r="H11" s="128" t="n"/>
      <c r="I11" s="128" t="n"/>
      <c r="J11" s="28" t="n"/>
      <c r="K11" s="28" t="n"/>
      <c r="L11" s="22" t="n"/>
      <c r="M11" s="27" t="n"/>
      <c r="N11" s="14">
        <f>O10</f>
        <v/>
      </c>
      <c r="O11" s="26" t="n">
        <v>3090</v>
      </c>
      <c r="P11" s="7">
        <f>O11-N11</f>
        <v/>
      </c>
      <c r="R11" s="17">
        <f>R10</f>
        <v/>
      </c>
      <c r="S11" s="148" t="inlineStr">
        <is>
          <t>NIGHT</t>
        </is>
      </c>
      <c r="T11" s="13">
        <f>U10</f>
        <v/>
      </c>
      <c r="U11" s="8" t="n">
        <v>97</v>
      </c>
      <c r="V11" s="11">
        <f>U11-T11</f>
        <v/>
      </c>
      <c r="W11" s="128" t="n"/>
      <c r="X11" s="132" t="n"/>
      <c r="Y11" s="128" t="n"/>
      <c r="Z11" s="128" t="n"/>
      <c r="AA11" s="28" t="n"/>
      <c r="AB11" s="28" t="n"/>
      <c r="AC11" s="22" t="n"/>
      <c r="AD11" s="27" t="n"/>
      <c r="AE11" s="14">
        <f>AF10</f>
        <v/>
      </c>
      <c r="AF11" s="26" t="n">
        <v>1116</v>
      </c>
      <c r="AG11" s="7">
        <f>AF11-AE11</f>
        <v/>
      </c>
    </row>
    <row r="12">
      <c r="A12" s="17">
        <f>A11+1</f>
        <v/>
      </c>
      <c r="B12" s="148" t="inlineStr">
        <is>
          <t xml:space="preserve">DAY </t>
        </is>
      </c>
      <c r="C12" s="13">
        <f>D11</f>
        <v/>
      </c>
      <c r="D12" s="8" t="n">
        <v>310</v>
      </c>
      <c r="E12" s="11">
        <f>D12-C12</f>
        <v/>
      </c>
      <c r="F12" s="130" t="n">
        <v>90</v>
      </c>
      <c r="G12" s="133" t="n">
        <v>304</v>
      </c>
      <c r="H12" s="127">
        <f>G12-G8</f>
        <v/>
      </c>
      <c r="I12" s="129">
        <f>F12/H12</f>
        <v/>
      </c>
      <c r="J12" s="28" t="n"/>
      <c r="K12" s="28" t="n"/>
      <c r="L12" s="22" t="n"/>
      <c r="M12" s="23" t="n"/>
      <c r="N12" s="14">
        <f>O11</f>
        <v/>
      </c>
      <c r="O12" s="8" t="n">
        <v>3211</v>
      </c>
      <c r="P12" s="7">
        <f>O12-N12</f>
        <v/>
      </c>
      <c r="R12" s="17">
        <f>R11+1</f>
        <v/>
      </c>
      <c r="S12" s="148" t="inlineStr">
        <is>
          <t xml:space="preserve">DAY </t>
        </is>
      </c>
      <c r="T12" s="13">
        <f>U11</f>
        <v/>
      </c>
      <c r="U12" s="8" t="n">
        <v>105</v>
      </c>
      <c r="V12" s="11">
        <f>U12-T12</f>
        <v/>
      </c>
      <c r="W12" s="130" t="n">
        <v>200</v>
      </c>
      <c r="X12" s="133" t="n">
        <v>104</v>
      </c>
      <c r="Y12" s="127">
        <f>X12-X10</f>
        <v/>
      </c>
      <c r="Z12" s="129">
        <f>W12/Y12</f>
        <v/>
      </c>
      <c r="AA12" s="28" t="n"/>
      <c r="AB12" s="28" t="n"/>
      <c r="AC12" s="22" t="n"/>
      <c r="AD12" s="23" t="n"/>
      <c r="AE12" s="14">
        <f>AF11</f>
        <v/>
      </c>
      <c r="AF12" s="8" t="n">
        <v>1170</v>
      </c>
      <c r="AG12" s="7">
        <f>AF12-AE12</f>
        <v/>
      </c>
    </row>
    <row r="13">
      <c r="A13" s="17">
        <f>A12</f>
        <v/>
      </c>
      <c r="B13" s="148" t="inlineStr">
        <is>
          <t>NIGHT</t>
        </is>
      </c>
      <c r="C13" s="13">
        <f>D12</f>
        <v/>
      </c>
      <c r="D13" s="8" t="n">
        <v>310</v>
      </c>
      <c r="E13" s="11">
        <f>D13-C13</f>
        <v/>
      </c>
      <c r="F13" s="128" t="n"/>
      <c r="G13" s="132" t="n"/>
      <c r="H13" s="128" t="n"/>
      <c r="I13" s="128" t="n"/>
      <c r="J13" s="73" t="n">
        <v>0.3333333333333333</v>
      </c>
      <c r="K13" s="73" t="n">
        <v>0.8333333333333334</v>
      </c>
      <c r="L13" s="73">
        <f>K13-J13</f>
        <v/>
      </c>
      <c r="M13" s="74" t="inlineStr">
        <is>
          <t>No Operator</t>
        </is>
      </c>
      <c r="N13" s="14">
        <f>O12</f>
        <v/>
      </c>
      <c r="O13" s="8" t="n">
        <v>3211</v>
      </c>
      <c r="P13" s="7">
        <f>O13-N13</f>
        <v/>
      </c>
      <c r="R13" s="17">
        <f>R12</f>
        <v/>
      </c>
      <c r="S13" s="148" t="inlineStr">
        <is>
          <t>NIGHT</t>
        </is>
      </c>
      <c r="T13" s="13">
        <f>U12</f>
        <v/>
      </c>
      <c r="U13" s="8" t="n">
        <v>116</v>
      </c>
      <c r="V13" s="11">
        <f>U13-T13</f>
        <v/>
      </c>
      <c r="W13" s="128" t="n"/>
      <c r="X13" s="132" t="n"/>
      <c r="Y13" s="128" t="n"/>
      <c r="Z13" s="128" t="n"/>
      <c r="AA13" s="29" t="n"/>
      <c r="AB13" s="18" t="n"/>
      <c r="AC13" s="22" t="n"/>
      <c r="AD13" s="23" t="n"/>
      <c r="AE13" s="14">
        <f>AF12</f>
        <v/>
      </c>
      <c r="AF13" s="8" t="n">
        <v>1272</v>
      </c>
      <c r="AG13" s="7">
        <f>AF13-AE13</f>
        <v/>
      </c>
    </row>
    <row r="14">
      <c r="A14" s="17">
        <f>A13+1</f>
        <v/>
      </c>
      <c r="B14" s="148" t="inlineStr">
        <is>
          <t xml:space="preserve">DAY </t>
        </is>
      </c>
      <c r="C14" s="13">
        <f>D13</f>
        <v/>
      </c>
      <c r="D14" s="8" t="n">
        <v>320</v>
      </c>
      <c r="E14" s="21">
        <f>D14-C14</f>
        <v/>
      </c>
      <c r="F14" s="130" t="n">
        <v>180</v>
      </c>
      <c r="G14" s="133" t="n">
        <v>316</v>
      </c>
      <c r="H14" s="148">
        <f>G14-G12</f>
        <v/>
      </c>
      <c r="I14" s="129">
        <f>F14/H14</f>
        <v/>
      </c>
      <c r="J14" s="30" t="n"/>
      <c r="K14" s="28" t="n"/>
      <c r="L14" s="22" t="n"/>
      <c r="M14" s="23" t="n"/>
      <c r="N14" s="14">
        <f>O13</f>
        <v/>
      </c>
      <c r="O14" s="8" t="n">
        <v>3415</v>
      </c>
      <c r="P14" s="7">
        <f>O14-N14</f>
        <v/>
      </c>
      <c r="R14" s="17">
        <f>R13+1</f>
        <v/>
      </c>
      <c r="S14" s="148" t="inlineStr">
        <is>
          <t xml:space="preserve">DAY </t>
        </is>
      </c>
      <c r="T14" s="13">
        <f>U13</f>
        <v/>
      </c>
      <c r="U14" s="8" t="n">
        <v>123</v>
      </c>
      <c r="V14" s="21">
        <f>U14-T14</f>
        <v/>
      </c>
      <c r="W14" s="155" t="n"/>
      <c r="X14" s="133" t="n"/>
      <c r="Y14" s="127" t="n"/>
      <c r="Z14" s="129" t="n"/>
      <c r="AA14" s="30" t="n">
        <v>0.2916666666666667</v>
      </c>
      <c r="AB14" s="28" t="n">
        <v>0.3333333333333333</v>
      </c>
      <c r="AC14" s="22" t="n">
        <v>0.04166666666666666</v>
      </c>
      <c r="AD14" s="23" t="inlineStr">
        <is>
          <t>Cooling</t>
        </is>
      </c>
      <c r="AE14" s="14">
        <f>AF13</f>
        <v/>
      </c>
      <c r="AF14" s="8" t="n">
        <v>1345</v>
      </c>
      <c r="AG14" s="7">
        <f>AF14-AE14</f>
        <v/>
      </c>
    </row>
    <row r="15">
      <c r="A15" s="17">
        <f>A14</f>
        <v/>
      </c>
      <c r="B15" s="148" t="inlineStr">
        <is>
          <t>NIGHT</t>
        </is>
      </c>
      <c r="C15" s="13">
        <f>D14</f>
        <v/>
      </c>
      <c r="D15" s="8" t="n">
        <v>320</v>
      </c>
      <c r="E15" s="21">
        <f>D15-C15</f>
        <v/>
      </c>
      <c r="F15" s="128" t="n"/>
      <c r="G15" s="132" t="n"/>
      <c r="H15" s="128" t="n"/>
      <c r="I15" s="128" t="n"/>
      <c r="J15" s="73" t="n">
        <v>0.3333333333333333</v>
      </c>
      <c r="K15" s="73" t="n">
        <v>0.8333333333333334</v>
      </c>
      <c r="L15" s="73">
        <f>K15-J15</f>
        <v/>
      </c>
      <c r="M15" s="74" t="inlineStr">
        <is>
          <t>No Operator</t>
        </is>
      </c>
      <c r="N15" s="14">
        <f>O14</f>
        <v/>
      </c>
      <c r="O15" s="8" t="n">
        <v>3415</v>
      </c>
      <c r="P15" s="7">
        <f>O15-N15</f>
        <v/>
      </c>
      <c r="R15" s="17">
        <f>R14</f>
        <v/>
      </c>
      <c r="S15" s="148" t="inlineStr">
        <is>
          <t>NIGHT</t>
        </is>
      </c>
      <c r="T15" s="13">
        <f>U14</f>
        <v/>
      </c>
      <c r="U15" s="8" t="n">
        <v>134</v>
      </c>
      <c r="V15" s="21">
        <f>U15-T15</f>
        <v/>
      </c>
      <c r="W15" s="128" t="n"/>
      <c r="X15" s="132" t="n"/>
      <c r="Y15" s="128" t="n"/>
      <c r="Z15" s="128" t="n"/>
      <c r="AA15" s="29" t="n"/>
      <c r="AB15" s="18" t="n"/>
      <c r="AC15" s="22" t="n"/>
      <c r="AD15" s="23" t="n"/>
      <c r="AE15" s="14">
        <f>AF14</f>
        <v/>
      </c>
      <c r="AF15" s="8" t="n">
        <v>1461</v>
      </c>
      <c r="AG15" s="7">
        <f>AF15-AE15</f>
        <v/>
      </c>
    </row>
    <row r="16">
      <c r="A16" s="17">
        <f>A15+1</f>
        <v/>
      </c>
      <c r="B16" s="148" t="inlineStr">
        <is>
          <t xml:space="preserve">DAY </t>
        </is>
      </c>
      <c r="C16" s="13">
        <f>D15</f>
        <v/>
      </c>
      <c r="D16" s="8" t="n">
        <v>329</v>
      </c>
      <c r="E16" s="21">
        <f>D16-C16</f>
        <v/>
      </c>
      <c r="F16" s="130" t="n">
        <v>130</v>
      </c>
      <c r="G16" s="133" t="n">
        <v>324</v>
      </c>
      <c r="H16" s="148">
        <f>G16-G14</f>
        <v/>
      </c>
      <c r="I16" s="129">
        <f>F16/H16</f>
        <v/>
      </c>
      <c r="J16" s="28" t="n"/>
      <c r="K16" s="28" t="n"/>
      <c r="L16" s="22" t="n"/>
      <c r="M16" s="23" t="n"/>
      <c r="N16" s="14">
        <f>O15</f>
        <v/>
      </c>
      <c r="O16" s="8" t="n">
        <v>3575</v>
      </c>
      <c r="P16" s="26">
        <f>O16-N16</f>
        <v/>
      </c>
      <c r="R16" s="17">
        <f>R15+1</f>
        <v/>
      </c>
      <c r="S16" s="148" t="inlineStr">
        <is>
          <t xml:space="preserve">DAY </t>
        </is>
      </c>
      <c r="T16" s="13">
        <f>U15</f>
        <v/>
      </c>
      <c r="U16" s="8" t="n">
        <v>139</v>
      </c>
      <c r="V16" s="21">
        <f>U16-T16</f>
        <v/>
      </c>
      <c r="W16" s="130" t="n">
        <v>200</v>
      </c>
      <c r="X16" s="133" t="n">
        <v>137</v>
      </c>
      <c r="Y16" s="148">
        <f>X16-X12</f>
        <v/>
      </c>
      <c r="Z16" s="154">
        <f>W16/Y16</f>
        <v/>
      </c>
      <c r="AA16" s="30" t="n">
        <v>0.2916666666666667</v>
      </c>
      <c r="AB16" s="28" t="n">
        <v>0.3333333333333333</v>
      </c>
      <c r="AC16" s="22" t="n">
        <v>0.04166666666666666</v>
      </c>
      <c r="AD16" s="23" t="inlineStr">
        <is>
          <t>Cooling</t>
        </is>
      </c>
      <c r="AE16" s="14">
        <f>AF15</f>
        <v/>
      </c>
      <c r="AF16" s="8" t="n">
        <v>1510</v>
      </c>
      <c r="AG16" s="26">
        <f>AF16-AE16</f>
        <v/>
      </c>
    </row>
    <row r="17">
      <c r="A17" s="17">
        <f>A16</f>
        <v/>
      </c>
      <c r="B17" s="148" t="inlineStr">
        <is>
          <t>NIGHT</t>
        </is>
      </c>
      <c r="C17" s="13">
        <f>D16</f>
        <v/>
      </c>
      <c r="D17" s="8" t="n">
        <v>329</v>
      </c>
      <c r="E17" s="21">
        <f>D17-C17</f>
        <v/>
      </c>
      <c r="F17" s="128" t="n"/>
      <c r="G17" s="132" t="n"/>
      <c r="H17" s="128" t="n"/>
      <c r="I17" s="128" t="n"/>
      <c r="J17" s="73" t="n">
        <v>0.3333333333333333</v>
      </c>
      <c r="K17" s="73" t="n">
        <v>0.8333333333333334</v>
      </c>
      <c r="L17" s="73">
        <f>K17-J17</f>
        <v/>
      </c>
      <c r="M17" s="74" t="inlineStr">
        <is>
          <t>No Operator</t>
        </is>
      </c>
      <c r="N17" s="14">
        <f>O16</f>
        <v/>
      </c>
      <c r="O17" s="8" t="n">
        <v>3575</v>
      </c>
      <c r="P17" s="26">
        <f>O17-N17</f>
        <v/>
      </c>
      <c r="R17" s="17">
        <f>R16</f>
        <v/>
      </c>
      <c r="S17" s="148" t="inlineStr">
        <is>
          <t>NIGHT</t>
        </is>
      </c>
      <c r="T17" s="13">
        <f>U16</f>
        <v/>
      </c>
      <c r="U17" s="148" t="n">
        <v>150</v>
      </c>
      <c r="V17" s="21">
        <f>U17-T17</f>
        <v/>
      </c>
      <c r="W17" s="128" t="n"/>
      <c r="X17" s="132" t="n"/>
      <c r="Y17" s="128" t="n"/>
      <c r="Z17" s="128" t="n"/>
      <c r="AA17" s="28" t="n"/>
      <c r="AB17" s="28" t="n"/>
      <c r="AC17" s="22" t="n"/>
      <c r="AD17" s="23" t="n"/>
      <c r="AE17" s="14">
        <f>AF16</f>
        <v/>
      </c>
      <c r="AF17" s="148" t="n">
        <v>1595</v>
      </c>
      <c r="AG17" s="26">
        <f>AF17-AE17</f>
        <v/>
      </c>
    </row>
    <row r="18">
      <c r="A18" s="17">
        <f>A17+1</f>
        <v/>
      </c>
      <c r="B18" s="148" t="inlineStr">
        <is>
          <t xml:space="preserve">DAY </t>
        </is>
      </c>
      <c r="C18" s="13">
        <f>D17</f>
        <v/>
      </c>
      <c r="D18" s="8" t="n">
        <v>336</v>
      </c>
      <c r="E18" s="21">
        <f>D18-C18</f>
        <v/>
      </c>
      <c r="F18" s="130" t="n">
        <v>120</v>
      </c>
      <c r="G18" s="133" t="n">
        <v>334</v>
      </c>
      <c r="H18" s="148">
        <f>G18-G16</f>
        <v/>
      </c>
      <c r="I18" s="129">
        <f>F18/H18</f>
        <v/>
      </c>
      <c r="J18" s="28" t="n">
        <v>0.2708333333333333</v>
      </c>
      <c r="K18" s="28" t="n">
        <v>0.3333333333333333</v>
      </c>
      <c r="L18" s="22">
        <f>K18-J18</f>
        <v/>
      </c>
      <c r="M18" s="23" t="inlineStr">
        <is>
          <t>Cooling</t>
        </is>
      </c>
      <c r="N18" s="14">
        <f>O17</f>
        <v/>
      </c>
      <c r="O18" s="8" t="n">
        <v>3700</v>
      </c>
      <c r="P18" s="26">
        <f>O18-N18</f>
        <v/>
      </c>
      <c r="R18" s="17">
        <f>R17+1</f>
        <v/>
      </c>
      <c r="S18" s="148" t="inlineStr">
        <is>
          <t xml:space="preserve">DAY </t>
        </is>
      </c>
      <c r="T18" s="13">
        <f>U17</f>
        <v/>
      </c>
      <c r="U18" s="8" t="n">
        <v>160</v>
      </c>
      <c r="V18" s="21">
        <f>U18-T18</f>
        <v/>
      </c>
      <c r="W18" s="130" t="n">
        <v>130</v>
      </c>
      <c r="X18" s="133" t="n">
        <v>153</v>
      </c>
      <c r="Y18" s="148">
        <f>X18-X16</f>
        <v/>
      </c>
      <c r="Z18" s="154">
        <f>W18/Y18</f>
        <v/>
      </c>
      <c r="AA18" s="28" t="n"/>
      <c r="AB18" s="28" t="n"/>
      <c r="AC18" s="22" t="n"/>
      <c r="AD18" s="23" t="n"/>
      <c r="AE18" s="14">
        <f>AF17</f>
        <v/>
      </c>
      <c r="AF18" s="8" t="n">
        <v>1742</v>
      </c>
      <c r="AG18" s="26">
        <f>AF18-AE18</f>
        <v/>
      </c>
    </row>
    <row r="19">
      <c r="A19" s="17">
        <f>A18</f>
        <v/>
      </c>
      <c r="B19" s="148" t="inlineStr">
        <is>
          <t>NIGHT</t>
        </is>
      </c>
      <c r="C19" s="13">
        <f>D18</f>
        <v/>
      </c>
      <c r="D19" s="8" t="n">
        <v>336</v>
      </c>
      <c r="E19" s="21">
        <f>D19-C19</f>
        <v/>
      </c>
      <c r="F19" s="128" t="n"/>
      <c r="G19" s="132" t="n"/>
      <c r="H19" s="128" t="n"/>
      <c r="I19" s="128" t="n"/>
      <c r="J19" s="73" t="n">
        <v>0.3333333333333333</v>
      </c>
      <c r="K19" s="73" t="n">
        <v>0.8333333333333334</v>
      </c>
      <c r="L19" s="73">
        <f>K19-J19</f>
        <v/>
      </c>
      <c r="M19" s="74" t="inlineStr">
        <is>
          <t>No Operator</t>
        </is>
      </c>
      <c r="N19" s="14">
        <f>O18</f>
        <v/>
      </c>
      <c r="O19" s="8" t="n">
        <v>3700</v>
      </c>
      <c r="P19" s="26">
        <f>O19-N19</f>
        <v/>
      </c>
      <c r="R19" s="17">
        <f>R18</f>
        <v/>
      </c>
      <c r="S19" s="148" t="inlineStr">
        <is>
          <t>NIGHT</t>
        </is>
      </c>
      <c r="T19" s="13">
        <f>U18</f>
        <v/>
      </c>
      <c r="U19" s="8" t="n">
        <v>171</v>
      </c>
      <c r="V19" s="21">
        <f>U19-T19</f>
        <v/>
      </c>
      <c r="W19" s="128" t="n"/>
      <c r="X19" s="132" t="n"/>
      <c r="Y19" s="128" t="n"/>
      <c r="Z19" s="128" t="n"/>
      <c r="AA19" s="28" t="n"/>
      <c r="AB19" s="28" t="n"/>
      <c r="AC19" s="22" t="n"/>
      <c r="AD19" s="23" t="n"/>
      <c r="AE19" s="14">
        <f>AF18</f>
        <v/>
      </c>
      <c r="AF19" s="8" t="n">
        <v>1799</v>
      </c>
      <c r="AG19" s="26">
        <f>AF19-AE19</f>
        <v/>
      </c>
    </row>
    <row r="20">
      <c r="A20" s="17">
        <f>A19+1</f>
        <v/>
      </c>
      <c r="B20" s="148" t="inlineStr">
        <is>
          <t xml:space="preserve">DAY </t>
        </is>
      </c>
      <c r="C20" s="13">
        <f>D19</f>
        <v/>
      </c>
      <c r="D20" s="8" t="n">
        <v>341</v>
      </c>
      <c r="E20" s="21">
        <f>D20-C20</f>
        <v/>
      </c>
      <c r="F20" s="138" t="n">
        <v>71</v>
      </c>
      <c r="G20" s="131" t="n">
        <v>339</v>
      </c>
      <c r="H20" s="148">
        <f>G20-G18</f>
        <v/>
      </c>
      <c r="I20" s="129">
        <f>F20/H20</f>
        <v/>
      </c>
      <c r="J20" s="25" t="n">
        <v>0.2916666666666667</v>
      </c>
      <c r="K20" s="25" t="n">
        <v>0.3333333333333333</v>
      </c>
      <c r="L20" s="15">
        <f>K20-J20</f>
        <v/>
      </c>
      <c r="M20" s="23" t="inlineStr">
        <is>
          <t>Cooling</t>
        </is>
      </c>
      <c r="N20" s="14">
        <f>O19</f>
        <v/>
      </c>
      <c r="O20" s="13" t="n">
        <v>3758</v>
      </c>
      <c r="P20" s="26">
        <f>O20-N20</f>
        <v/>
      </c>
      <c r="R20" s="17">
        <f>R19+1</f>
        <v/>
      </c>
      <c r="S20" s="148" t="inlineStr">
        <is>
          <t xml:space="preserve">DAY </t>
        </is>
      </c>
      <c r="T20" s="13">
        <f>U19</f>
        <v/>
      </c>
      <c r="U20" s="13" t="n">
        <v>179</v>
      </c>
      <c r="V20" s="21">
        <f>U20-T20</f>
        <v/>
      </c>
      <c r="W20" s="130" t="n">
        <v>250</v>
      </c>
      <c r="X20" s="131" t="n">
        <v>175</v>
      </c>
      <c r="Y20" s="148">
        <f>X20-X18</f>
        <v/>
      </c>
      <c r="Z20" s="154">
        <f>W20/Y20</f>
        <v/>
      </c>
      <c r="AA20" s="25" t="n"/>
      <c r="AB20" s="25" t="n"/>
      <c r="AC20" s="15" t="n"/>
      <c r="AD20" s="16" t="n"/>
      <c r="AE20" s="14">
        <f>AF19</f>
        <v/>
      </c>
      <c r="AF20" s="13" t="n">
        <v>1907</v>
      </c>
      <c r="AG20" s="26">
        <f>AF20-AE20</f>
        <v/>
      </c>
    </row>
    <row r="21">
      <c r="A21" s="17">
        <f>A20</f>
        <v/>
      </c>
      <c r="B21" s="148" t="inlineStr">
        <is>
          <t>NIGHT</t>
        </is>
      </c>
      <c r="C21" s="13">
        <f>D20</f>
        <v/>
      </c>
      <c r="D21" s="13" t="n">
        <v>351</v>
      </c>
      <c r="E21" s="21">
        <f>D21-C21</f>
        <v/>
      </c>
      <c r="F21" s="128" t="n"/>
      <c r="G21" s="132" t="n"/>
      <c r="H21" s="128" t="n"/>
      <c r="I21" s="128" t="n"/>
      <c r="J21" s="73" t="n">
        <v>0.3333333333333333</v>
      </c>
      <c r="K21" s="73" t="n">
        <v>0.8333333333333334</v>
      </c>
      <c r="L21" s="73">
        <f>K21-J21</f>
        <v/>
      </c>
      <c r="M21" s="74" t="inlineStr">
        <is>
          <t>No Operator</t>
        </is>
      </c>
      <c r="N21" s="14">
        <f>O20</f>
        <v/>
      </c>
      <c r="O21" s="13" t="n">
        <v>3804</v>
      </c>
      <c r="P21" s="26">
        <f>O21-N21</f>
        <v/>
      </c>
      <c r="R21" s="17">
        <f>R20</f>
        <v/>
      </c>
      <c r="S21" s="148" t="inlineStr">
        <is>
          <t>NIGHT</t>
        </is>
      </c>
      <c r="T21" s="13">
        <f>U20</f>
        <v/>
      </c>
      <c r="U21" s="13" t="n">
        <v>189</v>
      </c>
      <c r="V21" s="21">
        <f>U21-T21</f>
        <v/>
      </c>
      <c r="W21" s="128" t="n"/>
      <c r="X21" s="132" t="n"/>
      <c r="Y21" s="128" t="n"/>
      <c r="Z21" s="128" t="n"/>
      <c r="AA21" s="25" t="n"/>
      <c r="AB21" s="25" t="n"/>
      <c r="AC21" s="15" t="n"/>
      <c r="AD21" s="16" t="n"/>
      <c r="AE21" s="14">
        <f>AF20</f>
        <v/>
      </c>
      <c r="AF21" s="13" t="n">
        <v>1961</v>
      </c>
      <c r="AG21" s="26">
        <f>AF21-AE21</f>
        <v/>
      </c>
    </row>
    <row r="22">
      <c r="A22" s="17">
        <f>A21+1</f>
        <v/>
      </c>
      <c r="B22" s="148" t="inlineStr">
        <is>
          <t xml:space="preserve">DAY </t>
        </is>
      </c>
      <c r="C22" s="13">
        <f>D21</f>
        <v/>
      </c>
      <c r="D22" s="13" t="n">
        <v>351</v>
      </c>
      <c r="E22" s="21">
        <f>D22-C22</f>
        <v/>
      </c>
      <c r="F22" s="130" t="n"/>
      <c r="G22" s="133" t="n"/>
      <c r="H22" s="148" t="n"/>
      <c r="I22" s="154" t="n"/>
      <c r="J22" s="73" t="n">
        <v>0.3333333333333333</v>
      </c>
      <c r="K22" s="73" t="n">
        <v>0.8333333333333334</v>
      </c>
      <c r="L22" s="73">
        <f>K22-J22</f>
        <v/>
      </c>
      <c r="M22" s="74" t="inlineStr">
        <is>
          <t>No Operator</t>
        </is>
      </c>
      <c r="N22" s="14">
        <f>O21</f>
        <v/>
      </c>
      <c r="O22" s="13" t="n">
        <v>3804</v>
      </c>
      <c r="P22" s="26">
        <f>O22-N22</f>
        <v/>
      </c>
      <c r="R22" s="17">
        <f>R21+1</f>
        <v/>
      </c>
      <c r="S22" s="148" t="inlineStr">
        <is>
          <t xml:space="preserve">DAY </t>
        </is>
      </c>
      <c r="T22" s="13">
        <f>U21</f>
        <v/>
      </c>
      <c r="U22" s="8" t="n">
        <v>200</v>
      </c>
      <c r="V22" s="21">
        <f>U22-T22</f>
        <v/>
      </c>
      <c r="W22" s="130" t="n">
        <v>140</v>
      </c>
      <c r="X22" s="133" t="n">
        <v>191</v>
      </c>
      <c r="Y22" s="148">
        <f>X22-X20</f>
        <v/>
      </c>
      <c r="Z22" s="154">
        <f>W22/Y22</f>
        <v/>
      </c>
      <c r="AA22" s="28" t="n"/>
      <c r="AB22" s="28" t="n"/>
      <c r="AC22" s="22" t="n"/>
      <c r="AD22" s="23" t="n"/>
      <c r="AE22" s="14">
        <f>AF21</f>
        <v/>
      </c>
      <c r="AF22" s="8" t="n">
        <v>2060</v>
      </c>
      <c r="AG22" s="26">
        <f>AF22-AE22</f>
        <v/>
      </c>
    </row>
    <row r="23">
      <c r="A23" s="17">
        <f>A22</f>
        <v/>
      </c>
      <c r="B23" s="148" t="inlineStr">
        <is>
          <t>NIGHT</t>
        </is>
      </c>
      <c r="C23" s="13">
        <f>D22</f>
        <v/>
      </c>
      <c r="D23" s="8" t="n">
        <v>361</v>
      </c>
      <c r="E23" s="21">
        <f>D23-C23</f>
        <v/>
      </c>
      <c r="F23" s="128" t="n"/>
      <c r="G23" s="132" t="n"/>
      <c r="H23" s="128" t="n"/>
      <c r="I23" s="128" t="n"/>
      <c r="J23" s="28" t="n"/>
      <c r="K23" s="28" t="n"/>
      <c r="L23" s="22" t="n"/>
      <c r="M23" s="23" t="n"/>
      <c r="N23" s="14">
        <f>O22</f>
        <v/>
      </c>
      <c r="O23" s="8" t="n">
        <v>3855</v>
      </c>
      <c r="P23" s="26">
        <f>O23-N23</f>
        <v/>
      </c>
      <c r="R23" s="17">
        <f>R22</f>
        <v/>
      </c>
      <c r="S23" s="148" t="inlineStr">
        <is>
          <t>NIGHT</t>
        </is>
      </c>
      <c r="T23" s="13">
        <f>U22</f>
        <v/>
      </c>
      <c r="U23" s="8" t="n">
        <v>211</v>
      </c>
      <c r="V23" s="21">
        <f>U23-T23</f>
        <v/>
      </c>
      <c r="W23" s="128" t="n"/>
      <c r="X23" s="132" t="n"/>
      <c r="Y23" s="128" t="n"/>
      <c r="Z23" s="128" t="n"/>
      <c r="AA23" s="28" t="n"/>
      <c r="AB23" s="28" t="n"/>
      <c r="AC23" s="22" t="n"/>
      <c r="AD23" s="23" t="n"/>
      <c r="AE23" s="14">
        <f>AF22</f>
        <v/>
      </c>
      <c r="AF23" s="8" t="n">
        <v>2128</v>
      </c>
      <c r="AG23" s="26">
        <f>AF23-AE23</f>
        <v/>
      </c>
    </row>
    <row r="24">
      <c r="A24" s="17">
        <f>A23+1</f>
        <v/>
      </c>
      <c r="B24" s="148" t="inlineStr">
        <is>
          <t xml:space="preserve">DAY </t>
        </is>
      </c>
      <c r="C24" s="13">
        <f>D23</f>
        <v/>
      </c>
      <c r="D24" s="8" t="n">
        <v>367</v>
      </c>
      <c r="E24" s="21">
        <f>D24-C24</f>
        <v/>
      </c>
      <c r="F24" s="130" t="n">
        <v>200</v>
      </c>
      <c r="G24" s="133" t="n">
        <v>361</v>
      </c>
      <c r="H24" s="148">
        <f>G24-G20</f>
        <v/>
      </c>
      <c r="I24" s="154">
        <f>F24/H24</f>
        <v/>
      </c>
      <c r="J24" s="28" t="n">
        <v>0.09722222222222222</v>
      </c>
      <c r="K24" s="28" t="n">
        <v>0.21875</v>
      </c>
      <c r="L24" s="22">
        <f>K24-J24</f>
        <v/>
      </c>
      <c r="M24" s="23" t="inlineStr">
        <is>
          <t>Joystick communication error</t>
        </is>
      </c>
      <c r="N24" s="14">
        <f>O23</f>
        <v/>
      </c>
      <c r="O24" s="8" t="n">
        <v>3957</v>
      </c>
      <c r="P24" s="26">
        <f>O24-N24</f>
        <v/>
      </c>
      <c r="R24" s="17">
        <f>R23+1</f>
        <v/>
      </c>
      <c r="S24" s="148" t="inlineStr">
        <is>
          <t xml:space="preserve">DAY </t>
        </is>
      </c>
      <c r="T24" s="13">
        <f>U23</f>
        <v/>
      </c>
      <c r="U24" s="8" t="n">
        <v>219</v>
      </c>
      <c r="V24" s="21">
        <f>U24-T24</f>
        <v/>
      </c>
      <c r="W24" s="130" t="n">
        <v>220</v>
      </c>
      <c r="X24" s="133" t="n">
        <v>214</v>
      </c>
      <c r="Y24" s="148">
        <f>X24-X22</f>
        <v/>
      </c>
      <c r="Z24" s="154">
        <f>W24/Y24</f>
        <v/>
      </c>
      <c r="AA24" s="28" t="n"/>
      <c r="AB24" s="28" t="n"/>
      <c r="AC24" s="22" t="n"/>
      <c r="AD24" s="23" t="n"/>
      <c r="AE24" s="14">
        <f>AF23</f>
        <v/>
      </c>
      <c r="AF24" s="8" t="n">
        <v>2203</v>
      </c>
      <c r="AG24" s="26">
        <f>AF24-AE24</f>
        <v/>
      </c>
    </row>
    <row r="25">
      <c r="A25" s="17">
        <f>A24</f>
        <v/>
      </c>
      <c r="B25" s="148" t="inlineStr">
        <is>
          <t>NIGHT</t>
        </is>
      </c>
      <c r="C25" s="13">
        <f>D24</f>
        <v/>
      </c>
      <c r="D25" s="8" t="n">
        <v>367</v>
      </c>
      <c r="E25" s="21">
        <f>D25-C25</f>
        <v/>
      </c>
      <c r="F25" s="128" t="n"/>
      <c r="G25" s="132" t="n"/>
      <c r="H25" s="128" t="n"/>
      <c r="I25" s="128" t="n"/>
      <c r="J25" s="73" t="n">
        <v>0.3333333333333333</v>
      </c>
      <c r="K25" s="73" t="n">
        <v>0.8333333333333334</v>
      </c>
      <c r="L25" s="73">
        <f>K25-J25</f>
        <v/>
      </c>
      <c r="M25" s="74" t="inlineStr">
        <is>
          <t>No Operator</t>
        </is>
      </c>
      <c r="N25" s="14">
        <f>O24</f>
        <v/>
      </c>
      <c r="O25" s="8" t="n">
        <v>3957</v>
      </c>
      <c r="P25" s="26">
        <f>O25-N25</f>
        <v/>
      </c>
      <c r="R25" s="17">
        <f>R24</f>
        <v/>
      </c>
      <c r="S25" s="148" t="inlineStr">
        <is>
          <t>NIGHT</t>
        </is>
      </c>
      <c r="T25" s="13">
        <f>U24</f>
        <v/>
      </c>
      <c r="U25" s="8" t="n">
        <v>230</v>
      </c>
      <c r="V25" s="21">
        <f>U25-T25</f>
        <v/>
      </c>
      <c r="W25" s="128" t="n"/>
      <c r="X25" s="132" t="n"/>
      <c r="Y25" s="128" t="n"/>
      <c r="Z25" s="128" t="n"/>
      <c r="AA25" s="28" t="n"/>
      <c r="AB25" s="28" t="n"/>
      <c r="AC25" s="22" t="n"/>
      <c r="AD25" s="23" t="n"/>
      <c r="AE25" s="14">
        <f>AF24</f>
        <v/>
      </c>
      <c r="AF25" s="8" t="n">
        <v>2268</v>
      </c>
      <c r="AG25" s="26">
        <f>AF25-AE25</f>
        <v/>
      </c>
    </row>
    <row r="26">
      <c r="A26" s="17">
        <f>A25+1</f>
        <v/>
      </c>
      <c r="B26" s="148" t="inlineStr">
        <is>
          <t xml:space="preserve">DAY </t>
        </is>
      </c>
      <c r="C26" s="13">
        <f>D25</f>
        <v/>
      </c>
      <c r="D26" s="127" t="n">
        <v>377</v>
      </c>
      <c r="E26" s="21">
        <f>D26-C26</f>
        <v/>
      </c>
      <c r="F26" s="134" t="n">
        <v>91</v>
      </c>
      <c r="G26" s="131" t="n">
        <v>372</v>
      </c>
      <c r="H26" s="148">
        <f>G26-G24</f>
        <v/>
      </c>
      <c r="I26" s="154">
        <f>F26/H26</f>
        <v/>
      </c>
      <c r="J26" s="9" t="n"/>
      <c r="K26" s="9" t="n"/>
      <c r="L26" s="15" t="n"/>
      <c r="M26" s="16" t="n"/>
      <c r="N26" s="14">
        <f>O25</f>
        <v/>
      </c>
      <c r="O26" s="127" t="n">
        <v>4073</v>
      </c>
      <c r="P26" s="26">
        <f>O26-N26</f>
        <v/>
      </c>
      <c r="R26" s="17">
        <f>R25+1</f>
        <v/>
      </c>
      <c r="S26" s="148" t="inlineStr">
        <is>
          <t xml:space="preserve">DAY </t>
        </is>
      </c>
      <c r="T26" s="13">
        <f>U25</f>
        <v/>
      </c>
      <c r="U26" s="127" t="n">
        <v>241</v>
      </c>
      <c r="V26" s="21">
        <f>U26-T26</f>
        <v/>
      </c>
      <c r="W26" s="134" t="n">
        <v>250</v>
      </c>
      <c r="X26" s="131" t="n">
        <v>237</v>
      </c>
      <c r="Y26" s="148">
        <f>X26-X24</f>
        <v/>
      </c>
      <c r="Z26" s="154">
        <f>W26/Y26</f>
        <v/>
      </c>
      <c r="AA26" s="9" t="n"/>
      <c r="AB26" s="9" t="n"/>
      <c r="AC26" s="15" t="n"/>
      <c r="AD26" s="16" t="n"/>
      <c r="AE26" s="14">
        <f>AF25</f>
        <v/>
      </c>
      <c r="AF26" s="127" t="n">
        <v>2420</v>
      </c>
      <c r="AG26" s="26">
        <f>AF26-AE26</f>
        <v/>
      </c>
    </row>
    <row r="27">
      <c r="A27" s="17">
        <f>A26</f>
        <v/>
      </c>
      <c r="B27" s="148" t="inlineStr">
        <is>
          <t>NIGHT</t>
        </is>
      </c>
      <c r="C27" s="13">
        <f>D26</f>
        <v/>
      </c>
      <c r="D27" s="127" t="n">
        <v>377</v>
      </c>
      <c r="E27" s="21">
        <f>D27-C27</f>
        <v/>
      </c>
      <c r="F27" s="128" t="n"/>
      <c r="G27" s="132" t="n"/>
      <c r="H27" s="128" t="n"/>
      <c r="I27" s="128" t="n"/>
      <c r="J27" s="73" t="n">
        <v>0.3333333333333333</v>
      </c>
      <c r="K27" s="73" t="n">
        <v>0.8333333333333334</v>
      </c>
      <c r="L27" s="73">
        <f>K27-J27</f>
        <v/>
      </c>
      <c r="M27" s="74" t="inlineStr">
        <is>
          <t>No Operator</t>
        </is>
      </c>
      <c r="N27" s="14">
        <f>O26</f>
        <v/>
      </c>
      <c r="O27" s="127" t="n">
        <v>4073</v>
      </c>
      <c r="P27" s="26">
        <f>O27-N27</f>
        <v/>
      </c>
      <c r="R27" s="17">
        <f>R26</f>
        <v/>
      </c>
      <c r="S27" s="148" t="inlineStr">
        <is>
          <t>NIGHT</t>
        </is>
      </c>
      <c r="T27" s="13">
        <f>U26</f>
        <v/>
      </c>
      <c r="U27" s="127" t="n">
        <v>252</v>
      </c>
      <c r="V27" s="21">
        <f>U27-T27</f>
        <v/>
      </c>
      <c r="W27" s="128" t="n"/>
      <c r="X27" s="132" t="n"/>
      <c r="Y27" s="128" t="n"/>
      <c r="Z27" s="128" t="n"/>
      <c r="AA27" s="9" t="n"/>
      <c r="AB27" s="9" t="n"/>
      <c r="AC27" s="15" t="n"/>
      <c r="AD27" s="16" t="n"/>
      <c r="AE27" s="14">
        <f>AF26</f>
        <v/>
      </c>
      <c r="AF27" s="127" t="n">
        <v>2552</v>
      </c>
      <c r="AG27" s="26">
        <f>AF27-AE27</f>
        <v/>
      </c>
    </row>
    <row r="28">
      <c r="A28" s="17">
        <f>A27+1</f>
        <v/>
      </c>
      <c r="B28" s="148" t="inlineStr">
        <is>
          <t xml:space="preserve">DAY </t>
        </is>
      </c>
      <c r="C28" s="13">
        <f>D27</f>
        <v/>
      </c>
      <c r="D28" s="8" t="n">
        <v>383</v>
      </c>
      <c r="E28" s="21">
        <f>D28-C28</f>
        <v/>
      </c>
      <c r="F28" s="130" t="n">
        <v>80</v>
      </c>
      <c r="G28" s="133" t="n">
        <v>379</v>
      </c>
      <c r="H28" s="148">
        <f>G28-G26</f>
        <v/>
      </c>
      <c r="I28" s="154">
        <f>F28/H28</f>
        <v/>
      </c>
      <c r="J28" s="28" t="n">
        <v>0.5208333333333334</v>
      </c>
      <c r="K28" s="28" t="n">
        <v>0.7222222222222222</v>
      </c>
      <c r="L28" s="22">
        <f>K28-J28</f>
        <v/>
      </c>
      <c r="M28" s="23" t="inlineStr">
        <is>
          <t>A/C PROBLEM</t>
        </is>
      </c>
      <c r="N28" s="14">
        <f>O27</f>
        <v/>
      </c>
      <c r="O28" s="8" t="n">
        <v>4178</v>
      </c>
      <c r="P28" s="26">
        <f>O28-N28</f>
        <v/>
      </c>
      <c r="R28" s="17">
        <f>R27+1</f>
        <v/>
      </c>
      <c r="S28" s="148" t="inlineStr">
        <is>
          <t xml:space="preserve">DAY </t>
        </is>
      </c>
      <c r="T28" s="13">
        <f>U27</f>
        <v/>
      </c>
      <c r="U28" s="8" t="n">
        <v>263</v>
      </c>
      <c r="V28" s="21">
        <f>U28-T28</f>
        <v/>
      </c>
      <c r="W28" s="130" t="n">
        <v>240</v>
      </c>
      <c r="X28" s="133" t="n">
        <v>255</v>
      </c>
      <c r="Y28" s="148">
        <f>X28-X26</f>
        <v/>
      </c>
      <c r="Z28" s="154">
        <f>W28/Y28</f>
        <v/>
      </c>
      <c r="AA28" s="28" t="n"/>
      <c r="AB28" s="28" t="n"/>
      <c r="AC28" s="22" t="n"/>
      <c r="AD28" s="23" t="n"/>
      <c r="AE28" s="14">
        <f>AF27</f>
        <v/>
      </c>
      <c r="AF28" s="8" t="n">
        <v>2730</v>
      </c>
      <c r="AG28" s="26">
        <f>AF28-AE28</f>
        <v/>
      </c>
    </row>
    <row r="29">
      <c r="A29" s="17">
        <f>A28</f>
        <v/>
      </c>
      <c r="B29" s="148" t="inlineStr">
        <is>
          <t>NIGHT</t>
        </is>
      </c>
      <c r="C29" s="13">
        <f>D28</f>
        <v/>
      </c>
      <c r="D29" s="8" t="n">
        <v>383</v>
      </c>
      <c r="E29" s="21">
        <f>D29-C29</f>
        <v/>
      </c>
      <c r="F29" s="128" t="n"/>
      <c r="G29" s="132" t="n"/>
      <c r="H29" s="128" t="n"/>
      <c r="I29" s="128" t="n"/>
      <c r="J29" s="73" t="n">
        <v>0.3333333333333333</v>
      </c>
      <c r="K29" s="73" t="n">
        <v>0.8333333333333334</v>
      </c>
      <c r="L29" s="73">
        <f>K29-J29</f>
        <v/>
      </c>
      <c r="M29" s="74" t="inlineStr">
        <is>
          <t>No Operator</t>
        </is>
      </c>
      <c r="N29" s="14">
        <f>O28</f>
        <v/>
      </c>
      <c r="O29" s="8" t="n">
        <v>4178</v>
      </c>
      <c r="P29" s="26">
        <f>O29-N29</f>
        <v/>
      </c>
      <c r="R29" s="17">
        <f>R28</f>
        <v/>
      </c>
      <c r="S29" s="148" t="inlineStr">
        <is>
          <t>NIGHT</t>
        </is>
      </c>
      <c r="T29" s="13">
        <f>U28</f>
        <v/>
      </c>
      <c r="U29" s="8" t="n">
        <v>275</v>
      </c>
      <c r="V29" s="21">
        <f>U29-T29</f>
        <v/>
      </c>
      <c r="W29" s="128" t="n"/>
      <c r="X29" s="132" t="n"/>
      <c r="Y29" s="128" t="n"/>
      <c r="Z29" s="128" t="n"/>
      <c r="AA29" s="18" t="n"/>
      <c r="AB29" s="18" t="n"/>
      <c r="AC29" s="22" t="n"/>
      <c r="AD29" s="23" t="n"/>
      <c r="AE29" s="14">
        <f>AF28</f>
        <v/>
      </c>
      <c r="AF29" s="8" t="n">
        <v>2840</v>
      </c>
      <c r="AG29" s="26">
        <f>AF29-AE29</f>
        <v/>
      </c>
    </row>
    <row r="30">
      <c r="A30" s="17">
        <f>A29+1</f>
        <v/>
      </c>
      <c r="B30" s="148" t="inlineStr">
        <is>
          <t xml:space="preserve">DAY </t>
        </is>
      </c>
      <c r="C30" s="13">
        <f>D29</f>
        <v/>
      </c>
      <c r="D30" s="8" t="n">
        <v>392</v>
      </c>
      <c r="E30" s="21">
        <f>D30-C30</f>
        <v/>
      </c>
      <c r="F30" s="130" t="n"/>
      <c r="G30" s="133" t="n"/>
      <c r="H30" s="148" t="n"/>
      <c r="I30" s="154" t="n"/>
      <c r="J30" s="18" t="n"/>
      <c r="K30" s="18" t="n"/>
      <c r="L30" s="22" t="n"/>
      <c r="M30" s="23" t="n"/>
      <c r="N30" s="14">
        <f>O29</f>
        <v/>
      </c>
      <c r="O30" s="8" t="n">
        <v>4263</v>
      </c>
      <c r="P30" s="26">
        <f>O30-N30</f>
        <v/>
      </c>
      <c r="R30" s="17">
        <f>R29+1</f>
        <v/>
      </c>
      <c r="S30" s="148" t="inlineStr">
        <is>
          <t xml:space="preserve">DAY </t>
        </is>
      </c>
      <c r="T30" s="13">
        <f>U29</f>
        <v/>
      </c>
      <c r="U30" s="8" t="n">
        <v>281</v>
      </c>
      <c r="V30" s="21">
        <f>U30-T30</f>
        <v/>
      </c>
      <c r="W30" s="130" t="n">
        <v>200</v>
      </c>
      <c r="X30" s="133" t="n">
        <v>276</v>
      </c>
      <c r="Y30" s="148">
        <f>X30-X28</f>
        <v/>
      </c>
      <c r="Z30" s="154">
        <f>W30/Y30</f>
        <v/>
      </c>
      <c r="AA30" s="18" t="n"/>
      <c r="AB30" s="18" t="n"/>
      <c r="AC30" s="22" t="n"/>
      <c r="AD30" s="23" t="n"/>
      <c r="AE30" s="14">
        <f>AF29</f>
        <v/>
      </c>
      <c r="AF30" s="8" t="n">
        <v>2925</v>
      </c>
      <c r="AG30" s="26">
        <f>AF30-AE30</f>
        <v/>
      </c>
    </row>
    <row r="31">
      <c r="A31" s="17">
        <f>A30</f>
        <v/>
      </c>
      <c r="B31" s="148" t="inlineStr">
        <is>
          <t>NIGHT</t>
        </is>
      </c>
      <c r="C31" s="13">
        <f>D30</f>
        <v/>
      </c>
      <c r="D31" s="8" t="n">
        <v>400</v>
      </c>
      <c r="E31" s="21">
        <f>D31-C31</f>
        <v/>
      </c>
      <c r="F31" s="128" t="n"/>
      <c r="G31" s="132" t="n"/>
      <c r="H31" s="128" t="n"/>
      <c r="I31" s="128" t="n"/>
      <c r="J31" s="18" t="n"/>
      <c r="K31" s="18" t="n"/>
      <c r="L31" s="22" t="n"/>
      <c r="M31" s="23" t="n"/>
      <c r="N31" s="14">
        <f>O30</f>
        <v/>
      </c>
      <c r="O31" s="8" t="n">
        <v>4378</v>
      </c>
      <c r="P31" s="26">
        <f>O31-N31</f>
        <v/>
      </c>
      <c r="R31" s="17">
        <f>R30</f>
        <v/>
      </c>
      <c r="S31" s="148" t="inlineStr">
        <is>
          <t>NIGHT</t>
        </is>
      </c>
      <c r="T31" s="13">
        <f>U30</f>
        <v/>
      </c>
      <c r="U31" s="8" t="n">
        <v>291</v>
      </c>
      <c r="V31" s="21">
        <f>U31-T31</f>
        <v/>
      </c>
      <c r="W31" s="128" t="n"/>
      <c r="X31" s="132" t="n"/>
      <c r="Y31" s="128" t="n"/>
      <c r="Z31" s="128" t="n"/>
      <c r="AA31" s="18" t="n"/>
      <c r="AB31" s="18" t="n"/>
      <c r="AC31" s="22" t="n"/>
      <c r="AD31" s="23" t="n"/>
      <c r="AE31" s="14">
        <f>AF30</f>
        <v/>
      </c>
      <c r="AF31" s="8" t="n">
        <v>2979</v>
      </c>
      <c r="AG31" s="26">
        <f>AF31-AE31</f>
        <v/>
      </c>
    </row>
    <row r="32">
      <c r="A32" s="17">
        <f>A31+1</f>
        <v/>
      </c>
      <c r="B32" s="127" t="inlineStr">
        <is>
          <t xml:space="preserve">DAY </t>
        </is>
      </c>
      <c r="C32" s="13">
        <f>D31</f>
        <v/>
      </c>
      <c r="D32" s="8" t="n">
        <v>410</v>
      </c>
      <c r="E32" s="11">
        <f>D32-C32</f>
        <v/>
      </c>
      <c r="F32" s="130" t="n">
        <v>250</v>
      </c>
      <c r="G32" s="133" t="n">
        <v>402</v>
      </c>
      <c r="H32" s="148">
        <f>G32-G28</f>
        <v/>
      </c>
      <c r="I32" s="156">
        <f>F32/H32</f>
        <v/>
      </c>
      <c r="J32" s="24" t="n">
        <v>0.4583333333333333</v>
      </c>
      <c r="K32" s="24" t="n">
        <v>0.5416666666666666</v>
      </c>
      <c r="L32" s="22">
        <f>K32-J32</f>
        <v/>
      </c>
      <c r="M32" s="23" t="inlineStr">
        <is>
          <t>Maintnance</t>
        </is>
      </c>
      <c r="N32" s="14">
        <f>O31</f>
        <v/>
      </c>
      <c r="O32" s="13" t="n">
        <v>4472</v>
      </c>
      <c r="P32" s="7">
        <f>O32-N32</f>
        <v/>
      </c>
      <c r="R32" s="17">
        <f>R31+1</f>
        <v/>
      </c>
      <c r="S32" s="127" t="inlineStr">
        <is>
          <t xml:space="preserve">DAY </t>
        </is>
      </c>
      <c r="T32" s="13">
        <f>U31</f>
        <v/>
      </c>
      <c r="U32" s="8" t="n">
        <v>298</v>
      </c>
      <c r="V32" s="11">
        <f>U32-T32</f>
        <v/>
      </c>
      <c r="W32" s="130" t="n">
        <v>90</v>
      </c>
      <c r="X32" s="133" t="n">
        <v>292</v>
      </c>
      <c r="Y32" s="148">
        <f>X32-X30</f>
        <v/>
      </c>
      <c r="Z32" s="154">
        <f>W32/Y32</f>
        <v/>
      </c>
      <c r="AA32" s="24" t="n"/>
      <c r="AB32" s="24" t="n"/>
      <c r="AC32" s="22" t="n"/>
      <c r="AD32" s="23" t="n"/>
      <c r="AE32" s="14">
        <f>AF31</f>
        <v/>
      </c>
      <c r="AF32" s="13" t="n">
        <v>3061</v>
      </c>
      <c r="AG32" s="7">
        <f>AF32-AE32</f>
        <v/>
      </c>
    </row>
    <row r="33">
      <c r="A33" s="17">
        <f>A32</f>
        <v/>
      </c>
      <c r="B33" s="127" t="inlineStr">
        <is>
          <t>NIGHT</t>
        </is>
      </c>
      <c r="C33" s="13">
        <f>D32</f>
        <v/>
      </c>
      <c r="D33" s="13" t="n">
        <v>419</v>
      </c>
      <c r="E33" s="11">
        <f>D33-C33</f>
        <v/>
      </c>
      <c r="F33" s="128" t="n"/>
      <c r="G33" s="132" t="n"/>
      <c r="H33" s="128" t="n"/>
      <c r="I33" s="128" t="n"/>
      <c r="J33" s="25" t="n"/>
      <c r="K33" s="25" t="n"/>
      <c r="L33" s="15" t="n"/>
      <c r="M33" s="16" t="n"/>
      <c r="N33" s="14">
        <f>O32</f>
        <v/>
      </c>
      <c r="O33" s="13" t="n">
        <v>4520</v>
      </c>
      <c r="P33" s="7">
        <f>O33-N33</f>
        <v/>
      </c>
      <c r="R33" s="17">
        <f>R32</f>
        <v/>
      </c>
      <c r="S33" s="127" t="inlineStr">
        <is>
          <t>NIGHT</t>
        </is>
      </c>
      <c r="T33" s="13">
        <f>U32</f>
        <v/>
      </c>
      <c r="U33" s="13" t="n">
        <v>302</v>
      </c>
      <c r="V33" s="11">
        <f>U33-T33</f>
        <v/>
      </c>
      <c r="W33" s="128" t="n"/>
      <c r="X33" s="132" t="n"/>
      <c r="Y33" s="128" t="n"/>
      <c r="Z33" s="128" t="n"/>
      <c r="AA33" s="25" t="n"/>
      <c r="AB33" s="25" t="n"/>
      <c r="AC33" s="15" t="n"/>
      <c r="AD33" s="16" t="n"/>
      <c r="AE33" s="14">
        <f>AF32</f>
        <v/>
      </c>
      <c r="AF33" s="13" t="n">
        <v>3104</v>
      </c>
      <c r="AG33" s="7">
        <f>AF33-AE33</f>
        <v/>
      </c>
    </row>
    <row r="34">
      <c r="A34" s="17">
        <f>A33+1</f>
        <v/>
      </c>
      <c r="B34" s="127" t="inlineStr">
        <is>
          <t xml:space="preserve">DAY </t>
        </is>
      </c>
      <c r="C34" s="13">
        <f>D33</f>
        <v/>
      </c>
      <c r="D34" s="13" t="n">
        <v>429</v>
      </c>
      <c r="E34" s="11">
        <f>D34-C34</f>
        <v/>
      </c>
      <c r="F34" s="130" t="n">
        <v>210</v>
      </c>
      <c r="G34" s="131" t="n">
        <v>425</v>
      </c>
      <c r="H34" s="148">
        <f>G34-G32</f>
        <v/>
      </c>
      <c r="I34" s="156">
        <f>F34/H34</f>
        <v/>
      </c>
      <c r="J34" s="24" t="n"/>
      <c r="K34" s="24" t="n"/>
      <c r="L34" s="22" t="n"/>
      <c r="M34" s="23" t="n"/>
      <c r="N34" s="14">
        <f>O33</f>
        <v/>
      </c>
      <c r="O34" s="13" t="n">
        <v>4604</v>
      </c>
      <c r="P34" s="7">
        <f>O34-N34</f>
        <v/>
      </c>
      <c r="R34" s="17">
        <f>R33+1</f>
        <v/>
      </c>
      <c r="S34" s="127" t="inlineStr">
        <is>
          <t xml:space="preserve">DAY </t>
        </is>
      </c>
      <c r="T34" s="13">
        <f>U33</f>
        <v/>
      </c>
      <c r="U34" s="13" t="n">
        <v>310</v>
      </c>
      <c r="V34" s="11">
        <f>U34-T34</f>
        <v/>
      </c>
      <c r="W34" s="130" t="n">
        <v>230</v>
      </c>
      <c r="X34" s="131" t="n">
        <v>304</v>
      </c>
      <c r="Y34" s="148">
        <f>X34-X32</f>
        <v/>
      </c>
      <c r="Z34" s="154">
        <f>W34/Y34</f>
        <v/>
      </c>
      <c r="AA34" s="24" t="n"/>
      <c r="AB34" s="24" t="n"/>
      <c r="AC34" s="22" t="n"/>
      <c r="AD34" s="23" t="n"/>
      <c r="AE34" s="14">
        <f>AF33</f>
        <v/>
      </c>
      <c r="AF34" s="13" t="n">
        <v>3177</v>
      </c>
      <c r="AG34" s="7">
        <f>AF34-AE34</f>
        <v/>
      </c>
    </row>
    <row r="35">
      <c r="A35" s="17">
        <f>A34</f>
        <v/>
      </c>
      <c r="B35" s="127" t="inlineStr">
        <is>
          <t>NIGHT</t>
        </is>
      </c>
      <c r="C35" s="13">
        <f>D34</f>
        <v/>
      </c>
      <c r="D35" s="13" t="n">
        <v>437</v>
      </c>
      <c r="E35" s="11">
        <f>D35-C35</f>
        <v/>
      </c>
      <c r="F35" s="128" t="n"/>
      <c r="G35" s="132" t="n"/>
      <c r="H35" s="128" t="n"/>
      <c r="I35" s="128" t="n"/>
      <c r="J35" s="25" t="n"/>
      <c r="K35" s="25" t="n"/>
      <c r="L35" s="15" t="n"/>
      <c r="M35" s="16" t="n"/>
      <c r="N35" s="14">
        <f>O34</f>
        <v/>
      </c>
      <c r="O35" s="13" t="n">
        <v>4766</v>
      </c>
      <c r="P35" s="7">
        <f>O35-N35</f>
        <v/>
      </c>
      <c r="R35" s="17">
        <f>R34</f>
        <v/>
      </c>
      <c r="S35" s="127" t="inlineStr">
        <is>
          <t>NIGHT</t>
        </is>
      </c>
      <c r="T35" s="13">
        <f>U34</f>
        <v/>
      </c>
      <c r="U35" s="13" t="n">
        <v>321</v>
      </c>
      <c r="V35" s="11">
        <f>U35-T35</f>
        <v/>
      </c>
      <c r="W35" s="128" t="n"/>
      <c r="X35" s="132" t="n"/>
      <c r="Y35" s="128" t="n"/>
      <c r="Z35" s="128" t="n"/>
      <c r="AA35" s="25" t="n"/>
      <c r="AB35" s="25" t="n"/>
      <c r="AC35" s="15" t="n"/>
      <c r="AD35" s="16" t="n"/>
      <c r="AE35" s="14">
        <f>AF34</f>
        <v/>
      </c>
      <c r="AF35" s="13" t="n">
        <v>3289</v>
      </c>
      <c r="AG35" s="7">
        <f>AF35-AE35</f>
        <v/>
      </c>
    </row>
    <row r="36">
      <c r="A36" s="17">
        <f>A35+1</f>
        <v/>
      </c>
      <c r="B36" s="127" t="inlineStr">
        <is>
          <t xml:space="preserve">DAY </t>
        </is>
      </c>
      <c r="C36" s="13">
        <f>D35</f>
        <v/>
      </c>
      <c r="D36" s="13" t="n">
        <v>437</v>
      </c>
      <c r="E36" s="11">
        <f>D36-C36</f>
        <v/>
      </c>
      <c r="F36" s="130" t="n"/>
      <c r="G36" s="131" t="n"/>
      <c r="H36" s="148" t="n"/>
      <c r="I36" s="154" t="n"/>
      <c r="J36" s="73" t="n">
        <v>0.3333333333333333</v>
      </c>
      <c r="K36" s="73" t="n">
        <v>0.8333333333333334</v>
      </c>
      <c r="L36" s="73">
        <f>K36-J36</f>
        <v/>
      </c>
      <c r="M36" s="74" t="inlineStr">
        <is>
          <t>No Operator</t>
        </is>
      </c>
      <c r="N36" s="14">
        <f>O35</f>
        <v/>
      </c>
      <c r="O36" s="13" t="n">
        <v>4766</v>
      </c>
      <c r="P36" s="7">
        <f>O36-N36</f>
        <v/>
      </c>
      <c r="R36" s="17">
        <f>R35+1</f>
        <v/>
      </c>
      <c r="S36" s="127" t="inlineStr">
        <is>
          <t xml:space="preserve">DAY </t>
        </is>
      </c>
      <c r="T36" s="13">
        <f>U35</f>
        <v/>
      </c>
      <c r="U36" s="13" t="n">
        <v>329</v>
      </c>
      <c r="V36" s="11">
        <f>U36-T36</f>
        <v/>
      </c>
      <c r="W36" s="130" t="n">
        <v>190</v>
      </c>
      <c r="X36" s="131" t="n">
        <v>323</v>
      </c>
      <c r="Y36" s="148">
        <f>X36-X34</f>
        <v/>
      </c>
      <c r="Z36" s="154">
        <f>W36/Y36</f>
        <v/>
      </c>
      <c r="AA36" s="24" t="n"/>
      <c r="AB36" s="24" t="n"/>
      <c r="AC36" s="22" t="n"/>
      <c r="AD36" s="23" t="n"/>
      <c r="AE36" s="14">
        <f>AF35</f>
        <v/>
      </c>
      <c r="AF36" s="13" t="n">
        <v>3371</v>
      </c>
      <c r="AG36" s="7">
        <f>AF36-AE36</f>
        <v/>
      </c>
    </row>
    <row r="37">
      <c r="A37" s="17">
        <f>A36</f>
        <v/>
      </c>
      <c r="B37" s="127" t="inlineStr">
        <is>
          <t>NIGHT</t>
        </is>
      </c>
      <c r="C37" s="13">
        <f>D36</f>
        <v/>
      </c>
      <c r="D37" s="13" t="n">
        <v>437</v>
      </c>
      <c r="E37" s="11">
        <f>D37-C37</f>
        <v/>
      </c>
      <c r="F37" s="128" t="n"/>
      <c r="G37" s="132" t="n"/>
      <c r="H37" s="128" t="n"/>
      <c r="I37" s="128" t="n"/>
      <c r="J37" s="73" t="n">
        <v>0.3333333333333333</v>
      </c>
      <c r="K37" s="73" t="n">
        <v>0.8333333333333334</v>
      </c>
      <c r="L37" s="73">
        <f>K37-J37</f>
        <v/>
      </c>
      <c r="M37" s="74" t="inlineStr">
        <is>
          <t>No Operator</t>
        </is>
      </c>
      <c r="N37" s="14">
        <f>O36</f>
        <v/>
      </c>
      <c r="O37" s="13" t="n">
        <v>4766</v>
      </c>
      <c r="P37" s="7">
        <f>O37-N37</f>
        <v/>
      </c>
      <c r="R37" s="17">
        <f>R36</f>
        <v/>
      </c>
      <c r="S37" s="127" t="inlineStr">
        <is>
          <t>NIGHT</t>
        </is>
      </c>
      <c r="T37" s="13">
        <f>U36</f>
        <v/>
      </c>
      <c r="U37" s="13" t="n">
        <v>339</v>
      </c>
      <c r="V37" s="11">
        <f>U37-T37</f>
        <v/>
      </c>
      <c r="W37" s="128" t="n"/>
      <c r="X37" s="132" t="n"/>
      <c r="Y37" s="128" t="n"/>
      <c r="Z37" s="128" t="n"/>
      <c r="AA37" s="25" t="n"/>
      <c r="AB37" s="25" t="n"/>
      <c r="AC37" s="15" t="n"/>
      <c r="AD37" s="16" t="n"/>
      <c r="AE37" s="14">
        <f>AF36</f>
        <v/>
      </c>
      <c r="AF37" s="7" t="n">
        <v>3517</v>
      </c>
      <c r="AG37" s="7">
        <f>AF37-AE37</f>
        <v/>
      </c>
    </row>
    <row r="38">
      <c r="A38" s="17">
        <f>A37+1</f>
        <v/>
      </c>
      <c r="B38" s="148" t="inlineStr">
        <is>
          <t xml:space="preserve">DAY </t>
        </is>
      </c>
      <c r="C38" s="13">
        <f>D37</f>
        <v/>
      </c>
      <c r="D38" s="8" t="n">
        <v>446</v>
      </c>
      <c r="E38" s="21">
        <f>D38-C38</f>
        <v/>
      </c>
      <c r="F38" s="131" t="n">
        <v>190</v>
      </c>
      <c r="G38" s="131" t="n">
        <v>440</v>
      </c>
      <c r="H38" s="148">
        <f>G38-G34</f>
        <v/>
      </c>
      <c r="I38" s="154">
        <f>F38/H38</f>
        <v/>
      </c>
      <c r="J38" s="25" t="n"/>
      <c r="K38" s="25" t="n"/>
      <c r="L38" s="22" t="n"/>
      <c r="M38" s="23" t="n"/>
      <c r="N38" s="14">
        <f>O37</f>
        <v/>
      </c>
      <c r="O38" s="26" t="n">
        <v>4869</v>
      </c>
      <c r="P38" s="26">
        <f>O38-N38</f>
        <v/>
      </c>
      <c r="R38" s="17">
        <f>R37+1</f>
        <v/>
      </c>
      <c r="S38" s="148" t="inlineStr">
        <is>
          <t xml:space="preserve">DAY </t>
        </is>
      </c>
      <c r="T38" s="13">
        <f>U37</f>
        <v/>
      </c>
      <c r="U38" s="8" t="n">
        <v>347</v>
      </c>
      <c r="V38" s="21">
        <f>U38-T38</f>
        <v/>
      </c>
      <c r="W38" s="130" t="n">
        <v>290</v>
      </c>
      <c r="X38" s="131" t="n">
        <v>344</v>
      </c>
      <c r="Y38" s="148">
        <f>X38-X36</f>
        <v/>
      </c>
      <c r="Z38" s="154">
        <f>W38/Y38</f>
        <v/>
      </c>
      <c r="AA38" s="25" t="n"/>
      <c r="AB38" s="25" t="n"/>
      <c r="AC38" s="22" t="n"/>
      <c r="AD38" s="23" t="n"/>
      <c r="AE38" s="14">
        <f>AF37</f>
        <v/>
      </c>
      <c r="AF38" s="26" t="n">
        <v>3633</v>
      </c>
      <c r="AG38" s="26">
        <f>AF38-AE38</f>
        <v/>
      </c>
    </row>
    <row r="39">
      <c r="A39" s="17">
        <f>A38</f>
        <v/>
      </c>
      <c r="B39" s="148" t="inlineStr">
        <is>
          <t>NIGHT</t>
        </is>
      </c>
      <c r="C39" s="13">
        <f>D38</f>
        <v/>
      </c>
      <c r="D39" s="8" t="n">
        <v>456</v>
      </c>
      <c r="E39" s="21">
        <f>D39-C39</f>
        <v/>
      </c>
      <c r="F39" s="132" t="n"/>
      <c r="G39" s="132" t="n"/>
      <c r="H39" s="128" t="n"/>
      <c r="I39" s="128" t="n"/>
      <c r="J39" s="25" t="n"/>
      <c r="K39" s="25" t="n"/>
      <c r="L39" s="22" t="n"/>
      <c r="M39" s="23" t="n"/>
      <c r="N39" s="14">
        <f>O38</f>
        <v/>
      </c>
      <c r="O39" s="26" t="n">
        <v>4909</v>
      </c>
      <c r="P39" s="26">
        <f>O39-N39</f>
        <v/>
      </c>
      <c r="R39" s="17">
        <f>R38</f>
        <v/>
      </c>
      <c r="S39" s="148" t="inlineStr">
        <is>
          <t>NIGHT</t>
        </is>
      </c>
      <c r="T39" s="13">
        <f>U38</f>
        <v/>
      </c>
      <c r="U39" s="8" t="n">
        <v>355</v>
      </c>
      <c r="V39" s="21">
        <f>U39-T39</f>
        <v/>
      </c>
      <c r="W39" s="128" t="n"/>
      <c r="X39" s="132" t="n"/>
      <c r="Y39" s="128" t="n"/>
      <c r="Z39" s="128" t="n"/>
      <c r="AA39" s="25" t="n"/>
      <c r="AB39" s="25" t="n"/>
      <c r="AC39" s="15" t="n"/>
      <c r="AD39" s="16" t="n"/>
      <c r="AE39" s="14">
        <f>AF38</f>
        <v/>
      </c>
      <c r="AF39" s="26" t="n">
        <v>3681</v>
      </c>
      <c r="AG39" s="26">
        <f>AF39-AE39</f>
        <v/>
      </c>
    </row>
    <row r="40">
      <c r="A40" s="17">
        <f>A39+1</f>
        <v/>
      </c>
      <c r="B40" s="148" t="inlineStr">
        <is>
          <t xml:space="preserve">DAY </t>
        </is>
      </c>
      <c r="C40" s="13">
        <f>D39</f>
        <v/>
      </c>
      <c r="D40" s="8" t="n">
        <v>461</v>
      </c>
      <c r="E40" s="21">
        <f>D40-C40</f>
        <v/>
      </c>
      <c r="F40" s="160" t="n">
        <v>90</v>
      </c>
      <c r="G40" s="133" t="n">
        <v>456</v>
      </c>
      <c r="H40" s="148">
        <f>G40-G38</f>
        <v/>
      </c>
      <c r="I40" s="154">
        <f>F40/H40</f>
        <v/>
      </c>
      <c r="J40" s="25" t="n">
        <v>0.5416666666666666</v>
      </c>
      <c r="K40" s="25" t="n">
        <v>0.8333333333333334</v>
      </c>
      <c r="L40" s="22">
        <f>K40-J40</f>
        <v/>
      </c>
      <c r="M40" s="23" t="inlineStr">
        <is>
          <t>Break oil leakage</t>
        </is>
      </c>
      <c r="N40" s="14">
        <f>O39</f>
        <v/>
      </c>
      <c r="O40" s="26" t="n">
        <v>4925</v>
      </c>
      <c r="P40" s="26">
        <f>O40-N40</f>
        <v/>
      </c>
      <c r="R40" s="17">
        <f>R39+1</f>
        <v/>
      </c>
      <c r="S40" s="148" t="inlineStr">
        <is>
          <t xml:space="preserve">DAY </t>
        </is>
      </c>
      <c r="T40" s="13">
        <f>U39</f>
        <v/>
      </c>
      <c r="U40" s="8" t="n">
        <v>363</v>
      </c>
      <c r="V40" s="21">
        <f>U40-T40</f>
        <v/>
      </c>
      <c r="W40" s="130" t="n">
        <v>160</v>
      </c>
      <c r="X40" s="133" t="n">
        <v>356</v>
      </c>
      <c r="Y40" s="148">
        <f>X40-X38</f>
        <v/>
      </c>
      <c r="Z40" s="154">
        <f>W40/Y40</f>
        <v/>
      </c>
      <c r="AA40" s="25" t="n"/>
      <c r="AB40" s="25" t="n"/>
      <c r="AC40" s="22" t="n"/>
      <c r="AD40" s="23" t="n"/>
      <c r="AE40" s="14">
        <f>AF39</f>
        <v/>
      </c>
      <c r="AF40" s="26" t="n">
        <v>3764</v>
      </c>
      <c r="AG40" s="26">
        <f>AF40-AE40</f>
        <v/>
      </c>
    </row>
    <row r="41">
      <c r="A41" s="17">
        <f>A40</f>
        <v/>
      </c>
      <c r="B41" s="148" t="inlineStr">
        <is>
          <t>NIGHT</t>
        </is>
      </c>
      <c r="C41" s="13">
        <f>D40</f>
        <v/>
      </c>
      <c r="D41" s="8" t="n">
        <v>461</v>
      </c>
      <c r="E41" s="21">
        <f>D41-C41</f>
        <v/>
      </c>
      <c r="F41" s="128" t="n"/>
      <c r="G41" s="132" t="n"/>
      <c r="H41" s="128" t="n"/>
      <c r="I41" s="128" t="n"/>
      <c r="J41" s="25" t="n">
        <v>0.8333333333333334</v>
      </c>
      <c r="K41" s="25" t="n">
        <v>0.3333333333333333</v>
      </c>
      <c r="L41" s="22">
        <f>J41-K41</f>
        <v/>
      </c>
      <c r="M41" s="23" t="inlineStr">
        <is>
          <t>Break oil leakage</t>
        </is>
      </c>
      <c r="N41" s="14">
        <f>O40</f>
        <v/>
      </c>
      <c r="O41" s="26" t="n">
        <v>4925</v>
      </c>
      <c r="P41" s="26">
        <f>O41-N41</f>
        <v/>
      </c>
      <c r="R41" s="17">
        <f>R40</f>
        <v/>
      </c>
      <c r="S41" s="148" t="inlineStr">
        <is>
          <t>NIGHT</t>
        </is>
      </c>
      <c r="T41" s="13">
        <f>U40</f>
        <v/>
      </c>
      <c r="U41" s="8" t="n">
        <v>372</v>
      </c>
      <c r="V41" s="21">
        <f>U41-T41</f>
        <v/>
      </c>
      <c r="W41" s="128" t="n"/>
      <c r="X41" s="132" t="n"/>
      <c r="Y41" s="128" t="n"/>
      <c r="Z41" s="128" t="n"/>
      <c r="AA41" s="28" t="n"/>
      <c r="AB41" s="28" t="n"/>
      <c r="AC41" s="22" t="n"/>
      <c r="AD41" s="23" t="n"/>
      <c r="AE41" s="14">
        <f>AF40</f>
        <v/>
      </c>
      <c r="AF41" s="26" t="n">
        <v>3842</v>
      </c>
      <c r="AG41" s="26">
        <f>AF41-AE41</f>
        <v/>
      </c>
    </row>
    <row r="42">
      <c r="A42" s="17">
        <f>A41+1</f>
        <v/>
      </c>
      <c r="B42" s="148" t="inlineStr">
        <is>
          <t xml:space="preserve">DAY </t>
        </is>
      </c>
      <c r="C42" s="13">
        <f>D41</f>
        <v/>
      </c>
      <c r="D42" s="8" t="n">
        <v>461</v>
      </c>
      <c r="E42" s="21">
        <f>D42-C42</f>
        <v/>
      </c>
      <c r="F42" s="130" t="n"/>
      <c r="G42" s="133" t="n"/>
      <c r="H42" s="148" t="n"/>
      <c r="I42" s="154" t="n"/>
      <c r="J42" s="28" t="n">
        <v>0.3333333333333333</v>
      </c>
      <c r="K42" s="28" t="n">
        <v>0.8333333333333334</v>
      </c>
      <c r="L42" s="22">
        <f>K42-J42</f>
        <v/>
      </c>
      <c r="M42" s="23" t="inlineStr">
        <is>
          <t>Break oil leakage</t>
        </is>
      </c>
      <c r="N42" s="14">
        <f>O41</f>
        <v/>
      </c>
      <c r="O42" s="26" t="n">
        <v>4925</v>
      </c>
      <c r="P42" s="26">
        <f>O42-N42</f>
        <v/>
      </c>
      <c r="R42" s="17">
        <f>R41+1</f>
        <v/>
      </c>
      <c r="S42" s="148" t="inlineStr">
        <is>
          <t xml:space="preserve">DAY </t>
        </is>
      </c>
      <c r="T42" s="13">
        <f>U41</f>
        <v/>
      </c>
      <c r="U42" s="8" t="n">
        <v>378</v>
      </c>
      <c r="V42" s="21">
        <f>U42-T42</f>
        <v/>
      </c>
      <c r="W42" s="130" t="n">
        <v>160</v>
      </c>
      <c r="X42" s="133" t="n">
        <v>373</v>
      </c>
      <c r="Y42" s="148">
        <f>X42-X40</f>
        <v/>
      </c>
      <c r="Z42" s="154">
        <f>W42/Y42</f>
        <v/>
      </c>
      <c r="AA42" s="28" t="n"/>
      <c r="AB42" s="28" t="n"/>
      <c r="AC42" s="22" t="n"/>
      <c r="AD42" s="23" t="n"/>
      <c r="AE42" s="14">
        <f>AF41</f>
        <v/>
      </c>
      <c r="AF42" s="26" t="n">
        <v>3940</v>
      </c>
      <c r="AG42" s="26">
        <f>AF42-AE42</f>
        <v/>
      </c>
    </row>
    <row r="43">
      <c r="A43" s="17">
        <f>A42</f>
        <v/>
      </c>
      <c r="B43" s="148" t="inlineStr">
        <is>
          <t>NIGHT</t>
        </is>
      </c>
      <c r="C43" s="13">
        <f>D42</f>
        <v/>
      </c>
      <c r="D43" s="8" t="n">
        <v>461</v>
      </c>
      <c r="E43" s="21">
        <f>D43-C43</f>
        <v/>
      </c>
      <c r="F43" s="128" t="n"/>
      <c r="G43" s="132" t="n"/>
      <c r="H43" s="128" t="n"/>
      <c r="I43" s="128" t="n"/>
      <c r="J43" s="28" t="n">
        <v>0.8333333333333334</v>
      </c>
      <c r="K43" s="28" t="n">
        <v>0.3333333333333333</v>
      </c>
      <c r="L43" s="22">
        <f>J43-K43</f>
        <v/>
      </c>
      <c r="M43" s="23" t="inlineStr">
        <is>
          <t>Break oil leakage</t>
        </is>
      </c>
      <c r="N43" s="14">
        <f>O42</f>
        <v/>
      </c>
      <c r="O43" s="26" t="n">
        <v>4925</v>
      </c>
      <c r="P43" s="26">
        <f>O43-N43</f>
        <v/>
      </c>
      <c r="R43" s="17">
        <f>R42</f>
        <v/>
      </c>
      <c r="S43" s="148" t="inlineStr">
        <is>
          <t>NIGHT</t>
        </is>
      </c>
      <c r="T43" s="13">
        <f>U42</f>
        <v/>
      </c>
      <c r="U43" s="8" t="n">
        <v>387</v>
      </c>
      <c r="V43" s="21">
        <f>U43-T43</f>
        <v/>
      </c>
      <c r="W43" s="128" t="n"/>
      <c r="X43" s="132" t="n"/>
      <c r="Y43" s="128" t="n"/>
      <c r="Z43" s="128" t="n"/>
      <c r="AA43" s="28" t="n"/>
      <c r="AB43" s="28" t="n"/>
      <c r="AC43" s="22" t="n"/>
      <c r="AD43" s="23" t="n"/>
      <c r="AE43" s="14">
        <f>AF42</f>
        <v/>
      </c>
      <c r="AF43" s="26" t="n">
        <v>3995</v>
      </c>
      <c r="AG43" s="26">
        <f>AF43-AE43</f>
        <v/>
      </c>
    </row>
    <row r="44">
      <c r="A44" s="17">
        <f>A43+1</f>
        <v/>
      </c>
      <c r="B44" s="148" t="inlineStr">
        <is>
          <t xml:space="preserve">DAY </t>
        </is>
      </c>
      <c r="C44" s="13">
        <f>D43</f>
        <v/>
      </c>
      <c r="D44" s="8" t="n">
        <v>462</v>
      </c>
      <c r="E44" s="21">
        <f>D44-C44</f>
        <v/>
      </c>
      <c r="F44" s="130" t="n"/>
      <c r="G44" s="133" t="n"/>
      <c r="H44" s="148" t="n"/>
      <c r="I44" s="154" t="n"/>
      <c r="J44" s="28" t="n"/>
      <c r="K44" s="28" t="n"/>
      <c r="L44" s="22" t="n"/>
      <c r="M44" s="23" t="n"/>
      <c r="N44" s="14">
        <f>O43</f>
        <v/>
      </c>
      <c r="O44" s="31" t="n">
        <v>4932</v>
      </c>
      <c r="P44" s="26">
        <f>O44-N44</f>
        <v/>
      </c>
      <c r="R44" s="17">
        <f>R43+1</f>
        <v/>
      </c>
      <c r="S44" s="148" t="inlineStr">
        <is>
          <t xml:space="preserve">DAY </t>
        </is>
      </c>
      <c r="T44" s="13">
        <f>U43</f>
        <v/>
      </c>
      <c r="U44" s="8" t="n">
        <v>391</v>
      </c>
      <c r="V44" s="21">
        <f>U44-T44</f>
        <v/>
      </c>
      <c r="W44" s="130" t="n">
        <v>240</v>
      </c>
      <c r="X44" s="133" t="n">
        <v>389</v>
      </c>
      <c r="Y44" s="148">
        <f>X44-X42</f>
        <v/>
      </c>
      <c r="Z44" s="154">
        <f>W44/Y44</f>
        <v/>
      </c>
      <c r="AA44" s="28" t="n"/>
      <c r="AB44" s="28" t="n"/>
      <c r="AC44" s="22" t="n"/>
      <c r="AD44" s="23" t="n"/>
      <c r="AE44" s="14">
        <f>AF43</f>
        <v/>
      </c>
      <c r="AF44" s="31" t="n">
        <v>4025</v>
      </c>
      <c r="AG44" s="26">
        <f>AF44-AE44</f>
        <v/>
      </c>
    </row>
    <row r="45">
      <c r="A45" s="17">
        <f>A44</f>
        <v/>
      </c>
      <c r="B45" s="148" t="inlineStr">
        <is>
          <t>NIGHT</t>
        </is>
      </c>
      <c r="C45" s="13">
        <f>D44</f>
        <v/>
      </c>
      <c r="D45" s="8" t="n">
        <v>472</v>
      </c>
      <c r="E45" s="21">
        <f>D45-C45</f>
        <v/>
      </c>
      <c r="F45" s="128" t="n"/>
      <c r="G45" s="132" t="n"/>
      <c r="H45" s="128" t="n"/>
      <c r="I45" s="128" t="n"/>
      <c r="J45" s="28" t="n"/>
      <c r="K45" s="28" t="n"/>
      <c r="L45" s="22" t="n"/>
      <c r="M45" s="23" t="n"/>
      <c r="N45" s="14">
        <f>O44</f>
        <v/>
      </c>
      <c r="O45" s="31" t="n">
        <v>5003</v>
      </c>
      <c r="P45" s="26">
        <f>O45-N45</f>
        <v/>
      </c>
      <c r="R45" s="17">
        <f>R44</f>
        <v/>
      </c>
      <c r="S45" s="148" t="inlineStr">
        <is>
          <t>NIGHT</t>
        </is>
      </c>
      <c r="T45" s="13">
        <f>U44</f>
        <v/>
      </c>
      <c r="U45" s="8" t="n">
        <v>398</v>
      </c>
      <c r="V45" s="21">
        <f>U45-T45</f>
        <v/>
      </c>
      <c r="W45" s="128" t="n"/>
      <c r="X45" s="132" t="n"/>
      <c r="Y45" s="128" t="n"/>
      <c r="Z45" s="128" t="n"/>
      <c r="AA45" s="28" t="n"/>
      <c r="AB45" s="28" t="n"/>
      <c r="AC45" s="22" t="n"/>
      <c r="AD45" s="23" t="n"/>
      <c r="AE45" s="14">
        <f>AF44</f>
        <v/>
      </c>
      <c r="AF45" s="31" t="n">
        <v>4095</v>
      </c>
      <c r="AG45" s="26">
        <f>AF45-AE45</f>
        <v/>
      </c>
    </row>
    <row r="46">
      <c r="A46" s="17">
        <f>A45+1</f>
        <v/>
      </c>
      <c r="B46" s="148" t="inlineStr">
        <is>
          <t xml:space="preserve">DAY </t>
        </is>
      </c>
      <c r="C46" s="13">
        <f>D45</f>
        <v/>
      </c>
      <c r="D46" s="8" t="n">
        <v>474</v>
      </c>
      <c r="E46" s="21">
        <f>D46-C46</f>
        <v/>
      </c>
      <c r="F46" s="130" t="n"/>
      <c r="G46" s="133" t="n"/>
      <c r="H46" s="148" t="n"/>
      <c r="I46" s="154" t="n"/>
      <c r="J46" s="28" t="n"/>
      <c r="K46" s="28" t="n"/>
      <c r="L46" s="22" t="n"/>
      <c r="M46" s="23" t="n"/>
      <c r="N46" s="14">
        <f>O45</f>
        <v/>
      </c>
      <c r="O46" s="31" t="n">
        <v>5004</v>
      </c>
      <c r="P46" s="26">
        <f>O46-N46</f>
        <v/>
      </c>
      <c r="R46" s="17">
        <f>R45+1</f>
        <v/>
      </c>
      <c r="S46" s="148" t="inlineStr">
        <is>
          <t xml:space="preserve">DAY </t>
        </is>
      </c>
      <c r="T46" s="13">
        <f>U45</f>
        <v/>
      </c>
      <c r="U46" s="8" t="n">
        <v>405</v>
      </c>
      <c r="V46" s="21">
        <f>U46-T46</f>
        <v/>
      </c>
      <c r="W46" s="130" t="n">
        <v>180</v>
      </c>
      <c r="X46" s="133" t="n">
        <v>402</v>
      </c>
      <c r="Y46" s="148">
        <f>X46-X44</f>
        <v/>
      </c>
      <c r="Z46" s="154">
        <f>W46/Y46</f>
        <v/>
      </c>
      <c r="AA46" s="28" t="n"/>
      <c r="AB46" s="28" t="n"/>
      <c r="AC46" s="22" t="n"/>
      <c r="AD46" s="23" t="n"/>
      <c r="AE46" s="14">
        <f>AF45</f>
        <v/>
      </c>
      <c r="AF46" s="31" t="n">
        <v>4153</v>
      </c>
      <c r="AG46" s="26">
        <f>AF46-AE46</f>
        <v/>
      </c>
    </row>
    <row r="47">
      <c r="A47" s="17">
        <f>A46</f>
        <v/>
      </c>
      <c r="B47" s="148" t="inlineStr">
        <is>
          <t>NIGHT</t>
        </is>
      </c>
      <c r="C47" s="13">
        <f>D46</f>
        <v/>
      </c>
      <c r="D47" s="8" t="n">
        <v>474</v>
      </c>
      <c r="E47" s="21">
        <f>D47-C47</f>
        <v/>
      </c>
      <c r="F47" s="128" t="n"/>
      <c r="G47" s="132" t="n"/>
      <c r="H47" s="128" t="n"/>
      <c r="I47" s="128" t="n"/>
      <c r="J47" s="28" t="n">
        <v>0.8333333333333334</v>
      </c>
      <c r="K47" s="28" t="n">
        <v>0.3333333333333333</v>
      </c>
      <c r="L47" s="22">
        <f>J47-K47</f>
        <v/>
      </c>
      <c r="M47" s="23" t="inlineStr">
        <is>
          <t>Break oil leakage</t>
        </is>
      </c>
      <c r="N47" s="14">
        <f>O46</f>
        <v/>
      </c>
      <c r="O47" s="31" t="n">
        <v>5004</v>
      </c>
      <c r="P47" s="26">
        <f>O47-N47</f>
        <v/>
      </c>
      <c r="R47" s="17">
        <f>R46</f>
        <v/>
      </c>
      <c r="S47" s="148" t="inlineStr">
        <is>
          <t>NIGHT</t>
        </is>
      </c>
      <c r="T47" s="13">
        <f>U46</f>
        <v/>
      </c>
      <c r="U47" s="8" t="n">
        <v>416</v>
      </c>
      <c r="V47" s="21">
        <f>U47-T47</f>
        <v/>
      </c>
      <c r="W47" s="128" t="n"/>
      <c r="X47" s="132" t="n"/>
      <c r="Y47" s="128" t="n"/>
      <c r="Z47" s="128" t="n"/>
      <c r="AA47" s="28" t="n"/>
      <c r="AB47" s="28" t="n"/>
      <c r="AC47" s="22" t="n"/>
      <c r="AD47" s="23" t="n"/>
      <c r="AE47" s="14">
        <f>AF46</f>
        <v/>
      </c>
      <c r="AF47" s="31" t="n">
        <v>4233</v>
      </c>
      <c r="AG47" s="26">
        <f>AF47-AE47</f>
        <v/>
      </c>
    </row>
    <row r="48">
      <c r="A48" s="17">
        <f>A47+1</f>
        <v/>
      </c>
      <c r="B48" s="148" t="inlineStr">
        <is>
          <t xml:space="preserve">DAY </t>
        </is>
      </c>
      <c r="C48" s="13">
        <f>D47</f>
        <v/>
      </c>
      <c r="D48" s="8" t="n">
        <v>476</v>
      </c>
      <c r="E48" s="21">
        <f>D48-C48</f>
        <v/>
      </c>
      <c r="F48" s="130" t="n"/>
      <c r="G48" s="133" t="n"/>
      <c r="H48" s="148" t="n"/>
      <c r="I48" s="154" t="n"/>
      <c r="J48" s="28" t="n">
        <v>0.3333333333333333</v>
      </c>
      <c r="K48" s="28" t="n">
        <v>0.8333333333333334</v>
      </c>
      <c r="L48" s="22">
        <f>K48-J48</f>
        <v/>
      </c>
      <c r="M48" s="23" t="inlineStr">
        <is>
          <t>Break oil leakage</t>
        </is>
      </c>
      <c r="N48" s="14">
        <f>O47</f>
        <v/>
      </c>
      <c r="O48" s="31" t="n">
        <v>5004</v>
      </c>
      <c r="P48" s="26">
        <f>O48-N48</f>
        <v/>
      </c>
      <c r="R48" s="17">
        <f>R47+1</f>
        <v/>
      </c>
      <c r="S48" s="148" t="inlineStr">
        <is>
          <t xml:space="preserve">DAY </t>
        </is>
      </c>
      <c r="T48" s="13">
        <f>U47</f>
        <v/>
      </c>
      <c r="U48" s="8" t="n">
        <v>425</v>
      </c>
      <c r="V48" s="21">
        <f>U48-T48</f>
        <v/>
      </c>
      <c r="W48" s="130" t="n">
        <v>170</v>
      </c>
      <c r="X48" s="133" t="n">
        <v>421</v>
      </c>
      <c r="Y48" s="148">
        <f>X48-X46</f>
        <v/>
      </c>
      <c r="Z48" s="154">
        <f>W48/Y48</f>
        <v/>
      </c>
      <c r="AA48" s="28" t="n"/>
      <c r="AB48" s="28" t="n"/>
      <c r="AC48" s="22" t="n"/>
      <c r="AD48" s="23" t="n"/>
      <c r="AE48" s="14">
        <f>AF47</f>
        <v/>
      </c>
      <c r="AF48" s="31" t="n">
        <v>4298</v>
      </c>
      <c r="AG48" s="26">
        <f>AF48-AE48</f>
        <v/>
      </c>
    </row>
    <row r="49">
      <c r="A49" s="17">
        <f>A48</f>
        <v/>
      </c>
      <c r="B49" s="148" t="inlineStr">
        <is>
          <t>NIGHT</t>
        </is>
      </c>
      <c r="C49" s="13">
        <f>D48</f>
        <v/>
      </c>
      <c r="D49" s="8" t="n">
        <v>486</v>
      </c>
      <c r="E49" s="21">
        <f>D49-C49</f>
        <v/>
      </c>
      <c r="F49" s="128" t="n"/>
      <c r="G49" s="132" t="n"/>
      <c r="H49" s="128" t="n"/>
      <c r="I49" s="128" t="n"/>
      <c r="J49" s="28" t="n"/>
      <c r="K49" s="28" t="n"/>
      <c r="L49" s="22" t="n"/>
      <c r="M49" s="23" t="n"/>
      <c r="N49" s="14">
        <f>O48</f>
        <v/>
      </c>
      <c r="O49" s="31" t="n">
        <v>5048</v>
      </c>
      <c r="P49" s="26">
        <f>O49-N49</f>
        <v/>
      </c>
      <c r="R49" s="17">
        <f>R48</f>
        <v/>
      </c>
      <c r="S49" s="148" t="inlineStr">
        <is>
          <t>NIGHT</t>
        </is>
      </c>
      <c r="T49" s="13">
        <f>U48</f>
        <v/>
      </c>
      <c r="U49" s="8" t="n">
        <v>431</v>
      </c>
      <c r="V49" s="21">
        <f>U49-T49</f>
        <v/>
      </c>
      <c r="W49" s="128" t="n"/>
      <c r="X49" s="132" t="n"/>
      <c r="Y49" s="128" t="n"/>
      <c r="Z49" s="128" t="n"/>
      <c r="AA49" s="28" t="n"/>
      <c r="AB49" s="28" t="n"/>
      <c r="AC49" s="22" t="n"/>
      <c r="AD49" s="23" t="n"/>
      <c r="AE49" s="14">
        <f>AF48</f>
        <v/>
      </c>
      <c r="AF49" s="31" t="n">
        <v>4334</v>
      </c>
      <c r="AG49" s="26">
        <f>AF49-AE49</f>
        <v/>
      </c>
    </row>
    <row r="50">
      <c r="A50" s="17">
        <f>A49+1</f>
        <v/>
      </c>
      <c r="B50" s="148" t="inlineStr">
        <is>
          <t xml:space="preserve">DAY </t>
        </is>
      </c>
      <c r="C50" s="13">
        <f>D49</f>
        <v/>
      </c>
      <c r="D50" s="8" t="n">
        <v>492</v>
      </c>
      <c r="E50" s="21">
        <f>D50-C50</f>
        <v/>
      </c>
      <c r="F50" s="130" t="n">
        <v>290</v>
      </c>
      <c r="G50" s="133" t="n">
        <v>489</v>
      </c>
      <c r="H50" s="148">
        <f>G50-G40</f>
        <v/>
      </c>
      <c r="I50" s="154">
        <f>F50/H50</f>
        <v/>
      </c>
      <c r="J50" s="28" t="n"/>
      <c r="K50" s="28" t="n"/>
      <c r="L50" s="22" t="n"/>
      <c r="N50" s="14">
        <f>O49</f>
        <v/>
      </c>
      <c r="O50" s="31" t="n">
        <v>5104</v>
      </c>
      <c r="P50" s="26">
        <f>O50-N50</f>
        <v/>
      </c>
      <c r="R50" s="17">
        <f>R49+1</f>
        <v/>
      </c>
      <c r="S50" s="148" t="inlineStr">
        <is>
          <t xml:space="preserve">DAY </t>
        </is>
      </c>
      <c r="T50" s="13">
        <f>U49</f>
        <v/>
      </c>
      <c r="U50" s="8" t="n">
        <v>434</v>
      </c>
      <c r="V50" s="21">
        <f>U50-T50</f>
        <v/>
      </c>
      <c r="W50" s="130" t="n">
        <v>110</v>
      </c>
      <c r="X50" s="133" t="n">
        <v>433</v>
      </c>
      <c r="Y50" s="148">
        <f>X50-X48</f>
        <v/>
      </c>
      <c r="Z50" s="154">
        <f>W50/Y50</f>
        <v/>
      </c>
      <c r="AA50" s="28" t="n"/>
      <c r="AB50" s="28" t="n"/>
      <c r="AC50" s="22" t="n"/>
      <c r="AD50" s="23" t="n"/>
      <c r="AE50" s="14">
        <f>AF49</f>
        <v/>
      </c>
      <c r="AF50" s="31" t="n">
        <v>4348</v>
      </c>
      <c r="AG50" s="26">
        <f>AF50-AE50</f>
        <v/>
      </c>
    </row>
    <row r="51">
      <c r="A51" s="17">
        <f>A50</f>
        <v/>
      </c>
      <c r="B51" s="148" t="inlineStr">
        <is>
          <t>NIGHT</t>
        </is>
      </c>
      <c r="C51" s="13">
        <f>D50</f>
        <v/>
      </c>
      <c r="D51" s="8" t="n">
        <v>498</v>
      </c>
      <c r="E51" s="21">
        <f>D51-C51</f>
        <v/>
      </c>
      <c r="F51" s="128" t="n"/>
      <c r="G51" s="132" t="n"/>
      <c r="H51" s="128" t="n"/>
      <c r="I51" s="128" t="n"/>
      <c r="J51" s="28" t="n"/>
      <c r="K51" s="28" t="n"/>
      <c r="L51" s="22" t="n"/>
      <c r="M51" s="23" t="n"/>
      <c r="N51" s="14">
        <f>O50</f>
        <v/>
      </c>
      <c r="O51" s="31" t="n">
        <v>5194</v>
      </c>
      <c r="P51" s="26">
        <f>O51-N51</f>
        <v/>
      </c>
      <c r="R51" s="17">
        <f>R50</f>
        <v/>
      </c>
      <c r="S51" s="148" t="inlineStr">
        <is>
          <t>NIGHT</t>
        </is>
      </c>
      <c r="T51" s="13">
        <f>U50</f>
        <v/>
      </c>
      <c r="U51" s="8" t="n">
        <v>444</v>
      </c>
      <c r="V51" s="21">
        <f>U51-T51</f>
        <v/>
      </c>
      <c r="W51" s="128" t="n"/>
      <c r="X51" s="132" t="n"/>
      <c r="Y51" s="128" t="n"/>
      <c r="Z51" s="128" t="n"/>
      <c r="AA51" s="28" t="n"/>
      <c r="AB51" s="28" t="n"/>
      <c r="AC51" s="22" t="n"/>
      <c r="AD51" s="23" t="n"/>
      <c r="AE51" s="14">
        <f>AF50</f>
        <v/>
      </c>
      <c r="AF51" s="31" t="n">
        <v>4452</v>
      </c>
      <c r="AG51" s="26">
        <f>AF51-AE51</f>
        <v/>
      </c>
    </row>
    <row r="52">
      <c r="A52" s="17">
        <f>A51+1</f>
        <v/>
      </c>
      <c r="B52" s="148" t="inlineStr">
        <is>
          <t xml:space="preserve">DAY </t>
        </is>
      </c>
      <c r="C52" s="13">
        <f>D51</f>
        <v/>
      </c>
      <c r="D52" s="8" t="n">
        <v>507</v>
      </c>
      <c r="E52" s="21">
        <f>D52-C52</f>
        <v/>
      </c>
      <c r="F52" s="130" t="n">
        <v>170</v>
      </c>
      <c r="G52" s="133" t="n">
        <v>504</v>
      </c>
      <c r="H52" s="148">
        <f>G52-G50</f>
        <v/>
      </c>
      <c r="I52" s="154">
        <f>F52/H52</f>
        <v/>
      </c>
      <c r="J52" s="28" t="n"/>
      <c r="K52" s="28" t="n"/>
      <c r="L52" s="22" t="n"/>
      <c r="M52" s="23" t="n"/>
      <c r="N52" s="14">
        <f>O51</f>
        <v/>
      </c>
      <c r="O52" s="31" t="n">
        <v>5271</v>
      </c>
      <c r="P52" s="26">
        <f>O52-N52</f>
        <v/>
      </c>
      <c r="R52" s="17">
        <f>R51+1</f>
        <v/>
      </c>
      <c r="S52" s="148" t="inlineStr">
        <is>
          <t xml:space="preserve">DAY </t>
        </is>
      </c>
      <c r="T52" s="13">
        <f>U51</f>
        <v/>
      </c>
      <c r="U52" s="8" t="n">
        <v>452</v>
      </c>
      <c r="V52" s="21">
        <f>U52-T52</f>
        <v/>
      </c>
      <c r="W52" s="130" t="n">
        <v>180</v>
      </c>
      <c r="X52" s="133" t="n">
        <v>449</v>
      </c>
      <c r="Y52" s="148">
        <f>X52-X50</f>
        <v/>
      </c>
      <c r="Z52" s="154">
        <f>W52/Y52</f>
        <v/>
      </c>
      <c r="AA52" s="28" t="n"/>
      <c r="AB52" s="28" t="n"/>
      <c r="AC52" s="22" t="n"/>
      <c r="AD52" s="23" t="n"/>
      <c r="AE52" s="14">
        <f>AF51</f>
        <v/>
      </c>
      <c r="AF52" s="31" t="n">
        <v>4570</v>
      </c>
      <c r="AG52" s="26">
        <f>AF52-AE52</f>
        <v/>
      </c>
    </row>
    <row r="53">
      <c r="A53" s="17">
        <f>A52</f>
        <v/>
      </c>
      <c r="B53" s="148" t="inlineStr">
        <is>
          <t>NIGHT</t>
        </is>
      </c>
      <c r="C53" s="13">
        <f>D52</f>
        <v/>
      </c>
      <c r="D53" s="8" t="n">
        <v>517</v>
      </c>
      <c r="E53" s="21">
        <f>D53-C53</f>
        <v/>
      </c>
      <c r="F53" s="128" t="n"/>
      <c r="G53" s="132" t="n"/>
      <c r="H53" s="128" t="n"/>
      <c r="I53" s="128" t="n"/>
      <c r="J53" s="28" t="n"/>
      <c r="K53" s="28" t="n"/>
      <c r="L53" s="22" t="n"/>
      <c r="M53" s="23" t="n"/>
      <c r="N53" s="14">
        <f>O52</f>
        <v/>
      </c>
      <c r="O53" s="31" t="n">
        <v>5326</v>
      </c>
      <c r="P53" s="26">
        <f>O53-N53</f>
        <v/>
      </c>
      <c r="R53" s="17">
        <f>R52</f>
        <v/>
      </c>
      <c r="S53" s="148" t="inlineStr">
        <is>
          <t>NIGHT</t>
        </is>
      </c>
      <c r="T53" s="13">
        <f>U52</f>
        <v/>
      </c>
      <c r="U53" s="8" t="n">
        <v>459</v>
      </c>
      <c r="V53" s="21">
        <f>U53-T53</f>
        <v/>
      </c>
      <c r="W53" s="128" t="n"/>
      <c r="X53" s="132" t="n"/>
      <c r="Y53" s="128" t="n"/>
      <c r="Z53" s="128" t="n"/>
      <c r="AA53" s="28" t="n"/>
      <c r="AB53" s="28" t="n"/>
      <c r="AC53" s="22" t="n"/>
      <c r="AD53" s="23" t="n"/>
      <c r="AE53" s="14">
        <f>AF52</f>
        <v/>
      </c>
      <c r="AF53" s="31" t="n">
        <v>4616</v>
      </c>
      <c r="AG53" s="26">
        <f>AF53-AE53</f>
        <v/>
      </c>
    </row>
    <row r="54">
      <c r="A54" s="17">
        <f>A53+1</f>
        <v/>
      </c>
      <c r="B54" s="148" t="inlineStr">
        <is>
          <t xml:space="preserve">DAY </t>
        </is>
      </c>
      <c r="C54" s="13">
        <f>D53</f>
        <v/>
      </c>
      <c r="D54" s="8" t="n">
        <v>524</v>
      </c>
      <c r="E54" s="21">
        <f>D54-C54</f>
        <v/>
      </c>
      <c r="F54" s="130" t="n">
        <v>120</v>
      </c>
      <c r="G54" s="133" t="n">
        <v>519</v>
      </c>
      <c r="H54" s="148">
        <f>G54-G52</f>
        <v/>
      </c>
      <c r="I54" s="154">
        <f>F54/H54</f>
        <v/>
      </c>
      <c r="J54" s="28" t="n"/>
      <c r="K54" s="28" t="n"/>
      <c r="L54" s="22" t="n"/>
      <c r="M54" s="23" t="n"/>
      <c r="N54" s="14">
        <f>O53</f>
        <v/>
      </c>
      <c r="O54" s="31" t="n">
        <v>5418</v>
      </c>
      <c r="P54" s="26">
        <f>O54-N54</f>
        <v/>
      </c>
      <c r="R54" s="17">
        <f>R53+1</f>
        <v/>
      </c>
      <c r="S54" s="148" t="inlineStr">
        <is>
          <t xml:space="preserve">DAY </t>
        </is>
      </c>
      <c r="T54" s="13">
        <f>U53</f>
        <v/>
      </c>
      <c r="U54" s="8" t="n">
        <v>468</v>
      </c>
      <c r="V54" s="21">
        <f>U54-T54</f>
        <v/>
      </c>
      <c r="W54" s="130" t="n">
        <v>150</v>
      </c>
      <c r="X54" s="133" t="n">
        <v>462</v>
      </c>
      <c r="Y54" s="148">
        <f>X54-X52</f>
        <v/>
      </c>
      <c r="Z54" s="154">
        <f>W54/Y54</f>
        <v/>
      </c>
      <c r="AA54" s="28" t="n"/>
      <c r="AB54" s="28" t="n"/>
      <c r="AC54" s="22" t="n"/>
      <c r="AD54" s="23" t="n"/>
      <c r="AE54" s="14">
        <f>AF53</f>
        <v/>
      </c>
      <c r="AF54" s="31" t="n">
        <v>4693</v>
      </c>
      <c r="AG54" s="26">
        <f>AF54-AE54</f>
        <v/>
      </c>
    </row>
    <row r="55">
      <c r="A55" s="17">
        <f>A54</f>
        <v/>
      </c>
      <c r="B55" s="148" t="inlineStr">
        <is>
          <t>NIGHT</t>
        </is>
      </c>
      <c r="C55" s="13">
        <f>D54</f>
        <v/>
      </c>
      <c r="D55" s="8" t="n">
        <v>531</v>
      </c>
      <c r="E55" s="21">
        <f>D55-C55</f>
        <v/>
      </c>
      <c r="F55" s="128" t="n"/>
      <c r="G55" s="132" t="n"/>
      <c r="H55" s="128" t="n"/>
      <c r="I55" s="128" t="n"/>
      <c r="J55" s="28" t="n"/>
      <c r="K55" s="28" t="n"/>
      <c r="L55" s="22" t="n"/>
      <c r="M55" s="23" t="n"/>
      <c r="N55" s="14">
        <f>O54</f>
        <v/>
      </c>
      <c r="O55" s="31" t="n">
        <v>5504</v>
      </c>
      <c r="P55" s="26">
        <f>O55-N55</f>
        <v/>
      </c>
      <c r="R55" s="17">
        <f>R54</f>
        <v/>
      </c>
      <c r="S55" s="148" t="inlineStr">
        <is>
          <t>NIGHT</t>
        </is>
      </c>
      <c r="T55" s="13">
        <f>U54</f>
        <v/>
      </c>
      <c r="U55" s="8" t="n">
        <v>479</v>
      </c>
      <c r="V55" s="21">
        <f>U55-T55</f>
        <v/>
      </c>
      <c r="W55" s="128" t="n"/>
      <c r="X55" s="132" t="n"/>
      <c r="Y55" s="128" t="n"/>
      <c r="Z55" s="128" t="n"/>
      <c r="AA55" s="28" t="n"/>
      <c r="AB55" s="28" t="n"/>
      <c r="AC55" s="22" t="n"/>
      <c r="AD55" s="23" t="n"/>
      <c r="AE55" s="14">
        <f>AF54</f>
        <v/>
      </c>
      <c r="AF55" s="31" t="n">
        <v>4779</v>
      </c>
      <c r="AG55" s="26">
        <f>AF55-AE55</f>
        <v/>
      </c>
    </row>
    <row r="56">
      <c r="A56" s="17">
        <f>A55+1</f>
        <v/>
      </c>
      <c r="B56" s="148" t="inlineStr">
        <is>
          <t xml:space="preserve">DAY </t>
        </is>
      </c>
      <c r="C56" s="13">
        <f>D55</f>
        <v/>
      </c>
      <c r="D56" s="8" t="n">
        <v>540</v>
      </c>
      <c r="E56" s="21">
        <f>D56-C56</f>
        <v/>
      </c>
      <c r="F56" s="130" t="n">
        <v>160</v>
      </c>
      <c r="G56" s="133" t="n">
        <v>534</v>
      </c>
      <c r="H56" s="148">
        <f>G56-G54</f>
        <v/>
      </c>
      <c r="I56" s="154">
        <f>F56/H56</f>
        <v/>
      </c>
      <c r="J56" s="28" t="n"/>
      <c r="K56" s="28" t="n"/>
      <c r="L56" s="22" t="n"/>
      <c r="M56" s="23" t="n"/>
      <c r="N56" s="14">
        <f>O55</f>
        <v/>
      </c>
      <c r="O56" s="31" t="n">
        <v>5579</v>
      </c>
      <c r="P56" s="26">
        <f>O56-N56</f>
        <v/>
      </c>
      <c r="R56" s="17">
        <f>R55+1</f>
        <v/>
      </c>
      <c r="S56" s="148" t="inlineStr">
        <is>
          <t xml:space="preserve">DAY </t>
        </is>
      </c>
      <c r="T56" s="13">
        <f>U55</f>
        <v/>
      </c>
      <c r="U56" s="8" t="n">
        <v>486</v>
      </c>
      <c r="V56" s="21">
        <f>U56-T56</f>
        <v/>
      </c>
      <c r="W56" s="130" t="n">
        <v>200</v>
      </c>
      <c r="X56" s="133" t="n">
        <v>481</v>
      </c>
      <c r="Y56" s="148">
        <f>X56-X54</f>
        <v/>
      </c>
      <c r="Z56" s="154">
        <f>W56/Y56</f>
        <v/>
      </c>
      <c r="AA56" s="28" t="n"/>
      <c r="AB56" s="28" t="n"/>
      <c r="AC56" s="22" t="n"/>
      <c r="AD56" s="23" t="n"/>
      <c r="AE56" s="14">
        <f>AF55</f>
        <v/>
      </c>
      <c r="AF56" s="31" t="n">
        <v>4835</v>
      </c>
      <c r="AG56" s="26">
        <f>AF56-AE56</f>
        <v/>
      </c>
    </row>
    <row r="57">
      <c r="A57" s="17">
        <f>A56</f>
        <v/>
      </c>
      <c r="B57" s="148" t="inlineStr">
        <is>
          <t>NIGHT</t>
        </is>
      </c>
      <c r="C57" s="13">
        <f>D56</f>
        <v/>
      </c>
      <c r="D57" s="8" t="n">
        <v>549</v>
      </c>
      <c r="E57" s="21">
        <f>D57-C57</f>
        <v/>
      </c>
      <c r="F57" s="128" t="n"/>
      <c r="G57" s="132" t="n"/>
      <c r="H57" s="128" t="n"/>
      <c r="I57" s="128" t="n"/>
      <c r="J57" s="28" t="n"/>
      <c r="K57" s="28" t="n"/>
      <c r="L57" s="22" t="n"/>
      <c r="M57" s="23" t="n"/>
      <c r="N57" s="14">
        <f>O56</f>
        <v/>
      </c>
      <c r="O57" s="31" t="n">
        <v>5609</v>
      </c>
      <c r="P57" s="26">
        <f>O57-N57</f>
        <v/>
      </c>
      <c r="R57" s="17">
        <f>R56</f>
        <v/>
      </c>
      <c r="S57" s="148" t="inlineStr">
        <is>
          <t>NIGHT</t>
        </is>
      </c>
      <c r="T57" s="13">
        <f>U56</f>
        <v/>
      </c>
      <c r="U57" s="8" t="n">
        <v>493</v>
      </c>
      <c r="V57" s="21">
        <f>U57-T57</f>
        <v/>
      </c>
      <c r="W57" s="128" t="n"/>
      <c r="X57" s="132" t="n"/>
      <c r="Y57" s="128" t="n"/>
      <c r="Z57" s="128" t="n"/>
      <c r="AA57" s="28" t="n"/>
      <c r="AB57" s="28" t="n"/>
      <c r="AC57" s="22" t="n"/>
      <c r="AD57" s="23" t="n"/>
      <c r="AE57" s="14">
        <f>AF56</f>
        <v/>
      </c>
      <c r="AF57" s="31" t="n">
        <v>4877</v>
      </c>
      <c r="AG57" s="26">
        <f>AF57-AE57</f>
        <v/>
      </c>
    </row>
    <row r="58">
      <c r="A58" s="17">
        <f>A57+1</f>
        <v/>
      </c>
      <c r="B58" s="148" t="inlineStr">
        <is>
          <t xml:space="preserve">DAY </t>
        </is>
      </c>
      <c r="C58" s="13">
        <f>D57</f>
        <v/>
      </c>
      <c r="D58" s="8" t="n">
        <v>551</v>
      </c>
      <c r="E58" s="21">
        <f>D58-C58</f>
        <v/>
      </c>
      <c r="F58" s="130" t="n">
        <v>150</v>
      </c>
      <c r="G58" s="133" t="n">
        <v>550</v>
      </c>
      <c r="H58" s="148">
        <f>G58-G56</f>
        <v/>
      </c>
      <c r="I58" s="154">
        <f>F58/H58</f>
        <v/>
      </c>
      <c r="J58" s="28" t="n"/>
      <c r="K58" s="28" t="n"/>
      <c r="L58" s="22" t="n"/>
      <c r="M58" s="23" t="n"/>
      <c r="N58" s="14">
        <f>O57</f>
        <v/>
      </c>
      <c r="O58" s="31" t="n">
        <v>5622</v>
      </c>
      <c r="P58" s="26">
        <f>O58-N58</f>
        <v/>
      </c>
      <c r="R58" s="17">
        <f>R57+1</f>
        <v/>
      </c>
      <c r="S58" s="148" t="inlineStr">
        <is>
          <t xml:space="preserve">DAY </t>
        </is>
      </c>
      <c r="T58" s="13">
        <f>U57</f>
        <v/>
      </c>
      <c r="U58" s="8" t="n">
        <v>498</v>
      </c>
      <c r="V58" s="21">
        <f>U58-T58</f>
        <v/>
      </c>
      <c r="W58" s="130" t="n">
        <v>160</v>
      </c>
      <c r="X58" s="133" t="n">
        <v>496</v>
      </c>
      <c r="Y58" s="148">
        <f>X58-X56</f>
        <v/>
      </c>
      <c r="Z58" s="154">
        <f>W58/Y58</f>
        <v/>
      </c>
      <c r="AA58" s="28" t="n"/>
      <c r="AB58" s="28" t="n"/>
      <c r="AC58" s="22" t="n"/>
      <c r="AD58" s="23" t="n"/>
      <c r="AE58" s="14">
        <f>AF57</f>
        <v/>
      </c>
      <c r="AF58" s="31" t="n">
        <v>4927</v>
      </c>
      <c r="AG58" s="26">
        <f>AF58-AE58</f>
        <v/>
      </c>
    </row>
    <row r="59">
      <c r="A59" s="17">
        <f>A58</f>
        <v/>
      </c>
      <c r="B59" s="148" t="inlineStr">
        <is>
          <t>NIGHT</t>
        </is>
      </c>
      <c r="C59" s="13">
        <f>D58</f>
        <v/>
      </c>
      <c r="D59" s="8" t="n">
        <v>560</v>
      </c>
      <c r="E59" s="21">
        <f>D59-C59</f>
        <v/>
      </c>
      <c r="F59" s="128" t="n"/>
      <c r="G59" s="132" t="n"/>
      <c r="H59" s="128" t="n"/>
      <c r="I59" s="128" t="n"/>
      <c r="J59" s="28" t="n"/>
      <c r="K59" s="28" t="n"/>
      <c r="L59" s="22" t="n"/>
      <c r="M59" s="23" t="n"/>
      <c r="N59" s="14">
        <f>O58</f>
        <v/>
      </c>
      <c r="O59" s="31" t="n">
        <v>5784</v>
      </c>
      <c r="P59" s="26">
        <f>O59-N59</f>
        <v/>
      </c>
      <c r="R59" s="17">
        <f>R58</f>
        <v/>
      </c>
      <c r="S59" s="148" t="inlineStr">
        <is>
          <t>NIGHT</t>
        </is>
      </c>
      <c r="T59" s="13">
        <f>U58</f>
        <v/>
      </c>
      <c r="U59" s="8" t="n">
        <v>508</v>
      </c>
      <c r="V59" s="21">
        <f>U59-T59</f>
        <v/>
      </c>
      <c r="W59" s="128" t="n"/>
      <c r="X59" s="132" t="n"/>
      <c r="Y59" s="128" t="n"/>
      <c r="Z59" s="128" t="n"/>
      <c r="AA59" s="28" t="n"/>
      <c r="AB59" s="28" t="n"/>
      <c r="AC59" s="22" t="n"/>
      <c r="AD59" s="23" t="n"/>
      <c r="AE59" s="14">
        <f>AF58</f>
        <v/>
      </c>
      <c r="AF59" s="31" t="n">
        <v>5023</v>
      </c>
      <c r="AG59" s="26">
        <f>AF59-AE59</f>
        <v/>
      </c>
    </row>
    <row r="60">
      <c r="A60" s="17">
        <f>A59+1</f>
        <v/>
      </c>
      <c r="B60" s="148" t="inlineStr">
        <is>
          <t xml:space="preserve">DAY </t>
        </is>
      </c>
      <c r="C60" s="13">
        <f>D59</f>
        <v/>
      </c>
      <c r="D60" s="8" t="n">
        <v>567</v>
      </c>
      <c r="E60" s="21">
        <f>D60-C60</f>
        <v/>
      </c>
      <c r="F60" s="130" t="n">
        <v>140</v>
      </c>
      <c r="G60" s="133" t="n">
        <v>564</v>
      </c>
      <c r="H60" s="148">
        <f>G60-G58</f>
        <v/>
      </c>
      <c r="I60" s="154">
        <f>F60/H60</f>
        <v/>
      </c>
      <c r="J60" s="28" t="n"/>
      <c r="K60" s="28" t="n"/>
      <c r="L60" s="22" t="n"/>
      <c r="M60" s="23" t="n"/>
      <c r="N60" s="14">
        <f>O59</f>
        <v/>
      </c>
      <c r="O60" s="31" t="n">
        <v>5883</v>
      </c>
      <c r="P60" s="26">
        <f>O60-N60</f>
        <v/>
      </c>
      <c r="R60" s="17">
        <f>R59+1</f>
        <v/>
      </c>
      <c r="S60" s="148" t="inlineStr">
        <is>
          <t xml:space="preserve">DAY </t>
        </is>
      </c>
      <c r="T60" s="13">
        <f>U59</f>
        <v/>
      </c>
      <c r="U60" s="8" t="n">
        <v>517</v>
      </c>
      <c r="V60" s="21">
        <f>U60-T60</f>
        <v/>
      </c>
      <c r="W60" s="130" t="n">
        <v>200</v>
      </c>
      <c r="X60" s="133" t="n">
        <v>514</v>
      </c>
      <c r="Y60" s="148">
        <f>X60-X58</f>
        <v/>
      </c>
      <c r="Z60" s="154">
        <f>W60/Y60</f>
        <v/>
      </c>
      <c r="AA60" s="28" t="n"/>
      <c r="AB60" s="28" t="n"/>
      <c r="AC60" s="22" t="n"/>
      <c r="AD60" s="23" t="n"/>
      <c r="AE60" s="14">
        <f>AF59</f>
        <v/>
      </c>
      <c r="AF60" s="31" t="n">
        <v>5108</v>
      </c>
      <c r="AG60" s="26">
        <f>AF60-AE60</f>
        <v/>
      </c>
    </row>
    <row r="61">
      <c r="A61" s="17">
        <f>A60</f>
        <v/>
      </c>
      <c r="B61" s="148" t="inlineStr">
        <is>
          <t>NIGHT</t>
        </is>
      </c>
      <c r="C61" s="13">
        <f>D60</f>
        <v/>
      </c>
      <c r="D61" s="8" t="n">
        <v>574</v>
      </c>
      <c r="E61" s="21">
        <f>D61-C61</f>
        <v/>
      </c>
      <c r="F61" s="128" t="n"/>
      <c r="G61" s="132" t="n"/>
      <c r="H61" s="128" t="n"/>
      <c r="I61" s="128" t="n"/>
      <c r="J61" s="28" t="n"/>
      <c r="K61" s="28" t="n"/>
      <c r="L61" s="22" t="n"/>
      <c r="M61" s="23" t="n"/>
      <c r="N61" s="14">
        <f>O60</f>
        <v/>
      </c>
      <c r="O61" s="31" t="n">
        <v>5951</v>
      </c>
      <c r="P61" s="26">
        <f>O61-N61</f>
        <v/>
      </c>
      <c r="R61" s="17">
        <f>R60</f>
        <v/>
      </c>
      <c r="S61" s="148" t="inlineStr">
        <is>
          <t>NIGHT</t>
        </is>
      </c>
      <c r="T61" s="13">
        <f>U60</f>
        <v/>
      </c>
      <c r="U61" s="8" t="n">
        <v>523</v>
      </c>
      <c r="V61" s="21">
        <f>U61-T61</f>
        <v/>
      </c>
      <c r="W61" s="128" t="n"/>
      <c r="X61" s="132" t="n"/>
      <c r="Y61" s="128" t="n"/>
      <c r="Z61" s="128" t="n"/>
      <c r="AA61" s="28" t="n"/>
      <c r="AB61" s="28" t="n"/>
      <c r="AC61" s="22" t="n"/>
      <c r="AD61" s="23" t="n"/>
      <c r="AE61" s="14">
        <f>AF60</f>
        <v/>
      </c>
      <c r="AF61" s="31" t="n">
        <v>5160</v>
      </c>
      <c r="AG61" s="26">
        <f>AF61-AE61</f>
        <v/>
      </c>
    </row>
    <row r="62">
      <c r="A62" s="17">
        <f>A61+1</f>
        <v/>
      </c>
      <c r="B62" s="148" t="inlineStr">
        <is>
          <t xml:space="preserve">DAY </t>
        </is>
      </c>
      <c r="C62" s="13">
        <f>D61</f>
        <v/>
      </c>
      <c r="D62" s="8" t="n">
        <v>580</v>
      </c>
      <c r="E62" s="21">
        <f>D62-C62</f>
        <v/>
      </c>
      <c r="F62" s="130" t="n">
        <v>150</v>
      </c>
      <c r="G62" s="133" t="n">
        <v>575</v>
      </c>
      <c r="H62" s="148">
        <f>G62-G60</f>
        <v/>
      </c>
      <c r="I62" s="154">
        <f>F62/H62</f>
        <v/>
      </c>
      <c r="J62" s="28" t="n"/>
      <c r="K62" s="28" t="n"/>
      <c r="L62" s="22" t="n"/>
      <c r="M62" s="23" t="n"/>
      <c r="N62" s="14">
        <f>O61</f>
        <v/>
      </c>
      <c r="O62" s="31" t="n">
        <v>6019</v>
      </c>
      <c r="P62" s="26">
        <f>O62-N62</f>
        <v/>
      </c>
      <c r="R62" s="17">
        <f>R61+1</f>
        <v/>
      </c>
      <c r="S62" s="148" t="inlineStr">
        <is>
          <t xml:space="preserve">DAY </t>
        </is>
      </c>
      <c r="T62" s="13">
        <f>U61</f>
        <v/>
      </c>
      <c r="U62" s="8" t="n">
        <v>528</v>
      </c>
      <c r="V62" s="21">
        <f>U62-T62</f>
        <v/>
      </c>
      <c r="W62" s="130" t="n">
        <v>140</v>
      </c>
      <c r="X62" s="133" t="n">
        <v>526</v>
      </c>
      <c r="Y62" s="148">
        <f>X62-X60</f>
        <v/>
      </c>
      <c r="Z62" s="154">
        <f>W62/Y62</f>
        <v/>
      </c>
      <c r="AA62" s="28" t="n"/>
      <c r="AB62" s="28" t="n"/>
      <c r="AC62" s="22" t="n"/>
      <c r="AD62" s="23" t="n"/>
      <c r="AE62" s="14">
        <f>AF61</f>
        <v/>
      </c>
      <c r="AF62" s="31" t="n">
        <v>5237</v>
      </c>
      <c r="AG62" s="26">
        <f>AF62-AE62</f>
        <v/>
      </c>
    </row>
    <row r="63">
      <c r="A63" s="17">
        <f>A62</f>
        <v/>
      </c>
      <c r="B63" s="148" t="inlineStr">
        <is>
          <t>NIGHT</t>
        </is>
      </c>
      <c r="C63" s="13">
        <f>D62</f>
        <v/>
      </c>
      <c r="D63" s="8" t="n">
        <v>588</v>
      </c>
      <c r="E63" s="21">
        <f>D63-C63</f>
        <v/>
      </c>
      <c r="F63" s="128" t="n"/>
      <c r="G63" s="132" t="n"/>
      <c r="H63" s="128" t="n"/>
      <c r="I63" s="128" t="n"/>
      <c r="J63" s="66" t="n"/>
      <c r="K63" s="66" t="n"/>
      <c r="L63" s="67" t="n"/>
      <c r="M63" s="68" t="n"/>
      <c r="N63" s="14">
        <f>O62</f>
        <v/>
      </c>
      <c r="O63" s="69" t="n">
        <v>6112</v>
      </c>
      <c r="P63" s="65">
        <f>O63-N63</f>
        <v/>
      </c>
      <c r="R63" s="17">
        <f>R62</f>
        <v/>
      </c>
      <c r="S63" s="148" t="inlineStr">
        <is>
          <t>NIGHT</t>
        </is>
      </c>
      <c r="T63" s="13">
        <f>U62</f>
        <v/>
      </c>
      <c r="U63" s="8" t="n">
        <v>538</v>
      </c>
      <c r="V63" s="21">
        <f>U63-T63</f>
        <v/>
      </c>
      <c r="W63" s="128" t="n"/>
      <c r="X63" s="132" t="n"/>
      <c r="Y63" s="128" t="n"/>
      <c r="Z63" s="128" t="n"/>
      <c r="AA63" s="28" t="n"/>
      <c r="AB63" s="28" t="n"/>
      <c r="AC63" s="22" t="n"/>
      <c r="AD63" s="23" t="n"/>
      <c r="AE63" s="14">
        <f>AF62</f>
        <v/>
      </c>
      <c r="AF63" s="31" t="n">
        <v>5311</v>
      </c>
      <c r="AG63" s="26">
        <f>AF63-AE63</f>
        <v/>
      </c>
    </row>
    <row r="64">
      <c r="A64" s="17">
        <f>A63+1</f>
        <v/>
      </c>
      <c r="B64" s="148" t="inlineStr">
        <is>
          <t xml:space="preserve">DAY </t>
        </is>
      </c>
      <c r="C64" s="13">
        <f>D63</f>
        <v/>
      </c>
      <c r="D64" s="8" t="n">
        <v>597</v>
      </c>
      <c r="E64" s="72">
        <f>D64-C64</f>
        <v/>
      </c>
      <c r="F64" s="130" t="n">
        <v>120</v>
      </c>
      <c r="G64" s="133" t="n">
        <v>589</v>
      </c>
      <c r="H64" s="148">
        <f>G64-G62</f>
        <v/>
      </c>
      <c r="I64" s="154">
        <f>F64/H64</f>
        <v/>
      </c>
      <c r="J64" s="18" t="n"/>
      <c r="K64" s="18" t="n"/>
      <c r="L64" s="22" t="n"/>
      <c r="M64" s="23" t="n"/>
      <c r="N64" s="14">
        <f>O63</f>
        <v/>
      </c>
      <c r="O64" s="31" t="n">
        <v>6193</v>
      </c>
      <c r="P64" s="148">
        <f>O64-N64</f>
        <v/>
      </c>
      <c r="R64" s="17">
        <f>R63+1</f>
        <v/>
      </c>
      <c r="S64" s="148" t="inlineStr">
        <is>
          <t xml:space="preserve">DAY </t>
        </is>
      </c>
      <c r="T64" s="13">
        <f>U63</f>
        <v/>
      </c>
      <c r="U64" s="8" t="n">
        <v>544</v>
      </c>
      <c r="V64" s="72">
        <f>U64-T64</f>
        <v/>
      </c>
      <c r="W64" s="130" t="n">
        <v>130</v>
      </c>
      <c r="X64" s="133" t="n">
        <v>539</v>
      </c>
      <c r="Y64" s="148">
        <f>X64-X62</f>
        <v/>
      </c>
      <c r="Z64" s="154">
        <f>W64/Y64</f>
        <v/>
      </c>
      <c r="AA64" s="18" t="n"/>
      <c r="AB64" s="18" t="n"/>
      <c r="AC64" s="22" t="n"/>
      <c r="AD64" s="23" t="n"/>
      <c r="AE64" s="14">
        <f>AF63</f>
        <v/>
      </c>
      <c r="AF64" s="31" t="n">
        <v>5379</v>
      </c>
      <c r="AG64" s="148">
        <f>AF64-AE64</f>
        <v/>
      </c>
    </row>
    <row r="65" ht="15.75" customHeight="1" s="140" thickBot="1">
      <c r="A65" s="17">
        <f>A64</f>
        <v/>
      </c>
      <c r="B65" s="148" t="inlineStr">
        <is>
          <t>NIGHT</t>
        </is>
      </c>
      <c r="C65" s="13">
        <f>D64</f>
        <v/>
      </c>
      <c r="D65" s="8" t="n">
        <v>605</v>
      </c>
      <c r="E65" s="72">
        <f>D65-C65</f>
        <v/>
      </c>
      <c r="F65" s="128" t="n"/>
      <c r="G65" s="132" t="n"/>
      <c r="H65" s="128" t="n"/>
      <c r="I65" s="128" t="n"/>
      <c r="J65" s="18" t="n"/>
      <c r="K65" s="18" t="n"/>
      <c r="L65" s="22" t="n"/>
      <c r="M65" s="23" t="n"/>
      <c r="N65" s="14">
        <f>O64</f>
        <v/>
      </c>
      <c r="O65" s="31" t="n">
        <v>6261</v>
      </c>
      <c r="P65" s="148">
        <f>O65-N65</f>
        <v/>
      </c>
      <c r="R65" s="17">
        <f>R64</f>
        <v/>
      </c>
      <c r="S65" s="148" t="inlineStr">
        <is>
          <t>NIGHT</t>
        </is>
      </c>
      <c r="T65" s="13">
        <f>U64</f>
        <v/>
      </c>
      <c r="U65" s="8" t="n">
        <v>551</v>
      </c>
      <c r="V65" s="72">
        <f>U65-T65</f>
        <v/>
      </c>
      <c r="W65" s="128" t="n"/>
      <c r="X65" s="132" t="n"/>
      <c r="Y65" s="128" t="n"/>
      <c r="Z65" s="128" t="n"/>
      <c r="AA65" s="18" t="n"/>
      <c r="AB65" s="18" t="n"/>
      <c r="AC65" s="22" t="n"/>
      <c r="AD65" s="23" t="n"/>
      <c r="AE65" s="14">
        <f>AF64</f>
        <v/>
      </c>
      <c r="AF65" s="31" t="n">
        <v>5436</v>
      </c>
      <c r="AG65" s="148">
        <f>AF65-AE65</f>
        <v/>
      </c>
    </row>
    <row r="66" ht="16.5" customHeight="1" s="140" thickBot="1">
      <c r="A66" s="145" t="inlineStr">
        <is>
          <t xml:space="preserve">TOTAL Running Hours: </t>
        </is>
      </c>
      <c r="B66" s="143" t="n"/>
      <c r="C66" s="143" t="n"/>
      <c r="D66" s="146" t="n"/>
      <c r="E66" s="79">
        <f>SUBTOTAL(9,E4:E65)</f>
        <v/>
      </c>
      <c r="F66" s="79">
        <f>SUBTOTAL(9,F4:F65)</f>
        <v/>
      </c>
      <c r="G66" s="71" t="n"/>
      <c r="H66" s="71" t="n"/>
      <c r="I66" s="36">
        <f>F66/E66</f>
        <v/>
      </c>
      <c r="J66" s="161" t="inlineStr">
        <is>
          <t>TOTAL BREAKDOWN 74:45 Hrs</t>
        </is>
      </c>
      <c r="K66" s="162" t="n"/>
      <c r="L66" s="162" t="n"/>
      <c r="M66" s="163" t="n"/>
      <c r="N66" s="161" t="n"/>
      <c r="O66" s="161" t="n"/>
      <c r="P66" s="159">
        <f>SUBTOTAL(9,P4:P65)</f>
        <v/>
      </c>
      <c r="R66" s="145" t="inlineStr">
        <is>
          <t xml:space="preserve">TOTAL Running Hours: </t>
        </is>
      </c>
      <c r="S66" s="143" t="n"/>
      <c r="T66" s="143" t="n"/>
      <c r="U66" s="146" t="n"/>
      <c r="V66" s="159">
        <f>SUBTOTAL(9,V4:V65)</f>
        <v/>
      </c>
      <c r="W66" s="159">
        <f>SUBTOTAL(9,W4:W65)</f>
        <v/>
      </c>
      <c r="X66" s="71" t="n"/>
      <c r="Y66" s="71" t="n"/>
      <c r="Z66" s="36">
        <f>W66/V66</f>
        <v/>
      </c>
      <c r="AA66" s="161" t="inlineStr">
        <is>
          <t>TOTAL BREAKDOWN 0:00</t>
        </is>
      </c>
      <c r="AB66" s="162" t="n"/>
      <c r="AC66" s="162" t="n"/>
      <c r="AD66" s="163" t="n"/>
      <c r="AE66" s="161" t="n"/>
      <c r="AF66" s="161" t="n"/>
      <c r="AG66" s="159">
        <f>SUBTOTAL(9,AG4:AG65)</f>
        <v/>
      </c>
    </row>
    <row r="67" ht="30" customHeight="1" s="140">
      <c r="E67" s="80" t="inlineStr">
        <is>
          <t>Total diesel according to bmct</t>
        </is>
      </c>
      <c r="F67" s="151">
        <f>F66-90</f>
        <v/>
      </c>
      <c r="M67" s="82" t="n"/>
    </row>
    <row r="68">
      <c r="M68" s="81" t="n"/>
    </row>
    <row r="69">
      <c r="A69" t="inlineStr">
        <is>
          <t>Tax invoice raised on 11-06-26 month of April-26</t>
        </is>
      </c>
      <c r="S69" t="inlineStr">
        <is>
          <t>Tax invoice raised on 10-06-26 month of April-26</t>
        </is>
      </c>
    </row>
  </sheetData>
  <mergeCells count="256">
    <mergeCell ref="I54:I55"/>
    <mergeCell ref="F44:F45"/>
    <mergeCell ref="I32:I33"/>
    <mergeCell ref="H26:H27"/>
    <mergeCell ref="Z26:Z27"/>
    <mergeCell ref="Y24:Y25"/>
    <mergeCell ref="G8:G9"/>
    <mergeCell ref="G48:G49"/>
    <mergeCell ref="X16:X17"/>
    <mergeCell ref="H50:H51"/>
    <mergeCell ref="I16:I17"/>
    <mergeCell ref="Y26:Y27"/>
    <mergeCell ref="Z12:Z13"/>
    <mergeCell ref="H34:H35"/>
    <mergeCell ref="I26:I27"/>
    <mergeCell ref="W16:W17"/>
    <mergeCell ref="F30:F31"/>
    <mergeCell ref="Y10:Y11"/>
    <mergeCell ref="F18:F19"/>
    <mergeCell ref="G10:G11"/>
    <mergeCell ref="H52:H53"/>
    <mergeCell ref="I18:I19"/>
    <mergeCell ref="F26:F27"/>
    <mergeCell ref="Y60:Y61"/>
    <mergeCell ref="F42:F43"/>
    <mergeCell ref="H36:H37"/>
    <mergeCell ref="X28:X29"/>
    <mergeCell ref="W50:W51"/>
    <mergeCell ref="G58:G59"/>
    <mergeCell ref="Y50:Y51"/>
    <mergeCell ref="G18:G19"/>
    <mergeCell ref="I58:I59"/>
    <mergeCell ref="F62:F63"/>
    <mergeCell ref="X30:X31"/>
    <mergeCell ref="Y16:Y17"/>
    <mergeCell ref="W52:W53"/>
    <mergeCell ref="I42:I43"/>
    <mergeCell ref="F28:F29"/>
    <mergeCell ref="X14:X15"/>
    <mergeCell ref="I20:I21"/>
    <mergeCell ref="G60:G61"/>
    <mergeCell ref="I60:I61"/>
    <mergeCell ref="H28:H29"/>
    <mergeCell ref="F64:F65"/>
    <mergeCell ref="Y52:Y53"/>
    <mergeCell ref="G40:G41"/>
    <mergeCell ref="W42:W43"/>
    <mergeCell ref="G50:G51"/>
    <mergeCell ref="Y36:Y37"/>
    <mergeCell ref="H24:H25"/>
    <mergeCell ref="I50:I51"/>
    <mergeCell ref="G44:G45"/>
    <mergeCell ref="F48:F49"/>
    <mergeCell ref="I44:I45"/>
    <mergeCell ref="G22:G23"/>
    <mergeCell ref="H48:H49"/>
    <mergeCell ref="Y18:Y19"/>
    <mergeCell ref="H30:H31"/>
    <mergeCell ref="X56:X57"/>
    <mergeCell ref="H8:H9"/>
    <mergeCell ref="G12:G13"/>
    <mergeCell ref="Y42:Y43"/>
    <mergeCell ref="I6:I7"/>
    <mergeCell ref="W44:W45"/>
    <mergeCell ref="X46:X47"/>
    <mergeCell ref="Z46:Z47"/>
    <mergeCell ref="F34:F35"/>
    <mergeCell ref="F16:F17"/>
    <mergeCell ref="W28:W29"/>
    <mergeCell ref="G36:G37"/>
    <mergeCell ref="W6:W7"/>
    <mergeCell ref="H10:H11"/>
    <mergeCell ref="Y62:Y63"/>
    <mergeCell ref="F40:F41"/>
    <mergeCell ref="I30:I31"/>
    <mergeCell ref="X48:X49"/>
    <mergeCell ref="AA66:AD66"/>
    <mergeCell ref="F36:F37"/>
    <mergeCell ref="W30:W31"/>
    <mergeCell ref="W64:W65"/>
    <mergeCell ref="Y30:Y31"/>
    <mergeCell ref="Z32:Z33"/>
    <mergeCell ref="Y64:Y65"/>
    <mergeCell ref="F20:F21"/>
    <mergeCell ref="Z50:Z51"/>
    <mergeCell ref="X34:X35"/>
    <mergeCell ref="W54:W55"/>
    <mergeCell ref="G62:G63"/>
    <mergeCell ref="Y54:Y55"/>
    <mergeCell ref="W32:W33"/>
    <mergeCell ref="I62:I63"/>
    <mergeCell ref="I56:I57"/>
    <mergeCell ref="F22:F23"/>
    <mergeCell ref="Z52:Z53"/>
    <mergeCell ref="H22:H23"/>
    <mergeCell ref="W56:W57"/>
    <mergeCell ref="G64:G65"/>
    <mergeCell ref="Y34:Y35"/>
    <mergeCell ref="Z18:Z19"/>
    <mergeCell ref="X42:X43"/>
    <mergeCell ref="X20:X21"/>
    <mergeCell ref="J1:M1"/>
    <mergeCell ref="Z42:Z43"/>
    <mergeCell ref="Z20:Z21"/>
    <mergeCell ref="Y40:Y41"/>
    <mergeCell ref="Z14:Z15"/>
    <mergeCell ref="I48:I49"/>
    <mergeCell ref="W18:W19"/>
    <mergeCell ref="X4:X5"/>
    <mergeCell ref="X44:X45"/>
    <mergeCell ref="W8:W9"/>
    <mergeCell ref="X22:X23"/>
    <mergeCell ref="I38:I39"/>
    <mergeCell ref="Z4:Z5"/>
    <mergeCell ref="H12:H13"/>
    <mergeCell ref="F46:F47"/>
    <mergeCell ref="R1:Z1"/>
    <mergeCell ref="I34:I35"/>
    <mergeCell ref="Z28:Z29"/>
    <mergeCell ref="H62:H63"/>
    <mergeCell ref="Z6:Z7"/>
    <mergeCell ref="G26:G27"/>
    <mergeCell ref="W58:W59"/>
    <mergeCell ref="W10:W11"/>
    <mergeCell ref="H14:H15"/>
    <mergeCell ref="F4:F5"/>
    <mergeCell ref="H4:H5"/>
    <mergeCell ref="W60:W61"/>
    <mergeCell ref="Y38:Y39"/>
    <mergeCell ref="A1:I1"/>
    <mergeCell ref="F54:F55"/>
    <mergeCell ref="F10:F11"/>
    <mergeCell ref="H54:H55"/>
    <mergeCell ref="F24:F25"/>
    <mergeCell ref="Z54:Z55"/>
    <mergeCell ref="Y58:Y59"/>
    <mergeCell ref="G52:G53"/>
    <mergeCell ref="H38:H39"/>
    <mergeCell ref="Y14:Y15"/>
    <mergeCell ref="G42:G43"/>
    <mergeCell ref="H56:H57"/>
    <mergeCell ref="I36:I37"/>
    <mergeCell ref="Z16:Z17"/>
    <mergeCell ref="Z56:Z57"/>
    <mergeCell ref="X32:X33"/>
    <mergeCell ref="G38:G39"/>
    <mergeCell ref="H58:H59"/>
    <mergeCell ref="H40:H41"/>
    <mergeCell ref="X24:X25"/>
    <mergeCell ref="F8:F9"/>
    <mergeCell ref="G28:G29"/>
    <mergeCell ref="H60:H61"/>
    <mergeCell ref="G6:G7"/>
    <mergeCell ref="Z8:Z9"/>
    <mergeCell ref="G24:G25"/>
    <mergeCell ref="F50:F51"/>
    <mergeCell ref="X58:X59"/>
    <mergeCell ref="I24:I25"/>
    <mergeCell ref="X18:X19"/>
    <mergeCell ref="Z58:Z59"/>
    <mergeCell ref="X10:X11"/>
    <mergeCell ref="W62:W63"/>
    <mergeCell ref="G30:G31"/>
    <mergeCell ref="Z10:Z11"/>
    <mergeCell ref="I8:I9"/>
    <mergeCell ref="H16:H17"/>
    <mergeCell ref="W46:W47"/>
    <mergeCell ref="F52:F53"/>
    <mergeCell ref="X60:X61"/>
    <mergeCell ref="Y46:Y47"/>
    <mergeCell ref="Z60:Z61"/>
    <mergeCell ref="Y28:Y29"/>
    <mergeCell ref="G16:G17"/>
    <mergeCell ref="X50:X51"/>
    <mergeCell ref="I10:I11"/>
    <mergeCell ref="H18:H19"/>
    <mergeCell ref="F14:F15"/>
    <mergeCell ref="W48:W49"/>
    <mergeCell ref="Z44:Z45"/>
    <mergeCell ref="Y48:Y49"/>
    <mergeCell ref="G56:G57"/>
    <mergeCell ref="Y8:Y9"/>
    <mergeCell ref="Z34:Z35"/>
    <mergeCell ref="X12:X13"/>
    <mergeCell ref="H42:H43"/>
    <mergeCell ref="W38:W39"/>
    <mergeCell ref="X52:X53"/>
    <mergeCell ref="H20:H21"/>
    <mergeCell ref="W34:W35"/>
    <mergeCell ref="X36:X37"/>
    <mergeCell ref="F6:F7"/>
    <mergeCell ref="Z36:Z37"/>
    <mergeCell ref="R66:U66"/>
    <mergeCell ref="H44:H45"/>
    <mergeCell ref="W40:W41"/>
    <mergeCell ref="J66:M66"/>
    <mergeCell ref="Z30:Z31"/>
    <mergeCell ref="W36:W37"/>
    <mergeCell ref="F12:F13"/>
    <mergeCell ref="H6:H7"/>
    <mergeCell ref="H64:H65"/>
    <mergeCell ref="W20:W21"/>
    <mergeCell ref="G34:G35"/>
    <mergeCell ref="Y20:Y21"/>
    <mergeCell ref="Z22:Z23"/>
    <mergeCell ref="X62:X63"/>
    <mergeCell ref="F32:F33"/>
    <mergeCell ref="I28:I29"/>
    <mergeCell ref="Z62:Z63"/>
    <mergeCell ref="W26:W27"/>
    <mergeCell ref="I22:I23"/>
    <mergeCell ref="X6:X7"/>
    <mergeCell ref="W24:W25"/>
    <mergeCell ref="H46:H47"/>
    <mergeCell ref="Y44:Y45"/>
    <mergeCell ref="W22:W23"/>
    <mergeCell ref="I52:I53"/>
    <mergeCell ref="Y22:Y23"/>
    <mergeCell ref="I12:I13"/>
    <mergeCell ref="F56:F57"/>
    <mergeCell ref="X64:X65"/>
    <mergeCell ref="Z64:Z65"/>
    <mergeCell ref="W12:W13"/>
    <mergeCell ref="Y6:Y7"/>
    <mergeCell ref="G20:G21"/>
    <mergeCell ref="AA1:AD1"/>
    <mergeCell ref="G14:G15"/>
    <mergeCell ref="X54:X55"/>
    <mergeCell ref="I14:I15"/>
    <mergeCell ref="Z48:Z49"/>
    <mergeCell ref="F38:F39"/>
    <mergeCell ref="G4:G5"/>
    <mergeCell ref="H32:H33"/>
    <mergeCell ref="X38:X39"/>
    <mergeCell ref="W14:W15"/>
    <mergeCell ref="Y12:Y13"/>
    <mergeCell ref="I64:I65"/>
    <mergeCell ref="Z38:Z39"/>
    <mergeCell ref="I4:I5"/>
    <mergeCell ref="G54:G55"/>
    <mergeCell ref="G32:G33"/>
    <mergeCell ref="F58:F59"/>
    <mergeCell ref="A66:D66"/>
    <mergeCell ref="X26:X27"/>
    <mergeCell ref="Y32:Y33"/>
    <mergeCell ref="X40:X41"/>
    <mergeCell ref="Z40:Z41"/>
    <mergeCell ref="W4:W5"/>
    <mergeCell ref="Y4:Y5"/>
    <mergeCell ref="F60:F61"/>
    <mergeCell ref="Y56:Y57"/>
    <mergeCell ref="Z24:Z25"/>
    <mergeCell ref="X8:X9"/>
    <mergeCell ref="G46:G47"/>
    <mergeCell ref="I46:I47"/>
    <mergeCell ref="I40:I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4"/>
  <sheetViews>
    <sheetView topLeftCell="A40" workbookViewId="0">
      <selection activeCell="A68" sqref="A68"/>
    </sheetView>
  </sheetViews>
  <sheetFormatPr baseColWidth="8" defaultRowHeight="15"/>
  <cols>
    <col width="9.42578125" bestFit="1" customWidth="1" style="140" min="9" max="9"/>
    <col width="11.28515625" bestFit="1" customWidth="1" style="140" min="10" max="10"/>
    <col width="9.85546875" bestFit="1" customWidth="1" style="140" min="17" max="17"/>
  </cols>
  <sheetData>
    <row r="1" ht="19.5" customHeight="1" s="140" thickBot="1">
      <c r="A1" s="142" t="inlineStr">
        <is>
          <t>NEW MACHINE NO - XCMG-8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55" t="inlineStr">
        <is>
          <t>DATE</t>
        </is>
      </c>
      <c r="B2" s="56" t="inlineStr">
        <is>
          <t>SHIFT</t>
        </is>
      </c>
      <c r="C2" s="57" t="inlineStr">
        <is>
          <t>SHIFT START - HMR</t>
        </is>
      </c>
      <c r="D2" s="57" t="inlineStr">
        <is>
          <t>SHIFT END - HMR</t>
        </is>
      </c>
      <c r="E2" s="58" t="inlineStr">
        <is>
          <t>HOURS</t>
        </is>
      </c>
      <c r="F2" s="59" t="inlineStr">
        <is>
          <t>DIESEL</t>
        </is>
      </c>
      <c r="G2" s="56" t="inlineStr">
        <is>
          <t>HMR</t>
        </is>
      </c>
      <c r="H2" s="56" t="inlineStr">
        <is>
          <t>HOURS</t>
        </is>
      </c>
      <c r="I2" s="58" t="inlineStr">
        <is>
          <t>AVERAGE</t>
        </is>
      </c>
      <c r="J2" s="60" t="inlineStr">
        <is>
          <t>START TIME</t>
        </is>
      </c>
      <c r="K2" s="60" t="inlineStr">
        <is>
          <t>END TIME</t>
        </is>
      </c>
      <c r="L2" s="60" t="inlineStr">
        <is>
          <t>TOTAL HRS</t>
        </is>
      </c>
      <c r="M2" s="60" t="inlineStr">
        <is>
          <t>Remarks</t>
        </is>
      </c>
      <c r="N2" s="53" t="inlineStr">
        <is>
          <t>Container Start Count</t>
        </is>
      </c>
      <c r="O2" s="53" t="inlineStr">
        <is>
          <t>Container End Count</t>
        </is>
      </c>
      <c r="P2" s="60" t="inlineStr">
        <is>
          <t>Total</t>
        </is>
      </c>
      <c r="R2" s="37" t="inlineStr">
        <is>
          <t>DATE</t>
        </is>
      </c>
      <c r="S2" s="38" t="inlineStr">
        <is>
          <t>SHIFT</t>
        </is>
      </c>
      <c r="T2" s="40" t="inlineStr">
        <is>
          <t>SHIFT START - HMR</t>
        </is>
      </c>
      <c r="U2" s="40" t="inlineStr">
        <is>
          <t>SHIFT END - HMR</t>
        </is>
      </c>
      <c r="V2" s="39" t="inlineStr">
        <is>
          <t>HOURS</t>
        </is>
      </c>
      <c r="W2" s="41" t="inlineStr">
        <is>
          <t>DIESEL</t>
        </is>
      </c>
      <c r="X2" s="38" t="inlineStr">
        <is>
          <t>HMR</t>
        </is>
      </c>
      <c r="Y2" s="38" t="inlineStr">
        <is>
          <t>HOURS</t>
        </is>
      </c>
      <c r="Z2" s="39" t="inlineStr">
        <is>
          <t>AVERAGE</t>
        </is>
      </c>
      <c r="AA2" s="34" t="inlineStr">
        <is>
          <t>START TIME</t>
        </is>
      </c>
      <c r="AB2" s="34" t="inlineStr">
        <is>
          <t>END TIME</t>
        </is>
      </c>
      <c r="AC2" s="34" t="inlineStr">
        <is>
          <t>TOTAL HRS</t>
        </is>
      </c>
      <c r="AD2" s="34" t="inlineStr">
        <is>
          <t>Remarks</t>
        </is>
      </c>
      <c r="AE2" s="35" t="inlineStr">
        <is>
          <t>Container Start Count</t>
        </is>
      </c>
      <c r="AF2" s="35" t="inlineStr">
        <is>
          <t>Container End Count</t>
        </is>
      </c>
      <c r="AG2" s="34" t="inlineStr">
        <is>
          <t>Total</t>
        </is>
      </c>
    </row>
    <row r="3" ht="15.75" customHeight="1" s="140">
      <c r="A3" s="62" t="n"/>
      <c r="B3" s="62" t="n"/>
      <c r="C3" s="63" t="n"/>
      <c r="D3" s="63" t="n"/>
      <c r="E3" s="62" t="n"/>
      <c r="F3" s="62" t="n"/>
      <c r="G3" s="62" t="n">
        <v>589</v>
      </c>
      <c r="H3" s="62" t="n"/>
      <c r="I3" s="62" t="n"/>
      <c r="J3" s="62" t="n"/>
      <c r="K3" s="62" t="n"/>
      <c r="L3" s="62" t="n"/>
      <c r="M3" s="62" t="n"/>
      <c r="N3" s="64" t="n"/>
      <c r="O3" s="64" t="n"/>
      <c r="P3" s="62" t="n"/>
      <c r="R3" s="48" t="n"/>
      <c r="S3" s="49" t="n"/>
      <c r="T3" s="50" t="n"/>
      <c r="U3" s="50" t="n"/>
      <c r="V3" s="51" t="n"/>
      <c r="W3" s="52" t="n"/>
      <c r="X3" s="49" t="n">
        <v>539</v>
      </c>
      <c r="Y3" s="49" t="n"/>
      <c r="Z3" s="51" t="n"/>
      <c r="AA3" s="49" t="n"/>
      <c r="AB3" s="49" t="n"/>
      <c r="AC3" s="49" t="n"/>
      <c r="AD3" s="49" t="n"/>
      <c r="AE3" s="53" t="n"/>
      <c r="AF3" s="54" t="n"/>
      <c r="AG3" s="49" t="n"/>
    </row>
    <row r="4">
      <c r="A4" s="6" t="n">
        <v>46174</v>
      </c>
      <c r="B4" s="7" t="inlineStr">
        <is>
          <t xml:space="preserve">DAY </t>
        </is>
      </c>
      <c r="C4" s="8" t="n">
        <v>605</v>
      </c>
      <c r="D4" s="7" t="n">
        <v>616</v>
      </c>
      <c r="E4" s="11">
        <f>D4-C4</f>
        <v/>
      </c>
      <c r="F4" s="144" t="n">
        <v>180</v>
      </c>
      <c r="G4" s="141" t="n">
        <v>608</v>
      </c>
      <c r="H4" s="127">
        <f>G4-G3</f>
        <v/>
      </c>
      <c r="I4" s="129">
        <f>F4/H4</f>
        <v/>
      </c>
      <c r="J4" s="169" t="inlineStr">
        <is>
          <t xml:space="preserve">XCMG(RST-08) MOVE TO TALOJA FROM BMCT PORT 10-JUN-26 &amp; THEN RST DEPLOYED IN KATTUPALLI 17-06-26. </t>
        </is>
      </c>
      <c r="K4" s="165" t="n"/>
      <c r="L4" s="165" t="n"/>
      <c r="M4" s="166" t="n"/>
      <c r="N4" s="31" t="n">
        <v>6261</v>
      </c>
      <c r="O4" s="7" t="n">
        <v>6362</v>
      </c>
      <c r="P4" s="7">
        <f>O4-N4</f>
        <v/>
      </c>
      <c r="R4" s="6" t="n">
        <v>46174</v>
      </c>
      <c r="S4" s="7" t="inlineStr">
        <is>
          <t xml:space="preserve">DAY </t>
        </is>
      </c>
      <c r="T4" s="8" t="n">
        <v>551</v>
      </c>
      <c r="U4" s="7" t="n">
        <v>558</v>
      </c>
      <c r="V4" s="11">
        <f>U4-T4</f>
        <v/>
      </c>
      <c r="W4" s="144" t="n">
        <v>150</v>
      </c>
      <c r="X4" s="141" t="n">
        <v>552</v>
      </c>
      <c r="Y4" s="127">
        <f>X4-X3</f>
        <v/>
      </c>
      <c r="Z4" s="129">
        <f>W4/Y4</f>
        <v/>
      </c>
      <c r="AA4" s="9" t="n"/>
      <c r="AB4" s="9" t="n"/>
      <c r="AC4" s="9" t="n"/>
      <c r="AD4" s="10" t="n"/>
      <c r="AE4" s="8" t="n">
        <v>5436</v>
      </c>
      <c r="AF4" s="7" t="n">
        <v>5500</v>
      </c>
      <c r="AG4" s="7">
        <f>AF4-AE4</f>
        <v/>
      </c>
    </row>
    <row r="5">
      <c r="A5" s="6">
        <f>A4</f>
        <v/>
      </c>
      <c r="B5" s="127" t="inlineStr">
        <is>
          <t>NIGHT</t>
        </is>
      </c>
      <c r="C5" s="13">
        <f>D4</f>
        <v/>
      </c>
      <c r="D5" s="127" t="n">
        <v>624</v>
      </c>
      <c r="E5" s="11">
        <f>D5-C5</f>
        <v/>
      </c>
      <c r="F5" s="128" t="n"/>
      <c r="G5" s="128" t="n"/>
      <c r="H5" s="128" t="n"/>
      <c r="I5" s="128" t="n"/>
      <c r="J5" s="170" t="n"/>
      <c r="M5" s="171" t="n"/>
      <c r="N5" s="14">
        <f>O4</f>
        <v/>
      </c>
      <c r="O5" s="127" t="n">
        <v>6515</v>
      </c>
      <c r="P5" s="7">
        <f>O5-N5</f>
        <v/>
      </c>
      <c r="R5" s="6">
        <f>R4</f>
        <v/>
      </c>
      <c r="S5" s="127" t="inlineStr">
        <is>
          <t>NIGHT</t>
        </is>
      </c>
      <c r="T5" s="13">
        <f>U4</f>
        <v/>
      </c>
      <c r="U5" s="127" t="n">
        <v>567</v>
      </c>
      <c r="V5" s="11">
        <f>U5-T5</f>
        <v/>
      </c>
      <c r="W5" s="128" t="n"/>
      <c r="X5" s="128" t="n"/>
      <c r="Y5" s="128" t="n"/>
      <c r="Z5" s="128" t="n"/>
      <c r="AA5" s="15" t="n"/>
      <c r="AB5" s="15" t="n"/>
      <c r="AC5" s="15" t="n"/>
      <c r="AD5" s="16" t="n"/>
      <c r="AE5" s="14">
        <f>AF4</f>
        <v/>
      </c>
      <c r="AF5" s="127" t="n">
        <v>5592</v>
      </c>
      <c r="AG5" s="7">
        <f>AF5-AE5</f>
        <v/>
      </c>
    </row>
    <row r="6">
      <c r="A6" s="17">
        <f>A5+1</f>
        <v/>
      </c>
      <c r="B6" s="148" t="inlineStr">
        <is>
          <t xml:space="preserve">DAY </t>
        </is>
      </c>
      <c r="C6" s="13">
        <f>D5</f>
        <v/>
      </c>
      <c r="D6" s="8" t="n">
        <v>629</v>
      </c>
      <c r="E6" s="11">
        <f>D6-C6</f>
        <v/>
      </c>
      <c r="F6" s="130" t="n">
        <v>240</v>
      </c>
      <c r="G6" s="130" t="n">
        <v>627</v>
      </c>
      <c r="H6" s="127">
        <f>G6-G4</f>
        <v/>
      </c>
      <c r="I6" s="129">
        <f>F6/H6</f>
        <v/>
      </c>
      <c r="J6" s="170" t="n"/>
      <c r="M6" s="171" t="n"/>
      <c r="N6" s="14">
        <f>O5</f>
        <v/>
      </c>
      <c r="O6" s="8" t="n">
        <v>6527</v>
      </c>
      <c r="P6" s="7">
        <f>O6-N6</f>
        <v/>
      </c>
      <c r="R6" s="17">
        <f>R5+1</f>
        <v/>
      </c>
      <c r="S6" s="148" t="inlineStr">
        <is>
          <t xml:space="preserve">DAY </t>
        </is>
      </c>
      <c r="T6" s="13">
        <f>U5</f>
        <v/>
      </c>
      <c r="U6" s="8" t="n">
        <v>573</v>
      </c>
      <c r="V6" s="11">
        <f>U6-T6</f>
        <v/>
      </c>
      <c r="W6" s="130" t="n">
        <v>200</v>
      </c>
      <c r="X6" s="130" t="n">
        <v>570</v>
      </c>
      <c r="Y6" s="127">
        <f>X6-X4</f>
        <v/>
      </c>
      <c r="Z6" s="129">
        <f>W6/Y6</f>
        <v/>
      </c>
      <c r="AA6" s="18" t="n"/>
      <c r="AB6" s="18" t="n"/>
      <c r="AC6" s="9" t="n"/>
      <c r="AD6" s="10" t="n"/>
      <c r="AE6" s="14">
        <f>AF5</f>
        <v/>
      </c>
      <c r="AF6" s="8" t="n">
        <v>5622</v>
      </c>
      <c r="AG6" s="7">
        <f>AF6-AE6</f>
        <v/>
      </c>
    </row>
    <row r="7">
      <c r="A7" s="17">
        <f>A6</f>
        <v/>
      </c>
      <c r="B7" s="148" t="inlineStr">
        <is>
          <t>NIGHT</t>
        </is>
      </c>
      <c r="C7" s="13">
        <f>D6</f>
        <v/>
      </c>
      <c r="D7" s="8" t="n">
        <v>638</v>
      </c>
      <c r="E7" s="11">
        <f>D7-C7</f>
        <v/>
      </c>
      <c r="F7" s="128" t="n"/>
      <c r="G7" s="128" t="n"/>
      <c r="H7" s="128" t="n"/>
      <c r="I7" s="128" t="n"/>
      <c r="J7" s="170" t="n"/>
      <c r="M7" s="171" t="n"/>
      <c r="N7" s="14">
        <f>O6</f>
        <v/>
      </c>
      <c r="O7" s="8" t="n">
        <v>6576</v>
      </c>
      <c r="P7" s="7">
        <f>O7-N7</f>
        <v/>
      </c>
      <c r="R7" s="17">
        <f>R6</f>
        <v/>
      </c>
      <c r="S7" s="148" t="inlineStr">
        <is>
          <t>NIGHT</t>
        </is>
      </c>
      <c r="T7" s="13">
        <f>U6</f>
        <v/>
      </c>
      <c r="U7" s="8" t="n">
        <v>581</v>
      </c>
      <c r="V7" s="11">
        <f>U7-T7</f>
        <v/>
      </c>
      <c r="W7" s="128" t="n"/>
      <c r="X7" s="128" t="n"/>
      <c r="Y7" s="128" t="n"/>
      <c r="Z7" s="128" t="n"/>
      <c r="AA7" s="18" t="n"/>
      <c r="AB7" s="18" t="n"/>
      <c r="AC7" s="22" t="n"/>
      <c r="AD7" s="23" t="n"/>
      <c r="AE7" s="14">
        <f>AF6</f>
        <v/>
      </c>
      <c r="AF7" s="8" t="n">
        <v>5688</v>
      </c>
      <c r="AG7" s="7">
        <f>AF7-AE7</f>
        <v/>
      </c>
    </row>
    <row r="8">
      <c r="A8" s="17">
        <f>A7+1</f>
        <v/>
      </c>
      <c r="B8" s="127" t="inlineStr">
        <is>
          <t xml:space="preserve">DAY </t>
        </is>
      </c>
      <c r="C8" s="13">
        <f>D7</f>
        <v/>
      </c>
      <c r="D8" s="13" t="n">
        <v>645</v>
      </c>
      <c r="E8" s="11">
        <f>D8-C8</f>
        <v/>
      </c>
      <c r="F8" s="130" t="n">
        <v>110</v>
      </c>
      <c r="G8" s="131" t="n">
        <v>638</v>
      </c>
      <c r="H8" s="127">
        <f>G8-G6</f>
        <v/>
      </c>
      <c r="I8" s="129">
        <f>F8/H8</f>
        <v/>
      </c>
      <c r="J8" s="170" t="n"/>
      <c r="M8" s="171" t="n"/>
      <c r="N8" s="14">
        <f>O7</f>
        <v/>
      </c>
      <c r="O8" s="8" t="n">
        <v>6633</v>
      </c>
      <c r="P8" s="7">
        <f>O8-N8</f>
        <v/>
      </c>
      <c r="R8" s="17">
        <f>R7+1</f>
        <v/>
      </c>
      <c r="S8" s="127" t="inlineStr">
        <is>
          <t xml:space="preserve">DAY </t>
        </is>
      </c>
      <c r="T8" s="13">
        <f>U7</f>
        <v/>
      </c>
      <c r="U8" s="13" t="n">
        <v>592</v>
      </c>
      <c r="V8" s="11">
        <f>U8-T8</f>
        <v/>
      </c>
      <c r="W8" s="130" t="n">
        <v>190</v>
      </c>
      <c r="X8" s="131" t="n">
        <v>585</v>
      </c>
      <c r="Y8" s="127">
        <f>X8-X6</f>
        <v/>
      </c>
      <c r="Z8" s="129">
        <f>W8/Y8</f>
        <v/>
      </c>
      <c r="AA8" s="18" t="n"/>
      <c r="AB8" s="18" t="n"/>
      <c r="AC8" s="9" t="n"/>
      <c r="AD8" s="10" t="n"/>
      <c r="AE8" s="14">
        <f>AF7</f>
        <v/>
      </c>
      <c r="AF8" s="13" t="n">
        <v>5741</v>
      </c>
      <c r="AG8" s="7">
        <f>AF8-AE8</f>
        <v/>
      </c>
    </row>
    <row r="9">
      <c r="A9" s="17">
        <f>A8</f>
        <v/>
      </c>
      <c r="B9" s="127" t="inlineStr">
        <is>
          <t>NIGHT</t>
        </is>
      </c>
      <c r="C9" s="13">
        <f>D8</f>
        <v/>
      </c>
      <c r="D9" s="13" t="n">
        <v>652</v>
      </c>
      <c r="E9" s="11">
        <f>D9-C9</f>
        <v/>
      </c>
      <c r="F9" s="128" t="n"/>
      <c r="G9" s="132" t="n"/>
      <c r="H9" s="128" t="n"/>
      <c r="I9" s="128" t="n"/>
      <c r="J9" s="170" t="n"/>
      <c r="M9" s="171" t="n"/>
      <c r="N9" s="14">
        <f>O8</f>
        <v/>
      </c>
      <c r="O9" s="13" t="n">
        <v>6713</v>
      </c>
      <c r="P9" s="7">
        <f>O9-N9</f>
        <v/>
      </c>
      <c r="R9" s="17">
        <f>R8</f>
        <v/>
      </c>
      <c r="S9" s="127" t="inlineStr">
        <is>
          <t>NIGHT</t>
        </is>
      </c>
      <c r="T9" s="13">
        <f>U8</f>
        <v/>
      </c>
      <c r="U9" s="13" t="n">
        <v>600</v>
      </c>
      <c r="V9" s="11">
        <f>U9-T9</f>
        <v/>
      </c>
      <c r="W9" s="128" t="n"/>
      <c r="X9" s="132" t="n"/>
      <c r="Y9" s="128" t="n"/>
      <c r="Z9" s="128" t="n"/>
      <c r="AA9" s="25" t="n"/>
      <c r="AB9" s="25" t="n"/>
      <c r="AC9" s="15" t="n"/>
      <c r="AD9" s="16" t="n"/>
      <c r="AE9" s="14">
        <f>AF8</f>
        <v/>
      </c>
      <c r="AF9" s="13" t="n">
        <v>5853</v>
      </c>
      <c r="AG9" s="7">
        <f>AF9-AE9</f>
        <v/>
      </c>
    </row>
    <row r="10">
      <c r="A10" s="17">
        <f>A9+1</f>
        <v/>
      </c>
      <c r="B10" s="148" t="inlineStr">
        <is>
          <t xml:space="preserve">DAY </t>
        </is>
      </c>
      <c r="C10" s="13">
        <f>D9</f>
        <v/>
      </c>
      <c r="D10" s="8" t="n">
        <v>662</v>
      </c>
      <c r="E10" s="11">
        <f>D10-C10</f>
        <v/>
      </c>
      <c r="F10" s="130" t="n">
        <v>150</v>
      </c>
      <c r="G10" s="131" t="n">
        <v>656</v>
      </c>
      <c r="H10" s="127">
        <f>G10-G8</f>
        <v/>
      </c>
      <c r="I10" s="129">
        <f>F10/H10</f>
        <v/>
      </c>
      <c r="J10" s="170" t="n"/>
      <c r="M10" s="171" t="n"/>
      <c r="N10" s="14">
        <f>O9</f>
        <v/>
      </c>
      <c r="O10" s="26" t="n">
        <v>6933</v>
      </c>
      <c r="P10" s="7">
        <f>O10-N10</f>
        <v/>
      </c>
      <c r="R10" s="17">
        <f>R9+1</f>
        <v/>
      </c>
      <c r="S10" s="148" t="inlineStr">
        <is>
          <t xml:space="preserve">DAY </t>
        </is>
      </c>
      <c r="T10" s="13">
        <f>U9</f>
        <v/>
      </c>
      <c r="U10" s="8" t="n">
        <v>612</v>
      </c>
      <c r="V10" s="11">
        <f>U10-T10</f>
        <v/>
      </c>
      <c r="W10" s="130" t="n">
        <v>250</v>
      </c>
      <c r="X10" s="133" t="n">
        <v>605</v>
      </c>
      <c r="Y10" s="127">
        <f>X10-X8</f>
        <v/>
      </c>
      <c r="Z10" s="129">
        <f>W10/Y10</f>
        <v/>
      </c>
      <c r="AA10" s="18" t="n"/>
      <c r="AB10" s="18" t="n"/>
      <c r="AC10" s="19" t="n"/>
      <c r="AD10" s="27" t="n"/>
      <c r="AE10" s="14">
        <f>AF9</f>
        <v/>
      </c>
      <c r="AF10" s="26" t="n">
        <v>5996</v>
      </c>
      <c r="AG10" s="7">
        <f>AF10-AE10</f>
        <v/>
      </c>
    </row>
    <row r="11">
      <c r="A11" s="17">
        <f>A10</f>
        <v/>
      </c>
      <c r="B11" s="148" t="inlineStr">
        <is>
          <t>NIGHT</t>
        </is>
      </c>
      <c r="C11" s="13">
        <f>D10</f>
        <v/>
      </c>
      <c r="D11" s="8" t="n">
        <v>672</v>
      </c>
      <c r="E11" s="11">
        <f>D11-C11</f>
        <v/>
      </c>
      <c r="F11" s="128" t="n"/>
      <c r="G11" s="132" t="n"/>
      <c r="H11" s="128" t="n"/>
      <c r="I11" s="128" t="n"/>
      <c r="J11" s="132" t="n"/>
      <c r="K11" s="167" t="n"/>
      <c r="L11" s="167" t="n"/>
      <c r="M11" s="168" t="n"/>
      <c r="N11" s="14">
        <f>O10</f>
        <v/>
      </c>
      <c r="O11" s="26" t="n">
        <v>7071</v>
      </c>
      <c r="P11" s="7">
        <f>O11-N11</f>
        <v/>
      </c>
      <c r="R11" s="17">
        <f>R10</f>
        <v/>
      </c>
      <c r="S11" s="148" t="inlineStr">
        <is>
          <t>NIGHT</t>
        </is>
      </c>
      <c r="T11" s="13">
        <f>U10</f>
        <v/>
      </c>
      <c r="U11" s="8" t="n">
        <v>619</v>
      </c>
      <c r="V11" s="11">
        <f>U11-T11</f>
        <v/>
      </c>
      <c r="W11" s="128" t="n"/>
      <c r="X11" s="132" t="n"/>
      <c r="Y11" s="128" t="n"/>
      <c r="Z11" s="128" t="n"/>
      <c r="AA11" s="28" t="n"/>
      <c r="AB11" s="28" t="n"/>
      <c r="AC11" s="22" t="n"/>
      <c r="AD11" s="27" t="n"/>
      <c r="AE11" s="14">
        <f>AF10</f>
        <v/>
      </c>
      <c r="AF11" s="26" t="n">
        <v>6053</v>
      </c>
      <c r="AG11" s="7">
        <f>AF11-AE11</f>
        <v/>
      </c>
    </row>
    <row r="12">
      <c r="A12" s="17">
        <f>A11+1</f>
        <v/>
      </c>
      <c r="B12" s="148" t="inlineStr">
        <is>
          <t xml:space="preserve">DAY </t>
        </is>
      </c>
      <c r="C12" s="13" t="n">
        <v>10</v>
      </c>
      <c r="D12" s="8" t="n">
        <v>15</v>
      </c>
      <c r="E12" s="11">
        <f>D12-C12</f>
        <v/>
      </c>
      <c r="F12" s="130" t="n">
        <v>400</v>
      </c>
      <c r="G12" s="133" t="n">
        <v>12</v>
      </c>
      <c r="H12" s="127" t="n"/>
      <c r="I12" s="129" t="n"/>
      <c r="J12" s="164" t="inlineStr">
        <is>
          <t>NEW SANY (RST-08) MACHINE START ON 05-06-26</t>
        </is>
      </c>
      <c r="K12" s="165" t="n"/>
      <c r="L12" s="165" t="n"/>
      <c r="M12" s="166" t="n"/>
      <c r="N12" s="14" t="n">
        <v>24</v>
      </c>
      <c r="O12" s="8" t="n">
        <v>52</v>
      </c>
      <c r="P12" s="7">
        <f>O12-N12</f>
        <v/>
      </c>
      <c r="R12" s="17">
        <f>R11+1</f>
        <v/>
      </c>
      <c r="S12" s="148" t="inlineStr">
        <is>
          <t xml:space="preserve">DAY </t>
        </is>
      </c>
      <c r="T12" s="13">
        <f>U11</f>
        <v/>
      </c>
      <c r="U12" s="8" t="n">
        <v>630</v>
      </c>
      <c r="V12" s="11">
        <f>U12-T12</f>
        <v/>
      </c>
      <c r="W12" s="130" t="n">
        <v>200</v>
      </c>
      <c r="X12" s="133" t="n">
        <v>626</v>
      </c>
      <c r="Y12" s="127">
        <f>X12-X10</f>
        <v/>
      </c>
      <c r="Z12" s="129">
        <f>W12/Y12</f>
        <v/>
      </c>
      <c r="AA12" s="28" t="n"/>
      <c r="AB12" s="28" t="n"/>
      <c r="AC12" s="22" t="n"/>
      <c r="AD12" s="23" t="n"/>
      <c r="AE12" s="14">
        <f>AF11</f>
        <v/>
      </c>
      <c r="AF12" s="8" t="n">
        <v>6169</v>
      </c>
      <c r="AG12" s="7">
        <f>AF12-AE12</f>
        <v/>
      </c>
    </row>
    <row r="13">
      <c r="A13" s="17">
        <f>A12</f>
        <v/>
      </c>
      <c r="B13" s="148" t="inlineStr">
        <is>
          <t>NIGHT</t>
        </is>
      </c>
      <c r="C13" s="13">
        <f>D12</f>
        <v/>
      </c>
      <c r="D13" s="8" t="n">
        <v>24</v>
      </c>
      <c r="E13" s="11">
        <f>D13-C13</f>
        <v/>
      </c>
      <c r="F13" s="128" t="n"/>
      <c r="G13" s="132" t="n"/>
      <c r="H13" s="128" t="n"/>
      <c r="I13" s="128" t="n"/>
      <c r="J13" s="132" t="n"/>
      <c r="K13" s="167" t="n"/>
      <c r="L13" s="167" t="n"/>
      <c r="M13" s="168" t="n"/>
      <c r="N13" s="14">
        <f>O12</f>
        <v/>
      </c>
      <c r="O13" s="8" t="n">
        <v>153</v>
      </c>
      <c r="P13" s="7">
        <f>O13-N13</f>
        <v/>
      </c>
      <c r="R13" s="17">
        <f>R12</f>
        <v/>
      </c>
      <c r="S13" s="148" t="inlineStr">
        <is>
          <t>NIGHT</t>
        </is>
      </c>
      <c r="T13" s="13">
        <f>U12</f>
        <v/>
      </c>
      <c r="U13" s="8" t="n">
        <v>639</v>
      </c>
      <c r="V13" s="11">
        <f>U13-T13</f>
        <v/>
      </c>
      <c r="W13" s="128" t="n"/>
      <c r="X13" s="132" t="n"/>
      <c r="Y13" s="128" t="n"/>
      <c r="Z13" s="128" t="n"/>
      <c r="AA13" s="29" t="n"/>
      <c r="AB13" s="18" t="n"/>
      <c r="AC13" s="22" t="n"/>
      <c r="AD13" s="23" t="n"/>
      <c r="AE13" s="14">
        <f>AF12</f>
        <v/>
      </c>
      <c r="AF13" s="8" t="n">
        <v>6258</v>
      </c>
      <c r="AG13" s="7">
        <f>AF13-AE13</f>
        <v/>
      </c>
    </row>
    <row r="14">
      <c r="A14" s="17">
        <f>A13+1</f>
        <v/>
      </c>
      <c r="B14" s="148" t="inlineStr">
        <is>
          <t xml:space="preserve">DAY </t>
        </is>
      </c>
      <c r="C14" s="13">
        <f>D13</f>
        <v/>
      </c>
      <c r="D14" s="8" t="n">
        <v>34</v>
      </c>
      <c r="E14" s="21">
        <f>D14-C14</f>
        <v/>
      </c>
      <c r="F14" s="130" t="n">
        <v>220</v>
      </c>
      <c r="G14" s="133" t="n">
        <v>26</v>
      </c>
      <c r="H14" s="148">
        <f>G14-G12</f>
        <v/>
      </c>
      <c r="I14" s="129">
        <f>F14/H14</f>
        <v/>
      </c>
      <c r="J14" s="18" t="n"/>
      <c r="K14" s="18" t="n"/>
      <c r="L14" s="22" t="n"/>
      <c r="M14" s="23" t="n"/>
      <c r="N14" s="14">
        <f>O13</f>
        <v/>
      </c>
      <c r="O14" s="8" t="n">
        <v>271</v>
      </c>
      <c r="P14" s="7">
        <f>O14-N14</f>
        <v/>
      </c>
      <c r="R14" s="17">
        <f>R13+1</f>
        <v/>
      </c>
      <c r="S14" s="148" t="inlineStr">
        <is>
          <t xml:space="preserve">DAY </t>
        </is>
      </c>
      <c r="T14" s="13">
        <f>U13</f>
        <v/>
      </c>
      <c r="U14" s="8" t="n">
        <v>647</v>
      </c>
      <c r="V14" s="21">
        <f>U14-T14</f>
        <v/>
      </c>
      <c r="W14" s="138" t="n">
        <v>200</v>
      </c>
      <c r="X14" s="133" t="n">
        <v>641</v>
      </c>
      <c r="Y14" s="127">
        <f>X14-X12</f>
        <v/>
      </c>
      <c r="Z14" s="129">
        <f>W14/Y14</f>
        <v/>
      </c>
      <c r="AA14" s="30" t="n"/>
      <c r="AB14" s="28" t="n"/>
      <c r="AC14" s="22" t="n"/>
      <c r="AD14" s="23" t="n"/>
      <c r="AE14" s="14">
        <f>AF13</f>
        <v/>
      </c>
      <c r="AF14" s="8" t="n">
        <v>6345</v>
      </c>
      <c r="AG14" s="7">
        <f>AF14-AE14</f>
        <v/>
      </c>
    </row>
    <row r="15">
      <c r="A15" s="17">
        <f>A14</f>
        <v/>
      </c>
      <c r="B15" s="148" t="inlineStr">
        <is>
          <t>NIGHT</t>
        </is>
      </c>
      <c r="C15" s="13">
        <f>D14</f>
        <v/>
      </c>
      <c r="D15" s="8" t="n">
        <v>44</v>
      </c>
      <c r="E15" s="21">
        <f>D15-C15</f>
        <v/>
      </c>
      <c r="F15" s="128" t="n"/>
      <c r="G15" s="132" t="n"/>
      <c r="H15" s="128" t="n"/>
      <c r="I15" s="128" t="n"/>
      <c r="J15" s="18" t="n"/>
      <c r="K15" s="18" t="n"/>
      <c r="L15" s="22" t="n"/>
      <c r="M15" s="23" t="n"/>
      <c r="N15" s="14">
        <f>O14</f>
        <v/>
      </c>
      <c r="O15" s="8" t="n">
        <v>369</v>
      </c>
      <c r="P15" s="7">
        <f>O15-N15</f>
        <v/>
      </c>
      <c r="R15" s="17">
        <f>R14</f>
        <v/>
      </c>
      <c r="S15" s="148" t="inlineStr">
        <is>
          <t>NIGHT</t>
        </is>
      </c>
      <c r="T15" s="13">
        <f>U14</f>
        <v/>
      </c>
      <c r="U15" s="8" t="n">
        <v>654</v>
      </c>
      <c r="V15" s="21">
        <f>U15-T15</f>
        <v/>
      </c>
      <c r="W15" s="128" t="n"/>
      <c r="X15" s="132" t="n"/>
      <c r="Y15" s="128" t="n"/>
      <c r="Z15" s="128" t="n"/>
      <c r="AA15" s="29" t="n"/>
      <c r="AB15" s="18" t="n"/>
      <c r="AC15" s="22" t="n"/>
      <c r="AD15" s="23" t="n"/>
      <c r="AE15" s="14">
        <f>AF14</f>
        <v/>
      </c>
      <c r="AF15" s="8" t="n">
        <v>6423</v>
      </c>
      <c r="AG15" s="7">
        <f>AF15-AE15</f>
        <v/>
      </c>
    </row>
    <row r="16">
      <c r="A16" s="17">
        <f>A15+1</f>
        <v/>
      </c>
      <c r="B16" s="148" t="inlineStr">
        <is>
          <t xml:space="preserve">DAY </t>
        </is>
      </c>
      <c r="C16" s="13">
        <f>D15</f>
        <v/>
      </c>
      <c r="D16" s="8" t="n">
        <v>51</v>
      </c>
      <c r="E16" s="21">
        <f>D16-C16</f>
        <v/>
      </c>
      <c r="F16" s="130" t="n">
        <v>210</v>
      </c>
      <c r="G16" s="133" t="n">
        <v>47</v>
      </c>
      <c r="H16" s="148">
        <f>G16-G14</f>
        <v/>
      </c>
      <c r="I16" s="129">
        <f>F16/H16</f>
        <v/>
      </c>
      <c r="J16" s="18" t="n"/>
      <c r="K16" s="18" t="n"/>
      <c r="L16" s="22" t="n"/>
      <c r="M16" s="23" t="n"/>
      <c r="N16" s="14">
        <f>O15</f>
        <v/>
      </c>
      <c r="O16" s="8" t="n">
        <v>446</v>
      </c>
      <c r="P16" s="26">
        <f>O16-N16</f>
        <v/>
      </c>
      <c r="R16" s="17">
        <f>R15+1</f>
        <v/>
      </c>
      <c r="S16" s="148" t="inlineStr">
        <is>
          <t xml:space="preserve">DAY </t>
        </is>
      </c>
      <c r="T16" s="13">
        <f>U15</f>
        <v/>
      </c>
      <c r="U16" s="8" t="n">
        <v>662</v>
      </c>
      <c r="V16" s="21">
        <f>U16-T16</f>
        <v/>
      </c>
      <c r="W16" s="130" t="n">
        <v>190</v>
      </c>
      <c r="X16" s="133" t="n">
        <v>657</v>
      </c>
      <c r="Y16" s="127">
        <f>X16-X14</f>
        <v/>
      </c>
      <c r="Z16" s="129">
        <f>W16/Y16</f>
        <v/>
      </c>
      <c r="AA16" s="30" t="n"/>
      <c r="AB16" s="28" t="n"/>
      <c r="AC16" s="22" t="n"/>
      <c r="AD16" s="23" t="n"/>
      <c r="AE16" s="14">
        <f>AF15</f>
        <v/>
      </c>
      <c r="AF16" s="8" t="n">
        <v>6508</v>
      </c>
      <c r="AG16" s="26">
        <f>AF16-AE16</f>
        <v/>
      </c>
    </row>
    <row r="17">
      <c r="A17" s="17">
        <f>A16</f>
        <v/>
      </c>
      <c r="B17" s="148" t="inlineStr">
        <is>
          <t>NIGHT</t>
        </is>
      </c>
      <c r="C17" s="13">
        <f>D16</f>
        <v/>
      </c>
      <c r="D17" s="8" t="n">
        <v>62</v>
      </c>
      <c r="E17" s="21">
        <f>D17-C17</f>
        <v/>
      </c>
      <c r="F17" s="128" t="n"/>
      <c r="G17" s="132" t="n"/>
      <c r="H17" s="128" t="n"/>
      <c r="I17" s="128" t="n"/>
      <c r="J17" s="18" t="n"/>
      <c r="K17" s="18" t="n"/>
      <c r="L17" s="22" t="n"/>
      <c r="M17" s="23" t="n"/>
      <c r="N17" s="14">
        <f>O16</f>
        <v/>
      </c>
      <c r="O17" s="8" t="n">
        <v>535</v>
      </c>
      <c r="P17" s="26">
        <f>O17-N17</f>
        <v/>
      </c>
      <c r="R17" s="17">
        <f>R16</f>
        <v/>
      </c>
      <c r="S17" s="148" t="inlineStr">
        <is>
          <t>NIGHT</t>
        </is>
      </c>
      <c r="T17" s="13">
        <f>U16</f>
        <v/>
      </c>
      <c r="U17" s="148" t="n">
        <v>671</v>
      </c>
      <c r="V17" s="21">
        <f>U17-T17</f>
        <v/>
      </c>
      <c r="W17" s="128" t="n"/>
      <c r="X17" s="132" t="n"/>
      <c r="Y17" s="128" t="n"/>
      <c r="Z17" s="128" t="n"/>
      <c r="AA17" s="28" t="n"/>
      <c r="AB17" s="28" t="n"/>
      <c r="AC17" s="22" t="n"/>
      <c r="AD17" s="23" t="n"/>
      <c r="AE17" s="14">
        <f>AF16</f>
        <v/>
      </c>
      <c r="AF17" s="148" t="n">
        <v>6617</v>
      </c>
      <c r="AG17" s="26">
        <f>AF17-AE17</f>
        <v/>
      </c>
    </row>
    <row r="18">
      <c r="A18" s="17">
        <f>A17+1</f>
        <v/>
      </c>
      <c r="B18" s="148" t="inlineStr">
        <is>
          <t xml:space="preserve">DAY </t>
        </is>
      </c>
      <c r="C18" s="13">
        <f>D17</f>
        <v/>
      </c>
      <c r="D18" s="8" t="n">
        <v>71</v>
      </c>
      <c r="E18" s="21">
        <f>D18-C18</f>
        <v/>
      </c>
      <c r="F18" s="130" t="n">
        <v>180</v>
      </c>
      <c r="G18" s="133" t="n">
        <v>69</v>
      </c>
      <c r="H18" s="148">
        <f>G18-G16</f>
        <v/>
      </c>
      <c r="I18" s="129">
        <f>F18/H18</f>
        <v/>
      </c>
      <c r="J18" s="18" t="n"/>
      <c r="K18" s="18" t="n"/>
      <c r="L18" s="22" t="n"/>
      <c r="M18" s="23" t="n"/>
      <c r="N18" s="14">
        <f>O17</f>
        <v/>
      </c>
      <c r="O18" s="8" t="n">
        <v>636</v>
      </c>
      <c r="P18" s="26">
        <f>O18-N18</f>
        <v/>
      </c>
      <c r="R18" s="17">
        <f>R17+1</f>
        <v/>
      </c>
      <c r="S18" s="148" t="inlineStr">
        <is>
          <t xml:space="preserve">DAY </t>
        </is>
      </c>
      <c r="T18" s="13">
        <f>U17</f>
        <v/>
      </c>
      <c r="U18" s="8" t="n">
        <v>682</v>
      </c>
      <c r="V18" s="21">
        <f>U18-T18</f>
        <v/>
      </c>
      <c r="W18" s="130" t="n">
        <v>220</v>
      </c>
      <c r="X18" s="133" t="n">
        <v>677</v>
      </c>
      <c r="Y18" s="127">
        <f>X18-X16</f>
        <v/>
      </c>
      <c r="Z18" s="129">
        <f>W18/Y18</f>
        <v/>
      </c>
      <c r="AA18" s="28" t="n"/>
      <c r="AB18" s="28" t="n"/>
      <c r="AC18" s="22" t="n"/>
      <c r="AD18" s="23" t="n"/>
      <c r="AE18" s="14">
        <f>AF17</f>
        <v/>
      </c>
      <c r="AF18" s="8" t="n">
        <v>6788</v>
      </c>
      <c r="AG18" s="26">
        <f>AF18-AE18</f>
        <v/>
      </c>
    </row>
    <row r="19">
      <c r="A19" s="17">
        <f>A18</f>
        <v/>
      </c>
      <c r="B19" s="148" t="inlineStr">
        <is>
          <t>NIGHT</t>
        </is>
      </c>
      <c r="C19" s="13">
        <f>D18</f>
        <v/>
      </c>
      <c r="D19" s="8" t="n">
        <v>76</v>
      </c>
      <c r="E19" s="21">
        <f>D19-C19</f>
        <v/>
      </c>
      <c r="F19" s="128" t="n"/>
      <c r="G19" s="132" t="n"/>
      <c r="H19" s="128" t="n"/>
      <c r="I19" s="128" t="n"/>
      <c r="J19" s="18" t="n"/>
      <c r="K19" s="18" t="n"/>
      <c r="L19" s="22" t="n"/>
      <c r="M19" s="23" t="n"/>
      <c r="N19" s="14">
        <f>O18</f>
        <v/>
      </c>
      <c r="O19" s="8" t="n">
        <v>702</v>
      </c>
      <c r="P19" s="26">
        <f>O19-N19</f>
        <v/>
      </c>
      <c r="R19" s="17">
        <f>R18</f>
        <v/>
      </c>
      <c r="S19" s="148" t="inlineStr">
        <is>
          <t>NIGHT</t>
        </is>
      </c>
      <c r="T19" s="13">
        <f>U18</f>
        <v/>
      </c>
      <c r="U19" s="8" t="n">
        <v>688</v>
      </c>
      <c r="V19" s="21">
        <f>U19-T19</f>
        <v/>
      </c>
      <c r="W19" s="128" t="n"/>
      <c r="X19" s="132" t="n"/>
      <c r="Y19" s="128" t="n"/>
      <c r="Z19" s="128" t="n"/>
      <c r="AA19" s="28" t="n"/>
      <c r="AB19" s="28" t="n"/>
      <c r="AC19" s="22" t="n"/>
      <c r="AD19" s="23" t="n"/>
      <c r="AE19" s="14">
        <f>AF18</f>
        <v/>
      </c>
      <c r="AF19" s="8" t="n">
        <v>6860</v>
      </c>
      <c r="AG19" s="26">
        <f>AF19-AE19</f>
        <v/>
      </c>
    </row>
    <row r="20">
      <c r="A20" s="17">
        <f>A19+1</f>
        <v/>
      </c>
      <c r="B20" s="148" t="inlineStr">
        <is>
          <t xml:space="preserve">DAY </t>
        </is>
      </c>
      <c r="C20" s="13">
        <f>D19</f>
        <v/>
      </c>
      <c r="D20" s="8" t="n">
        <v>83</v>
      </c>
      <c r="E20" s="21">
        <f>D20-C20</f>
        <v/>
      </c>
      <c r="F20" s="138" t="n">
        <v>150</v>
      </c>
      <c r="G20" s="131" t="n">
        <v>76</v>
      </c>
      <c r="H20" s="148">
        <f>G20-G16</f>
        <v/>
      </c>
      <c r="I20" s="129">
        <f>F20/H20</f>
        <v/>
      </c>
      <c r="J20" s="18" t="n"/>
      <c r="K20" s="18" t="n"/>
      <c r="L20" s="22" t="n"/>
      <c r="M20" s="23" t="n"/>
      <c r="N20" s="14">
        <f>O19</f>
        <v/>
      </c>
      <c r="O20" s="13" t="n">
        <v>747</v>
      </c>
      <c r="P20" s="26">
        <f>O20-N20</f>
        <v/>
      </c>
      <c r="R20" s="17">
        <f>R19+1</f>
        <v/>
      </c>
      <c r="S20" s="148" t="inlineStr">
        <is>
          <t xml:space="preserve">DAY </t>
        </is>
      </c>
      <c r="T20" s="13">
        <f>U19</f>
        <v/>
      </c>
      <c r="U20" s="13" t="n">
        <v>698</v>
      </c>
      <c r="V20" s="21">
        <f>U20-T20</f>
        <v/>
      </c>
      <c r="W20" s="130" t="n">
        <v>190</v>
      </c>
      <c r="X20" s="131" t="n">
        <v>691</v>
      </c>
      <c r="Y20" s="127">
        <f>X20-X18</f>
        <v/>
      </c>
      <c r="Z20" s="129">
        <f>W20/Y20</f>
        <v/>
      </c>
      <c r="AA20" s="25" t="n"/>
      <c r="AB20" s="25" t="n"/>
      <c r="AC20" s="15" t="n"/>
      <c r="AD20" s="16" t="n"/>
      <c r="AE20" s="14">
        <f>AF19</f>
        <v/>
      </c>
      <c r="AF20" s="13" t="n">
        <v>6966</v>
      </c>
      <c r="AG20" s="26">
        <f>AF20-AE20</f>
        <v/>
      </c>
    </row>
    <row r="21">
      <c r="A21" s="17">
        <f>A20</f>
        <v/>
      </c>
      <c r="B21" s="148" t="inlineStr">
        <is>
          <t>NIGHT</t>
        </is>
      </c>
      <c r="C21" s="13">
        <f>D20</f>
        <v/>
      </c>
      <c r="D21" s="13" t="n">
        <v>89</v>
      </c>
      <c r="E21" s="21">
        <f>D21-C21</f>
        <v/>
      </c>
      <c r="F21" s="128" t="n"/>
      <c r="G21" s="132" t="n"/>
      <c r="H21" s="128" t="n"/>
      <c r="I21" s="128" t="n"/>
      <c r="J21" s="18" t="n"/>
      <c r="K21" s="18" t="n"/>
      <c r="L21" s="22" t="n"/>
      <c r="M21" s="23" t="n"/>
      <c r="N21" s="14">
        <f>O20</f>
        <v/>
      </c>
      <c r="O21" s="13" t="n">
        <v>787</v>
      </c>
      <c r="P21" s="26">
        <f>O21-N21</f>
        <v/>
      </c>
      <c r="R21" s="17">
        <f>R20</f>
        <v/>
      </c>
      <c r="S21" s="148" t="inlineStr">
        <is>
          <t>NIGHT</t>
        </is>
      </c>
      <c r="T21" s="13">
        <f>U20</f>
        <v/>
      </c>
      <c r="U21" s="13" t="n">
        <v>700</v>
      </c>
      <c r="V21" s="21">
        <f>U21-T21</f>
        <v/>
      </c>
      <c r="W21" s="128" t="n"/>
      <c r="X21" s="132" t="n"/>
      <c r="Y21" s="128" t="n"/>
      <c r="Z21" s="128" t="n"/>
      <c r="AA21" s="25" t="n"/>
      <c r="AB21" s="25" t="n"/>
      <c r="AC21" s="15" t="n"/>
      <c r="AD21" s="16" t="n"/>
      <c r="AE21" s="14">
        <f>AF20</f>
        <v/>
      </c>
      <c r="AF21" s="13" t="n">
        <v>6976</v>
      </c>
      <c r="AG21" s="26">
        <f>AF21-AE21</f>
        <v/>
      </c>
    </row>
    <row r="22">
      <c r="A22" s="17">
        <f>A21+1</f>
        <v/>
      </c>
      <c r="B22" s="148" t="inlineStr">
        <is>
          <t xml:space="preserve">DAY </t>
        </is>
      </c>
      <c r="C22" s="13">
        <f>D21</f>
        <v/>
      </c>
      <c r="D22" s="13" t="n">
        <v>98</v>
      </c>
      <c r="E22" s="21">
        <f>D22-C22</f>
        <v/>
      </c>
      <c r="F22" s="130" t="n">
        <v>160</v>
      </c>
      <c r="G22" s="133" t="n">
        <v>91</v>
      </c>
      <c r="H22" s="148">
        <f>G22-G20</f>
        <v/>
      </c>
      <c r="I22" s="129">
        <f>F22/H22</f>
        <v/>
      </c>
      <c r="J22" s="18" t="n"/>
      <c r="K22" s="18" t="n"/>
      <c r="L22" s="22" t="n"/>
      <c r="M22" s="23" t="n"/>
      <c r="N22" s="14">
        <f>O21</f>
        <v/>
      </c>
      <c r="O22" s="13" t="n">
        <v>862</v>
      </c>
      <c r="P22" s="26">
        <f>O22-N22</f>
        <v/>
      </c>
      <c r="R22" s="17">
        <f>R21+1</f>
        <v/>
      </c>
      <c r="S22" s="148" t="inlineStr">
        <is>
          <t xml:space="preserve">DAY </t>
        </is>
      </c>
      <c r="T22" s="13">
        <f>U21</f>
        <v/>
      </c>
      <c r="U22" s="8" t="n">
        <v>704</v>
      </c>
      <c r="V22" s="21">
        <f>U22-T22</f>
        <v/>
      </c>
      <c r="W22" s="130" t="n">
        <v>70</v>
      </c>
      <c r="X22" s="133" t="n">
        <v>700</v>
      </c>
      <c r="Y22" s="127">
        <f>X22-X20</f>
        <v/>
      </c>
      <c r="Z22" s="129">
        <f>W22/Y22</f>
        <v/>
      </c>
      <c r="AA22" s="28" t="n"/>
      <c r="AB22" s="28" t="n"/>
      <c r="AC22" s="22" t="n"/>
      <c r="AD22" s="23" t="n"/>
      <c r="AE22" s="14">
        <f>AF21</f>
        <v/>
      </c>
      <c r="AF22" s="8" t="n">
        <v>6997</v>
      </c>
      <c r="AG22" s="26">
        <f>AF22-AE22</f>
        <v/>
      </c>
    </row>
    <row r="23">
      <c r="A23" s="17">
        <f>A22</f>
        <v/>
      </c>
      <c r="B23" s="148" t="inlineStr">
        <is>
          <t>NIGHT</t>
        </is>
      </c>
      <c r="C23" s="13">
        <f>D22</f>
        <v/>
      </c>
      <c r="D23" s="8" t="n">
        <v>102</v>
      </c>
      <c r="E23" s="21">
        <f>D23-C23</f>
        <v/>
      </c>
      <c r="F23" s="128" t="n"/>
      <c r="G23" s="132" t="n"/>
      <c r="H23" s="128" t="n"/>
      <c r="I23" s="128" t="n"/>
      <c r="J23" s="18" t="n"/>
      <c r="K23" s="18" t="n"/>
      <c r="L23" s="22" t="n"/>
      <c r="M23" s="23" t="n"/>
      <c r="N23" s="14">
        <f>O22</f>
        <v/>
      </c>
      <c r="O23" s="8" t="n">
        <v>906</v>
      </c>
      <c r="P23" s="26">
        <f>O23-N23</f>
        <v/>
      </c>
      <c r="R23" s="17">
        <f>R22</f>
        <v/>
      </c>
      <c r="S23" s="148" t="inlineStr">
        <is>
          <t>NIGHT</t>
        </is>
      </c>
      <c r="T23" s="13">
        <f>U22</f>
        <v/>
      </c>
      <c r="U23" s="8" t="n">
        <v>713</v>
      </c>
      <c r="V23" s="21">
        <f>U23-T23</f>
        <v/>
      </c>
      <c r="W23" s="128" t="n"/>
      <c r="X23" s="132" t="n"/>
      <c r="Y23" s="128" t="n"/>
      <c r="Z23" s="128" t="n"/>
      <c r="AA23" s="28" t="n"/>
      <c r="AB23" s="28" t="n"/>
      <c r="AC23" s="22" t="n"/>
      <c r="AD23" s="23" t="n"/>
      <c r="AE23" s="14">
        <f>AF22</f>
        <v/>
      </c>
      <c r="AF23" s="8" t="n">
        <v>7090</v>
      </c>
      <c r="AG23" s="26">
        <f>AF23-AE23</f>
        <v/>
      </c>
    </row>
    <row r="24">
      <c r="A24" s="17">
        <f>A23+1</f>
        <v/>
      </c>
      <c r="B24" s="148" t="inlineStr">
        <is>
          <t xml:space="preserve">DAY </t>
        </is>
      </c>
      <c r="C24" s="13">
        <f>D23</f>
        <v/>
      </c>
      <c r="D24" s="8" t="n">
        <v>112</v>
      </c>
      <c r="E24" s="21">
        <f>D24-C24</f>
        <v/>
      </c>
      <c r="F24" s="130" t="n">
        <v>110</v>
      </c>
      <c r="G24" s="133" t="n">
        <v>108</v>
      </c>
      <c r="H24" s="148">
        <f>G24-G22</f>
        <v/>
      </c>
      <c r="I24" s="129">
        <f>F24/H24</f>
        <v/>
      </c>
      <c r="J24" s="18" t="n"/>
      <c r="K24" s="18" t="n"/>
      <c r="L24" s="22" t="n"/>
      <c r="M24" s="23" t="n"/>
      <c r="N24" s="14">
        <f>O23</f>
        <v/>
      </c>
      <c r="O24" s="8" t="n">
        <v>1009</v>
      </c>
      <c r="P24" s="26">
        <f>O24-N24</f>
        <v/>
      </c>
      <c r="R24" s="17">
        <f>R23+1</f>
        <v/>
      </c>
      <c r="S24" s="148" t="inlineStr">
        <is>
          <t xml:space="preserve">DAY </t>
        </is>
      </c>
      <c r="T24" s="13">
        <f>U23</f>
        <v/>
      </c>
      <c r="U24" s="8" t="n">
        <v>720</v>
      </c>
      <c r="V24" s="21">
        <f>U24-T24</f>
        <v/>
      </c>
      <c r="W24" s="130" t="n">
        <v>130</v>
      </c>
      <c r="X24" s="133" t="n">
        <v>716</v>
      </c>
      <c r="Y24" s="127">
        <f>X24-X22</f>
        <v/>
      </c>
      <c r="Z24" s="129">
        <f>W24/Y24</f>
        <v/>
      </c>
      <c r="AA24" s="28" t="n"/>
      <c r="AB24" s="28" t="n"/>
      <c r="AC24" s="22" t="n"/>
      <c r="AD24" s="23" t="n"/>
      <c r="AE24" s="14">
        <f>AF23</f>
        <v/>
      </c>
      <c r="AF24" s="8" t="n">
        <v>7123</v>
      </c>
      <c r="AG24" s="26">
        <f>AF24-AE24</f>
        <v/>
      </c>
    </row>
    <row r="25">
      <c r="A25" s="17">
        <f>A24</f>
        <v/>
      </c>
      <c r="B25" s="148" t="inlineStr">
        <is>
          <t>NIGHT</t>
        </is>
      </c>
      <c r="C25" s="13">
        <f>D24</f>
        <v/>
      </c>
      <c r="D25" s="8" t="n">
        <v>117</v>
      </c>
      <c r="E25" s="21">
        <f>D25-C25</f>
        <v/>
      </c>
      <c r="F25" s="128" t="n"/>
      <c r="G25" s="132" t="n"/>
      <c r="H25" s="128" t="n"/>
      <c r="I25" s="128" t="n"/>
      <c r="J25" s="18" t="n"/>
      <c r="K25" s="18" t="n"/>
      <c r="L25" s="22" t="n"/>
      <c r="M25" s="23" t="n"/>
      <c r="N25" s="14">
        <f>O24</f>
        <v/>
      </c>
      <c r="O25" s="8" t="n">
        <v>1058</v>
      </c>
      <c r="P25" s="26">
        <f>O25-N25</f>
        <v/>
      </c>
      <c r="R25" s="17">
        <f>R24</f>
        <v/>
      </c>
      <c r="S25" s="148" t="inlineStr">
        <is>
          <t>NIGHT</t>
        </is>
      </c>
      <c r="T25" s="13">
        <f>U24</f>
        <v/>
      </c>
      <c r="U25" s="8" t="n">
        <v>729</v>
      </c>
      <c r="V25" s="21">
        <f>U25-T25</f>
        <v/>
      </c>
      <c r="W25" s="128" t="n"/>
      <c r="X25" s="132" t="n"/>
      <c r="Y25" s="128" t="n"/>
      <c r="Z25" s="128" t="n"/>
      <c r="AA25" s="28" t="n"/>
      <c r="AB25" s="28" t="n"/>
      <c r="AC25" s="22" t="n"/>
      <c r="AD25" s="23" t="n"/>
      <c r="AE25" s="14">
        <f>AF24</f>
        <v/>
      </c>
      <c r="AF25" s="8" t="n">
        <v>7232</v>
      </c>
      <c r="AG25" s="26">
        <f>AF25-AE25</f>
        <v/>
      </c>
    </row>
    <row r="26">
      <c r="A26" s="17">
        <f>A25+1</f>
        <v/>
      </c>
      <c r="B26" s="148" t="inlineStr">
        <is>
          <t xml:space="preserve">DAY </t>
        </is>
      </c>
      <c r="C26" s="13">
        <f>D25</f>
        <v/>
      </c>
      <c r="D26" s="127" t="n">
        <v>128</v>
      </c>
      <c r="E26" s="21">
        <f>D26-C26</f>
        <v/>
      </c>
      <c r="F26" s="134" t="n">
        <v>190</v>
      </c>
      <c r="G26" s="131" t="n">
        <v>122</v>
      </c>
      <c r="H26" s="148">
        <f>G26-G24</f>
        <v/>
      </c>
      <c r="I26" s="129">
        <f>F26/H26</f>
        <v/>
      </c>
      <c r="J26" s="18" t="n"/>
      <c r="K26" s="18" t="n"/>
      <c r="L26" s="22" t="n"/>
      <c r="M26" s="23" t="n"/>
      <c r="N26" s="14">
        <f>O25</f>
        <v/>
      </c>
      <c r="O26" s="127" t="n">
        <v>1132</v>
      </c>
      <c r="P26" s="26">
        <f>O26-N26</f>
        <v/>
      </c>
      <c r="R26" s="17">
        <f>R25+1</f>
        <v/>
      </c>
      <c r="S26" s="148" t="inlineStr">
        <is>
          <t xml:space="preserve">DAY </t>
        </is>
      </c>
      <c r="T26" s="13">
        <f>U25</f>
        <v/>
      </c>
      <c r="U26" s="127" t="n">
        <v>739</v>
      </c>
      <c r="V26" s="21">
        <f>U26-T26</f>
        <v/>
      </c>
      <c r="W26" s="134" t="n">
        <v>170</v>
      </c>
      <c r="X26" s="131" t="n">
        <v>733</v>
      </c>
      <c r="Y26" s="127">
        <f>X26-X24</f>
        <v/>
      </c>
      <c r="Z26" s="129">
        <f>W26/Y26</f>
        <v/>
      </c>
      <c r="AA26" s="9" t="n"/>
      <c r="AB26" s="9" t="n"/>
      <c r="AC26" s="15" t="n"/>
      <c r="AD26" s="16" t="n"/>
      <c r="AE26" s="14">
        <f>AF25</f>
        <v/>
      </c>
      <c r="AF26" s="127" t="n">
        <v>7353</v>
      </c>
      <c r="AG26" s="26">
        <f>AF26-AE26</f>
        <v/>
      </c>
    </row>
    <row r="27">
      <c r="A27" s="17">
        <f>A26</f>
        <v/>
      </c>
      <c r="B27" s="148" t="inlineStr">
        <is>
          <t>NIGHT</t>
        </is>
      </c>
      <c r="C27" s="13">
        <f>D26</f>
        <v/>
      </c>
      <c r="D27" s="127" t="n">
        <v>135</v>
      </c>
      <c r="E27" s="21">
        <f>D27-C27</f>
        <v/>
      </c>
      <c r="F27" s="128" t="n"/>
      <c r="G27" s="132" t="n"/>
      <c r="H27" s="128" t="n"/>
      <c r="I27" s="128" t="n"/>
      <c r="J27" s="18" t="n"/>
      <c r="K27" s="18" t="n"/>
      <c r="L27" s="22" t="n"/>
      <c r="M27" s="23" t="n"/>
      <c r="N27" s="14">
        <f>O26</f>
        <v/>
      </c>
      <c r="O27" s="127" t="n">
        <v>1181</v>
      </c>
      <c r="P27" s="26">
        <f>O27-N27</f>
        <v/>
      </c>
      <c r="R27" s="17">
        <f>R26</f>
        <v/>
      </c>
      <c r="S27" s="148" t="inlineStr">
        <is>
          <t>NIGHT</t>
        </is>
      </c>
      <c r="T27" s="13">
        <f>U26</f>
        <v/>
      </c>
      <c r="U27" s="127" t="n">
        <v>749</v>
      </c>
      <c r="V27" s="21">
        <f>U27-T27</f>
        <v/>
      </c>
      <c r="W27" s="128" t="n"/>
      <c r="X27" s="132" t="n"/>
      <c r="Y27" s="128" t="n"/>
      <c r="Z27" s="128" t="n"/>
      <c r="AA27" s="9" t="n"/>
      <c r="AB27" s="9" t="n"/>
      <c r="AC27" s="15" t="n"/>
      <c r="AD27" s="16" t="n"/>
      <c r="AE27" s="14">
        <f>AF26</f>
        <v/>
      </c>
      <c r="AF27" s="127" t="n">
        <v>7465</v>
      </c>
      <c r="AG27" s="26">
        <f>AF27-AE27</f>
        <v/>
      </c>
    </row>
    <row r="28">
      <c r="A28" s="17">
        <f>A27+1</f>
        <v/>
      </c>
      <c r="B28" s="148" t="inlineStr">
        <is>
          <t xml:space="preserve">DAY </t>
        </is>
      </c>
      <c r="C28" s="13">
        <f>D27</f>
        <v/>
      </c>
      <c r="D28" s="8" t="n">
        <v>143</v>
      </c>
      <c r="E28" s="21">
        <f>D28-C28</f>
        <v/>
      </c>
      <c r="F28" s="130" t="n">
        <v>200</v>
      </c>
      <c r="G28" s="133" t="n">
        <v>138</v>
      </c>
      <c r="H28" s="148">
        <f>G28-G26</f>
        <v/>
      </c>
      <c r="I28" s="129">
        <f>F28/H28</f>
        <v/>
      </c>
      <c r="J28" s="18" t="n"/>
      <c r="K28" s="18" t="n"/>
      <c r="L28" s="22" t="n"/>
      <c r="M28" s="23" t="n"/>
      <c r="N28" s="14">
        <f>O27</f>
        <v/>
      </c>
      <c r="O28" s="8" t="n">
        <v>1329</v>
      </c>
      <c r="P28" s="26">
        <f>O28-N28</f>
        <v/>
      </c>
      <c r="R28" s="17">
        <f>R27+1</f>
        <v/>
      </c>
      <c r="S28" s="148" t="inlineStr">
        <is>
          <t xml:space="preserve">DAY </t>
        </is>
      </c>
      <c r="T28" s="13">
        <f>U27</f>
        <v/>
      </c>
      <c r="U28" s="8" t="n">
        <v>757</v>
      </c>
      <c r="V28" s="21">
        <f>U28-T28</f>
        <v/>
      </c>
      <c r="W28" s="130" t="n">
        <v>220</v>
      </c>
      <c r="X28" s="133" t="n">
        <v>751</v>
      </c>
      <c r="Y28" s="127">
        <f>X28-X26</f>
        <v/>
      </c>
      <c r="Z28" s="129">
        <f>W28/Y28</f>
        <v/>
      </c>
      <c r="AA28" s="28" t="n"/>
      <c r="AB28" s="28" t="n"/>
      <c r="AC28" s="22" t="n"/>
      <c r="AD28" s="23" t="n"/>
      <c r="AE28" s="14">
        <f>AF27</f>
        <v/>
      </c>
      <c r="AF28" s="8" t="n">
        <v>7578</v>
      </c>
      <c r="AG28" s="26">
        <f>AF28-AE28</f>
        <v/>
      </c>
    </row>
    <row r="29">
      <c r="A29" s="17">
        <f>A28</f>
        <v/>
      </c>
      <c r="B29" s="148" t="inlineStr">
        <is>
          <t>NIGHT</t>
        </is>
      </c>
      <c r="C29" s="13">
        <f>D28</f>
        <v/>
      </c>
      <c r="D29" s="8" t="n">
        <v>154</v>
      </c>
      <c r="E29" s="21">
        <f>D29-C29</f>
        <v/>
      </c>
      <c r="F29" s="128" t="n"/>
      <c r="G29" s="132" t="n"/>
      <c r="H29" s="128" t="n"/>
      <c r="I29" s="128" t="n"/>
      <c r="J29" s="18" t="n"/>
      <c r="K29" s="18" t="n"/>
      <c r="L29" s="22" t="n"/>
      <c r="M29" s="23" t="n"/>
      <c r="N29" s="14">
        <f>O28</f>
        <v/>
      </c>
      <c r="O29" s="8" t="n">
        <v>1431</v>
      </c>
      <c r="P29" s="26">
        <f>O29-N29</f>
        <v/>
      </c>
      <c r="R29" s="17">
        <f>R28</f>
        <v/>
      </c>
      <c r="S29" s="148" t="inlineStr">
        <is>
          <t>NIGHT</t>
        </is>
      </c>
      <c r="T29" s="13">
        <f>U28</f>
        <v/>
      </c>
      <c r="U29" s="8" t="n">
        <v>767</v>
      </c>
      <c r="V29" s="21">
        <f>U29-T29</f>
        <v/>
      </c>
      <c r="W29" s="128" t="n"/>
      <c r="X29" s="132" t="n"/>
      <c r="Y29" s="128" t="n"/>
      <c r="Z29" s="128" t="n"/>
      <c r="AA29" s="18" t="n"/>
      <c r="AB29" s="18" t="n"/>
      <c r="AC29" s="22" t="n"/>
      <c r="AD29" s="23" t="n"/>
      <c r="AE29" s="14">
        <f>AF28</f>
        <v/>
      </c>
      <c r="AF29" s="8" t="n">
        <v>7670</v>
      </c>
      <c r="AG29" s="26">
        <f>AF29-AE29</f>
        <v/>
      </c>
    </row>
    <row r="30">
      <c r="A30" s="17">
        <f>A29+1</f>
        <v/>
      </c>
      <c r="B30" s="148" t="inlineStr">
        <is>
          <t xml:space="preserve">DAY </t>
        </is>
      </c>
      <c r="C30" s="13">
        <f>D29</f>
        <v/>
      </c>
      <c r="D30" s="8" t="n">
        <v>162</v>
      </c>
      <c r="E30" s="21">
        <f>D30-C30</f>
        <v/>
      </c>
      <c r="F30" s="130" t="n">
        <v>200</v>
      </c>
      <c r="G30" s="133" t="n">
        <v>158</v>
      </c>
      <c r="H30" s="148">
        <f>G30-G28</f>
        <v/>
      </c>
      <c r="I30" s="129">
        <f>F30/H30</f>
        <v/>
      </c>
      <c r="J30" s="18" t="n"/>
      <c r="K30" s="18" t="n"/>
      <c r="L30" s="22" t="n"/>
      <c r="M30" s="23" t="n"/>
      <c r="N30" s="14">
        <f>O29</f>
        <v/>
      </c>
      <c r="O30" s="8" t="n">
        <v>1554</v>
      </c>
      <c r="P30" s="26">
        <f>O30-N30</f>
        <v/>
      </c>
      <c r="R30" s="17">
        <f>R29+1</f>
        <v/>
      </c>
      <c r="S30" s="148" t="inlineStr">
        <is>
          <t xml:space="preserve">DAY </t>
        </is>
      </c>
      <c r="T30" s="13">
        <f>U29</f>
        <v/>
      </c>
      <c r="U30" s="8" t="n">
        <v>776</v>
      </c>
      <c r="V30" s="21">
        <f>U30-T30</f>
        <v/>
      </c>
      <c r="W30" s="130" t="n">
        <v>220</v>
      </c>
      <c r="X30" s="133" t="n">
        <v>770</v>
      </c>
      <c r="Y30" s="127">
        <f>X30-X28</f>
        <v/>
      </c>
      <c r="Z30" s="129">
        <f>W30/Y30</f>
        <v/>
      </c>
      <c r="AA30" s="18" t="n"/>
      <c r="AB30" s="18" t="n"/>
      <c r="AC30" s="22" t="n"/>
      <c r="AD30" s="23" t="n"/>
      <c r="AE30" s="14">
        <f>AF29</f>
        <v/>
      </c>
      <c r="AF30" s="8" t="n">
        <v>7801</v>
      </c>
      <c r="AG30" s="26">
        <f>AF30-AE30</f>
        <v/>
      </c>
    </row>
    <row r="31">
      <c r="A31" s="17">
        <f>A30</f>
        <v/>
      </c>
      <c r="B31" s="148" t="inlineStr">
        <is>
          <t>NIGHT</t>
        </is>
      </c>
      <c r="C31" s="13">
        <f>D30</f>
        <v/>
      </c>
      <c r="D31" s="8" t="n">
        <v>171</v>
      </c>
      <c r="E31" s="21">
        <f>D31-C31</f>
        <v/>
      </c>
      <c r="F31" s="128" t="n"/>
      <c r="G31" s="132" t="n"/>
      <c r="H31" s="128" t="n"/>
      <c r="I31" s="128" t="n"/>
      <c r="J31" s="18" t="n"/>
      <c r="K31" s="18" t="n"/>
      <c r="L31" s="22" t="n"/>
      <c r="M31" s="23" t="n"/>
      <c r="N31" s="14">
        <f>O30</f>
        <v/>
      </c>
      <c r="O31" s="8" t="n">
        <v>1636</v>
      </c>
      <c r="P31" s="26">
        <f>O31-N31</f>
        <v/>
      </c>
      <c r="R31" s="17">
        <f>R30</f>
        <v/>
      </c>
      <c r="S31" s="148" t="inlineStr">
        <is>
          <t>NIGHT</t>
        </is>
      </c>
      <c r="T31" s="13">
        <f>U30</f>
        <v/>
      </c>
      <c r="U31" s="8" t="n">
        <v>782</v>
      </c>
      <c r="V31" s="21">
        <f>U31-T31</f>
        <v/>
      </c>
      <c r="W31" s="128" t="n"/>
      <c r="X31" s="132" t="n"/>
      <c r="Y31" s="128" t="n"/>
      <c r="Z31" s="128" t="n"/>
      <c r="AA31" s="18" t="n"/>
      <c r="AB31" s="18" t="n"/>
      <c r="AC31" s="22" t="n"/>
      <c r="AD31" s="23" t="n"/>
      <c r="AE31" s="14">
        <f>AF30</f>
        <v/>
      </c>
      <c r="AF31" s="8" t="n">
        <v>7874</v>
      </c>
      <c r="AG31" s="26">
        <f>AF31-AE31</f>
        <v/>
      </c>
    </row>
    <row r="32">
      <c r="A32" s="17">
        <f>A31+1</f>
        <v/>
      </c>
      <c r="B32" s="127" t="inlineStr">
        <is>
          <t xml:space="preserve">DAY </t>
        </is>
      </c>
      <c r="C32" s="13">
        <f>D31</f>
        <v/>
      </c>
      <c r="D32" s="8" t="n">
        <v>180</v>
      </c>
      <c r="E32" s="11">
        <f>D32-C32</f>
        <v/>
      </c>
      <c r="F32" s="130" t="n">
        <v>150</v>
      </c>
      <c r="G32" s="133" t="n">
        <v>176</v>
      </c>
      <c r="H32" s="148">
        <f>G32-G30</f>
        <v/>
      </c>
      <c r="I32" s="129">
        <f>F32/H32</f>
        <v/>
      </c>
      <c r="J32" s="18" t="n"/>
      <c r="K32" s="18" t="n"/>
      <c r="L32" s="22" t="n"/>
      <c r="M32" s="23" t="n"/>
      <c r="N32" s="14">
        <f>O31</f>
        <v/>
      </c>
      <c r="O32" s="13" t="n">
        <v>1770</v>
      </c>
      <c r="P32" s="7">
        <f>O32-N32</f>
        <v/>
      </c>
      <c r="R32" s="17">
        <f>R31+1</f>
        <v/>
      </c>
      <c r="S32" s="127" t="inlineStr">
        <is>
          <t xml:space="preserve">DAY </t>
        </is>
      </c>
      <c r="T32" s="13">
        <f>U31</f>
        <v/>
      </c>
      <c r="U32" s="8" t="n">
        <v>791</v>
      </c>
      <c r="V32" s="11">
        <f>U32-T32</f>
        <v/>
      </c>
      <c r="W32" s="130" t="n">
        <v>120</v>
      </c>
      <c r="X32" s="133" t="n">
        <v>787</v>
      </c>
      <c r="Y32" s="127">
        <f>X32-X30</f>
        <v/>
      </c>
      <c r="Z32" s="129">
        <f>W32/Y32</f>
        <v/>
      </c>
      <c r="AA32" s="24" t="n"/>
      <c r="AB32" s="24" t="n"/>
      <c r="AC32" s="22" t="n"/>
      <c r="AD32" s="23" t="n"/>
      <c r="AE32" s="14">
        <f>AF31</f>
        <v/>
      </c>
      <c r="AF32" s="13" t="n">
        <v>7994</v>
      </c>
      <c r="AG32" s="7">
        <f>AF32-AE32</f>
        <v/>
      </c>
    </row>
    <row r="33">
      <c r="A33" s="17">
        <f>A32</f>
        <v/>
      </c>
      <c r="B33" s="127" t="inlineStr">
        <is>
          <t>NIGHT</t>
        </is>
      </c>
      <c r="C33" s="13">
        <f>D32</f>
        <v/>
      </c>
      <c r="D33" s="13" t="n">
        <v>190</v>
      </c>
      <c r="E33" s="11">
        <f>D33-C33</f>
        <v/>
      </c>
      <c r="F33" s="128" t="n"/>
      <c r="G33" s="132" t="n"/>
      <c r="H33" s="128" t="n"/>
      <c r="I33" s="128" t="n"/>
      <c r="J33" s="18" t="n"/>
      <c r="K33" s="18" t="n"/>
      <c r="L33" s="22" t="n"/>
      <c r="M33" s="23" t="n"/>
      <c r="N33" s="14">
        <f>O32</f>
        <v/>
      </c>
      <c r="O33" s="13" t="n">
        <v>1890</v>
      </c>
      <c r="P33" s="7">
        <f>O33-N33</f>
        <v/>
      </c>
      <c r="R33" s="17">
        <f>R32</f>
        <v/>
      </c>
      <c r="S33" s="127" t="inlineStr">
        <is>
          <t>NIGHT</t>
        </is>
      </c>
      <c r="T33" s="13">
        <f>U32</f>
        <v/>
      </c>
      <c r="U33" s="13" t="n">
        <v>801</v>
      </c>
      <c r="V33" s="11">
        <f>U33-T33</f>
        <v/>
      </c>
      <c r="W33" s="128" t="n"/>
      <c r="X33" s="132" t="n"/>
      <c r="Y33" s="128" t="n"/>
      <c r="Z33" s="128" t="n"/>
      <c r="AA33" s="25" t="n"/>
      <c r="AB33" s="25" t="n"/>
      <c r="AC33" s="15" t="n"/>
      <c r="AD33" s="16" t="n"/>
      <c r="AE33" s="14">
        <f>AF32</f>
        <v/>
      </c>
      <c r="AF33" s="13" t="n">
        <v>8113</v>
      </c>
      <c r="AG33" s="7">
        <f>AF33-AE33</f>
        <v/>
      </c>
    </row>
    <row r="34">
      <c r="A34" s="17">
        <f>A33+1</f>
        <v/>
      </c>
      <c r="B34" s="127" t="inlineStr">
        <is>
          <t xml:space="preserve">DAY </t>
        </is>
      </c>
      <c r="C34" s="13">
        <f>D33</f>
        <v/>
      </c>
      <c r="D34" s="13" t="n">
        <v>200</v>
      </c>
      <c r="E34" s="11">
        <f>D34-C34</f>
        <v/>
      </c>
      <c r="F34" s="130" t="n">
        <v>210</v>
      </c>
      <c r="G34" s="131" t="n">
        <v>193</v>
      </c>
      <c r="H34" s="148">
        <f>G34-G32</f>
        <v/>
      </c>
      <c r="I34" s="129">
        <f>F34/H34</f>
        <v/>
      </c>
      <c r="J34" s="18" t="n"/>
      <c r="K34" s="18" t="n"/>
      <c r="L34" s="22" t="n"/>
      <c r="M34" s="23" t="n"/>
      <c r="N34" s="14">
        <f>O33</f>
        <v/>
      </c>
      <c r="O34" s="13" t="n">
        <v>1955</v>
      </c>
      <c r="P34" s="7">
        <f>O34-N34</f>
        <v/>
      </c>
      <c r="R34" s="17">
        <f>R33+1</f>
        <v/>
      </c>
      <c r="S34" s="127" t="inlineStr">
        <is>
          <t xml:space="preserve">DAY </t>
        </is>
      </c>
      <c r="T34" s="13">
        <f>U33</f>
        <v/>
      </c>
      <c r="U34" s="13" t="n">
        <v>808</v>
      </c>
      <c r="V34" s="11">
        <f>U34-T34</f>
        <v/>
      </c>
      <c r="W34" s="130" t="n">
        <v>260</v>
      </c>
      <c r="X34" s="131" t="n">
        <v>804</v>
      </c>
      <c r="Y34" s="127">
        <f>X34-X32</f>
        <v/>
      </c>
      <c r="Z34" s="129">
        <f>W34/Y34</f>
        <v/>
      </c>
      <c r="AA34" s="24" t="n"/>
      <c r="AB34" s="24" t="n"/>
      <c r="AC34" s="22" t="n"/>
      <c r="AD34" s="23" t="n"/>
      <c r="AE34" s="14">
        <f>AF33</f>
        <v/>
      </c>
      <c r="AF34" s="13" t="n">
        <v>8171</v>
      </c>
      <c r="AG34" s="7">
        <f>AF34-AE34</f>
        <v/>
      </c>
    </row>
    <row r="35">
      <c r="A35" s="17">
        <f>A34</f>
        <v/>
      </c>
      <c r="B35" s="127" t="inlineStr">
        <is>
          <t>NIGHT</t>
        </is>
      </c>
      <c r="C35" s="13">
        <f>D34</f>
        <v/>
      </c>
      <c r="D35" s="13" t="n">
        <v>205</v>
      </c>
      <c r="E35" s="11">
        <f>D35-C35</f>
        <v/>
      </c>
      <c r="F35" s="128" t="n"/>
      <c r="G35" s="132" t="n"/>
      <c r="H35" s="128" t="n"/>
      <c r="I35" s="128" t="n"/>
      <c r="J35" s="18" t="n"/>
      <c r="K35" s="18" t="n"/>
      <c r="L35" s="22" t="n"/>
      <c r="M35" s="23" t="n"/>
      <c r="N35" s="14">
        <f>O34</f>
        <v/>
      </c>
      <c r="O35" s="13" t="n">
        <v>2010</v>
      </c>
      <c r="P35" s="7">
        <f>O35-N35</f>
        <v/>
      </c>
      <c r="R35" s="17">
        <f>R34</f>
        <v/>
      </c>
      <c r="S35" s="127" t="inlineStr">
        <is>
          <t>NIGHT</t>
        </is>
      </c>
      <c r="T35" s="13">
        <f>U34</f>
        <v/>
      </c>
      <c r="U35" s="13" t="n">
        <v>818</v>
      </c>
      <c r="V35" s="11">
        <f>U35-T35</f>
        <v/>
      </c>
      <c r="W35" s="128" t="n"/>
      <c r="X35" s="132" t="n"/>
      <c r="Y35" s="128" t="n"/>
      <c r="Z35" s="128" t="n"/>
      <c r="AA35" s="25" t="n"/>
      <c r="AB35" s="25" t="n"/>
      <c r="AC35" s="15" t="n"/>
      <c r="AD35" s="16" t="n"/>
      <c r="AE35" s="14">
        <f>AF34</f>
        <v/>
      </c>
      <c r="AF35" s="13" t="n">
        <v>8243</v>
      </c>
      <c r="AG35" s="7">
        <f>AF35-AE35</f>
        <v/>
      </c>
    </row>
    <row r="36">
      <c r="A36" s="17">
        <f>A35+1</f>
        <v/>
      </c>
      <c r="B36" s="127" t="inlineStr">
        <is>
          <t xml:space="preserve">DAY </t>
        </is>
      </c>
      <c r="C36" s="13">
        <f>D35</f>
        <v/>
      </c>
      <c r="D36" s="13" t="n">
        <v>216</v>
      </c>
      <c r="E36" s="11">
        <f>D36-C36</f>
        <v/>
      </c>
      <c r="F36" s="130" t="n">
        <v>130</v>
      </c>
      <c r="G36" s="131" t="n">
        <v>207</v>
      </c>
      <c r="H36" s="148">
        <f>G36-G34</f>
        <v/>
      </c>
      <c r="I36" s="129">
        <f>F36/H36</f>
        <v/>
      </c>
      <c r="J36" s="18" t="n"/>
      <c r="K36" s="18" t="n"/>
      <c r="L36" s="22" t="n"/>
      <c r="M36" s="23" t="n"/>
      <c r="N36" s="14">
        <f>O35</f>
        <v/>
      </c>
      <c r="O36" s="13" t="n">
        <v>2092</v>
      </c>
      <c r="P36" s="7">
        <f>O36-N36</f>
        <v/>
      </c>
      <c r="R36" s="17">
        <f>R35+1</f>
        <v/>
      </c>
      <c r="S36" s="127" t="inlineStr">
        <is>
          <t xml:space="preserve">DAY </t>
        </is>
      </c>
      <c r="T36" s="13">
        <f>U35</f>
        <v/>
      </c>
      <c r="U36" s="13" t="n">
        <v>826</v>
      </c>
      <c r="V36" s="11">
        <f>U36-T36</f>
        <v/>
      </c>
      <c r="W36" s="130" t="n">
        <v>150</v>
      </c>
      <c r="X36" s="131" t="n">
        <v>820</v>
      </c>
      <c r="Y36" s="127">
        <f>X36-X34</f>
        <v/>
      </c>
      <c r="Z36" s="129">
        <f>W36/Y36</f>
        <v/>
      </c>
      <c r="AA36" s="24" t="n"/>
      <c r="AB36" s="24" t="n"/>
      <c r="AC36" s="22" t="n"/>
      <c r="AD36" s="23" t="n"/>
      <c r="AE36" s="14">
        <f>AF35</f>
        <v/>
      </c>
      <c r="AF36" s="13" t="n">
        <v>8318</v>
      </c>
      <c r="AG36" s="7">
        <f>AF36-AE36</f>
        <v/>
      </c>
    </row>
    <row r="37">
      <c r="A37" s="17">
        <f>A36</f>
        <v/>
      </c>
      <c r="B37" s="127" t="inlineStr">
        <is>
          <t>NIGHT</t>
        </is>
      </c>
      <c r="C37" s="13">
        <f>D36</f>
        <v/>
      </c>
      <c r="D37" s="13" t="n">
        <v>222</v>
      </c>
      <c r="E37" s="11">
        <f>D37-C37</f>
        <v/>
      </c>
      <c r="F37" s="128" t="n"/>
      <c r="G37" s="132" t="n"/>
      <c r="H37" s="128" t="n"/>
      <c r="I37" s="128" t="n"/>
      <c r="J37" s="18" t="n"/>
      <c r="K37" s="18" t="n"/>
      <c r="L37" s="22" t="n"/>
      <c r="M37" s="23" t="n"/>
      <c r="N37" s="14">
        <f>O36</f>
        <v/>
      </c>
      <c r="O37" s="13" t="n">
        <v>2159</v>
      </c>
      <c r="P37" s="7">
        <f>O37-N37</f>
        <v/>
      </c>
      <c r="R37" s="17">
        <f>R36</f>
        <v/>
      </c>
      <c r="S37" s="127" t="inlineStr">
        <is>
          <t>NIGHT</t>
        </is>
      </c>
      <c r="T37" s="13">
        <f>U36</f>
        <v/>
      </c>
      <c r="U37" s="13" t="n">
        <v>835</v>
      </c>
      <c r="V37" s="11">
        <f>U37-T37</f>
        <v/>
      </c>
      <c r="W37" s="128" t="n"/>
      <c r="X37" s="132" t="n"/>
      <c r="Y37" s="128" t="n"/>
      <c r="Z37" s="128" t="n"/>
      <c r="AA37" s="25" t="n"/>
      <c r="AB37" s="25" t="n"/>
      <c r="AC37" s="15" t="n"/>
      <c r="AD37" s="16" t="n"/>
      <c r="AE37" s="14">
        <f>AF36</f>
        <v/>
      </c>
      <c r="AF37" s="7" t="n">
        <v>8427</v>
      </c>
      <c r="AG37" s="7">
        <f>AF37-AE37</f>
        <v/>
      </c>
    </row>
    <row r="38">
      <c r="A38" s="17">
        <f>A37+1</f>
        <v/>
      </c>
      <c r="B38" s="148" t="inlineStr">
        <is>
          <t xml:space="preserve">DAY </t>
        </is>
      </c>
      <c r="C38" s="13">
        <f>D37</f>
        <v/>
      </c>
      <c r="D38" s="8" t="n">
        <v>229</v>
      </c>
      <c r="E38" s="21">
        <f>D38-C38</f>
        <v/>
      </c>
      <c r="F38" s="131" t="n">
        <v>200</v>
      </c>
      <c r="G38" s="131" t="n">
        <v>225</v>
      </c>
      <c r="H38" s="148">
        <f>G38-G36</f>
        <v/>
      </c>
      <c r="I38" s="129">
        <f>F38/H38</f>
        <v/>
      </c>
      <c r="J38" s="18" t="n"/>
      <c r="K38" s="18" t="n"/>
      <c r="L38" s="22" t="n"/>
      <c r="M38" s="23" t="n"/>
      <c r="N38" s="14">
        <f>O37</f>
        <v/>
      </c>
      <c r="O38" s="26" t="n">
        <v>2243</v>
      </c>
      <c r="P38" s="26">
        <f>O38-N38</f>
        <v/>
      </c>
      <c r="R38" s="17">
        <f>R37+1</f>
        <v/>
      </c>
      <c r="S38" s="148" t="inlineStr">
        <is>
          <t xml:space="preserve">DAY </t>
        </is>
      </c>
      <c r="T38" s="13">
        <f>U37</f>
        <v/>
      </c>
      <c r="U38" s="8" t="n">
        <v>845</v>
      </c>
      <c r="V38" s="21">
        <f>U38-T38</f>
        <v/>
      </c>
      <c r="W38" s="130" t="n">
        <v>200</v>
      </c>
      <c r="X38" s="131" t="n">
        <v>839</v>
      </c>
      <c r="Y38" s="127">
        <f>X38-X36</f>
        <v/>
      </c>
      <c r="Z38" s="129">
        <f>W38/Y38</f>
        <v/>
      </c>
      <c r="AA38" s="25" t="n"/>
      <c r="AB38" s="25" t="n"/>
      <c r="AC38" s="22" t="n"/>
      <c r="AD38" s="23" t="n"/>
      <c r="AE38" s="14">
        <f>AF37</f>
        <v/>
      </c>
      <c r="AF38" s="26" t="n">
        <v>8559</v>
      </c>
      <c r="AG38" s="26">
        <f>AF38-AE38</f>
        <v/>
      </c>
    </row>
    <row r="39">
      <c r="A39" s="17">
        <f>A38</f>
        <v/>
      </c>
      <c r="B39" s="148" t="inlineStr">
        <is>
          <t>NIGHT</t>
        </is>
      </c>
      <c r="C39" s="13">
        <f>D38</f>
        <v/>
      </c>
      <c r="D39" s="8" t="n">
        <v>236</v>
      </c>
      <c r="E39" s="21">
        <f>D39-C39</f>
        <v/>
      </c>
      <c r="F39" s="132" t="n"/>
      <c r="G39" s="132" t="n"/>
      <c r="H39" s="128" t="n"/>
      <c r="I39" s="128" t="n"/>
      <c r="J39" s="18" t="n"/>
      <c r="K39" s="18" t="n"/>
      <c r="L39" s="22" t="n"/>
      <c r="M39" s="23" t="n"/>
      <c r="N39" s="14">
        <f>O38</f>
        <v/>
      </c>
      <c r="O39" s="26" t="n">
        <v>2327</v>
      </c>
      <c r="P39" s="26">
        <f>O39-N39</f>
        <v/>
      </c>
      <c r="R39" s="17">
        <f>R38</f>
        <v/>
      </c>
      <c r="S39" s="148" t="inlineStr">
        <is>
          <t>NIGHT</t>
        </is>
      </c>
      <c r="T39" s="13">
        <f>U38</f>
        <v/>
      </c>
      <c r="U39" s="8" t="n">
        <v>852</v>
      </c>
      <c r="V39" s="21">
        <f>U39-T39</f>
        <v/>
      </c>
      <c r="W39" s="128" t="n"/>
      <c r="X39" s="132" t="n"/>
      <c r="Y39" s="128" t="n"/>
      <c r="Z39" s="128" t="n"/>
      <c r="AA39" s="25" t="n"/>
      <c r="AB39" s="25" t="n"/>
      <c r="AC39" s="15" t="n"/>
      <c r="AD39" s="16" t="n"/>
      <c r="AE39" s="14">
        <f>AF38</f>
        <v/>
      </c>
      <c r="AF39" s="26" t="n">
        <v>8609</v>
      </c>
      <c r="AG39" s="26">
        <f>AF39-AE39</f>
        <v/>
      </c>
    </row>
    <row r="40">
      <c r="A40" s="17">
        <f>A39+1</f>
        <v/>
      </c>
      <c r="B40" s="148" t="inlineStr">
        <is>
          <t xml:space="preserve">DAY </t>
        </is>
      </c>
      <c r="C40" s="13">
        <f>D39</f>
        <v/>
      </c>
      <c r="D40" s="8" t="n">
        <v>243</v>
      </c>
      <c r="E40" s="21">
        <f>D40-C40</f>
        <v/>
      </c>
      <c r="F40" s="130" t="n">
        <v>210</v>
      </c>
      <c r="G40" s="133" t="n">
        <v>239</v>
      </c>
      <c r="H40" s="148">
        <f>G40-G38</f>
        <v/>
      </c>
      <c r="I40" s="129">
        <f>F40/H40</f>
        <v/>
      </c>
      <c r="J40" s="18" t="n"/>
      <c r="K40" s="18" t="n"/>
      <c r="L40" s="22" t="n"/>
      <c r="M40" s="23" t="n"/>
      <c r="N40" s="14">
        <f>O39</f>
        <v/>
      </c>
      <c r="O40" s="26" t="n">
        <v>2423</v>
      </c>
      <c r="P40" s="26">
        <f>O40-N40</f>
        <v/>
      </c>
      <c r="R40" s="17">
        <f>R39+1</f>
        <v/>
      </c>
      <c r="S40" s="148" t="inlineStr">
        <is>
          <t xml:space="preserve">DAY </t>
        </is>
      </c>
      <c r="T40" s="13">
        <f>U39</f>
        <v/>
      </c>
      <c r="U40" s="8" t="n">
        <v>858</v>
      </c>
      <c r="V40" s="21">
        <f>U40-T40</f>
        <v/>
      </c>
      <c r="W40" s="130" t="n">
        <v>150</v>
      </c>
      <c r="X40" s="133" t="n">
        <v>854</v>
      </c>
      <c r="Y40" s="127">
        <f>X40-X38</f>
        <v/>
      </c>
      <c r="Z40" s="129">
        <f>W40/Y40</f>
        <v/>
      </c>
      <c r="AA40" s="25" t="n"/>
      <c r="AB40" s="25" t="n"/>
      <c r="AC40" s="22" t="n"/>
      <c r="AD40" s="23" t="n"/>
      <c r="AE40" s="14">
        <f>AF39</f>
        <v/>
      </c>
      <c r="AF40" s="26" t="n">
        <v>8667</v>
      </c>
      <c r="AG40" s="26">
        <f>AF40-AE40</f>
        <v/>
      </c>
    </row>
    <row r="41">
      <c r="A41" s="17">
        <f>A40</f>
        <v/>
      </c>
      <c r="B41" s="148" t="inlineStr">
        <is>
          <t>NIGHT</t>
        </is>
      </c>
      <c r="C41" s="13">
        <f>D40</f>
        <v/>
      </c>
      <c r="D41" s="8" t="n">
        <v>249</v>
      </c>
      <c r="E41" s="21">
        <f>D41-C41</f>
        <v/>
      </c>
      <c r="F41" s="128" t="n"/>
      <c r="G41" s="132" t="n"/>
      <c r="H41" s="128" t="n"/>
      <c r="I41" s="128" t="n"/>
      <c r="J41" s="18" t="n"/>
      <c r="K41" s="18" t="n"/>
      <c r="L41" s="22" t="n"/>
      <c r="M41" s="23" t="n"/>
      <c r="N41" s="14">
        <f>O40</f>
        <v/>
      </c>
      <c r="O41" s="26" t="n">
        <v>2478</v>
      </c>
      <c r="P41" s="26">
        <f>O41-N41</f>
        <v/>
      </c>
      <c r="R41" s="17">
        <f>R40</f>
        <v/>
      </c>
      <c r="S41" s="148" t="inlineStr">
        <is>
          <t>NIGHT</t>
        </is>
      </c>
      <c r="T41" s="13">
        <f>U40</f>
        <v/>
      </c>
      <c r="U41" s="8" t="n">
        <v>866</v>
      </c>
      <c r="V41" s="21">
        <f>U41-T41</f>
        <v/>
      </c>
      <c r="W41" s="128" t="n"/>
      <c r="X41" s="132" t="n"/>
      <c r="Y41" s="128" t="n"/>
      <c r="Z41" s="128" t="n"/>
      <c r="AA41" s="28" t="n"/>
      <c r="AB41" s="28" t="n"/>
      <c r="AC41" s="22" t="n"/>
      <c r="AD41" s="23" t="n"/>
      <c r="AE41" s="14">
        <f>AF40</f>
        <v/>
      </c>
      <c r="AF41" s="26" t="n">
        <v>8718</v>
      </c>
      <c r="AG41" s="26">
        <f>AF41-AE41</f>
        <v/>
      </c>
    </row>
    <row r="42">
      <c r="A42" s="17">
        <f>A41+1</f>
        <v/>
      </c>
      <c r="B42" s="148" t="inlineStr">
        <is>
          <t xml:space="preserve">DAY </t>
        </is>
      </c>
      <c r="C42" s="13">
        <f>D41</f>
        <v/>
      </c>
      <c r="D42" s="8" t="n">
        <v>258</v>
      </c>
      <c r="E42" s="21">
        <f>D42-C42</f>
        <v/>
      </c>
      <c r="F42" s="130" t="n">
        <v>100</v>
      </c>
      <c r="G42" s="133" t="n">
        <v>249</v>
      </c>
      <c r="H42" s="148">
        <f>G42-G40</f>
        <v/>
      </c>
      <c r="I42" s="129">
        <f>F42/H42</f>
        <v/>
      </c>
      <c r="J42" s="18" t="n"/>
      <c r="K42" s="18" t="n"/>
      <c r="L42" s="22" t="n"/>
      <c r="M42" s="23" t="n"/>
      <c r="N42" s="14">
        <f>O41</f>
        <v/>
      </c>
      <c r="O42" s="26" t="n">
        <v>2660</v>
      </c>
      <c r="P42" s="26">
        <f>O42-N42</f>
        <v/>
      </c>
      <c r="R42" s="17">
        <f>R41+1</f>
        <v/>
      </c>
      <c r="S42" s="148" t="inlineStr">
        <is>
          <t xml:space="preserve">DAY </t>
        </is>
      </c>
      <c r="T42" s="13">
        <f>U41</f>
        <v/>
      </c>
      <c r="U42" s="8" t="n">
        <v>875</v>
      </c>
      <c r="V42" s="21">
        <f>U42-T42</f>
        <v/>
      </c>
      <c r="W42" s="130" t="n">
        <v>80</v>
      </c>
      <c r="X42" s="133" t="n">
        <v>867</v>
      </c>
      <c r="Y42" s="127">
        <f>X42-X40</f>
        <v/>
      </c>
      <c r="Z42" s="129">
        <f>W42/Y42</f>
        <v/>
      </c>
      <c r="AA42" s="28" t="n"/>
      <c r="AB42" s="28" t="n"/>
      <c r="AC42" s="22" t="n"/>
      <c r="AD42" s="23" t="n"/>
      <c r="AE42" s="14">
        <f>AF41</f>
        <v/>
      </c>
      <c r="AF42" s="26" t="n">
        <v>8879</v>
      </c>
      <c r="AG42" s="26">
        <f>AF42-AE42</f>
        <v/>
      </c>
    </row>
    <row r="43">
      <c r="A43" s="17">
        <f>A42</f>
        <v/>
      </c>
      <c r="B43" s="148" t="inlineStr">
        <is>
          <t>NIGHT</t>
        </is>
      </c>
      <c r="C43" s="13">
        <f>D42</f>
        <v/>
      </c>
      <c r="D43" s="8" t="n">
        <v>269</v>
      </c>
      <c r="E43" s="21">
        <f>D43-C43</f>
        <v/>
      </c>
      <c r="F43" s="128" t="n"/>
      <c r="G43" s="132" t="n"/>
      <c r="H43" s="128" t="n"/>
      <c r="I43" s="128" t="n"/>
      <c r="J43" s="18" t="n"/>
      <c r="K43" s="18" t="n"/>
      <c r="L43" s="22" t="n"/>
      <c r="M43" s="23" t="n"/>
      <c r="N43" s="14">
        <f>O42</f>
        <v/>
      </c>
      <c r="O43" s="26" t="n">
        <v>2779</v>
      </c>
      <c r="P43" s="26">
        <f>O43-N43</f>
        <v/>
      </c>
      <c r="R43" s="17">
        <f>R42</f>
        <v/>
      </c>
      <c r="S43" s="148" t="inlineStr">
        <is>
          <t>NIGHT</t>
        </is>
      </c>
      <c r="T43" s="13">
        <f>U42</f>
        <v/>
      </c>
      <c r="U43" s="8" t="n">
        <v>883</v>
      </c>
      <c r="V43" s="21">
        <f>U43-T43</f>
        <v/>
      </c>
      <c r="W43" s="128" t="n"/>
      <c r="X43" s="132" t="n"/>
      <c r="Y43" s="128" t="n"/>
      <c r="Z43" s="128" t="n"/>
      <c r="AA43" s="28" t="n"/>
      <c r="AB43" s="28" t="n"/>
      <c r="AC43" s="22" t="n"/>
      <c r="AD43" s="23" t="n"/>
      <c r="AE43" s="14">
        <f>AF42</f>
        <v/>
      </c>
      <c r="AF43" s="26" t="n">
        <v>8965</v>
      </c>
      <c r="AG43" s="26">
        <f>AF43-AE43</f>
        <v/>
      </c>
    </row>
    <row r="44">
      <c r="A44" s="17">
        <f>A43+1</f>
        <v/>
      </c>
      <c r="B44" s="148" t="inlineStr">
        <is>
          <t xml:space="preserve">DAY </t>
        </is>
      </c>
      <c r="C44" s="13">
        <f>D43</f>
        <v/>
      </c>
      <c r="D44" s="8" t="n">
        <v>279</v>
      </c>
      <c r="E44" s="21">
        <f>D44-C44</f>
        <v/>
      </c>
      <c r="F44" s="130" t="n">
        <v>250</v>
      </c>
      <c r="G44" s="133" t="n">
        <v>272</v>
      </c>
      <c r="H44" s="148">
        <f>G44-G42</f>
        <v/>
      </c>
      <c r="I44" s="129">
        <f>F44/H44</f>
        <v/>
      </c>
      <c r="J44" s="18" t="n"/>
      <c r="K44" s="18" t="n"/>
      <c r="L44" s="22" t="n"/>
      <c r="M44" s="23" t="n"/>
      <c r="N44" s="14">
        <f>O43</f>
        <v/>
      </c>
      <c r="O44" s="31" t="n">
        <v>2886</v>
      </c>
      <c r="P44" s="26">
        <f>O44-N44</f>
        <v/>
      </c>
      <c r="R44" s="17">
        <f>R43+1</f>
        <v/>
      </c>
      <c r="S44" s="148" t="inlineStr">
        <is>
          <t xml:space="preserve">DAY </t>
        </is>
      </c>
      <c r="T44" s="13">
        <f>U43</f>
        <v/>
      </c>
      <c r="U44" s="8" t="n">
        <v>893</v>
      </c>
      <c r="V44" s="21">
        <f>U44-T44</f>
        <v/>
      </c>
      <c r="W44" s="130" t="n">
        <v>230</v>
      </c>
      <c r="X44" s="133" t="n">
        <v>886</v>
      </c>
      <c r="Y44" s="127">
        <f>X44-X42</f>
        <v/>
      </c>
      <c r="Z44" s="129">
        <f>W44/Y44</f>
        <v/>
      </c>
      <c r="AA44" s="28" t="n"/>
      <c r="AB44" s="28" t="n"/>
      <c r="AC44" s="22" t="n"/>
      <c r="AD44" s="23" t="n"/>
      <c r="AE44" s="14">
        <f>AF43</f>
        <v/>
      </c>
      <c r="AF44" s="31" t="n">
        <v>9068</v>
      </c>
      <c r="AG44" s="26">
        <f>AF44-AE44</f>
        <v/>
      </c>
    </row>
    <row r="45">
      <c r="A45" s="17">
        <f>A44</f>
        <v/>
      </c>
      <c r="B45" s="148" t="inlineStr">
        <is>
          <t>NIGHT</t>
        </is>
      </c>
      <c r="C45" s="13">
        <f>D44</f>
        <v/>
      </c>
      <c r="D45" s="8" t="n">
        <v>287</v>
      </c>
      <c r="E45" s="21">
        <f>D45-C45</f>
        <v/>
      </c>
      <c r="F45" s="128" t="n"/>
      <c r="G45" s="132" t="n"/>
      <c r="H45" s="128" t="n"/>
      <c r="I45" s="128" t="n"/>
      <c r="J45" s="18" t="n"/>
      <c r="K45" s="18" t="n"/>
      <c r="L45" s="22" t="n"/>
      <c r="M45" s="23" t="n"/>
      <c r="N45" s="14">
        <f>O44</f>
        <v/>
      </c>
      <c r="O45" s="31" t="n">
        <v>3020</v>
      </c>
      <c r="P45" s="26">
        <f>O45-N45</f>
        <v/>
      </c>
      <c r="R45" s="17">
        <f>R44</f>
        <v/>
      </c>
      <c r="S45" s="148" t="inlineStr">
        <is>
          <t>NIGHT</t>
        </is>
      </c>
      <c r="T45" s="13">
        <f>U44</f>
        <v/>
      </c>
      <c r="U45" s="8" t="n">
        <v>899</v>
      </c>
      <c r="V45" s="21">
        <f>U45-T45</f>
        <v/>
      </c>
      <c r="W45" s="128" t="n"/>
      <c r="X45" s="132" t="n"/>
      <c r="Y45" s="128" t="n"/>
      <c r="Z45" s="128" t="n"/>
      <c r="AA45" s="28" t="n"/>
      <c r="AB45" s="28" t="n"/>
      <c r="AC45" s="22" t="n"/>
      <c r="AD45" s="23" t="n"/>
      <c r="AE45" s="14">
        <f>AF44</f>
        <v/>
      </c>
      <c r="AF45" s="31" t="n">
        <v>9133</v>
      </c>
      <c r="AG45" s="26">
        <f>AF45-AE45</f>
        <v/>
      </c>
    </row>
    <row r="46">
      <c r="A46" s="17">
        <f>A45+1</f>
        <v/>
      </c>
      <c r="B46" s="148" t="inlineStr">
        <is>
          <t xml:space="preserve">DAY </t>
        </is>
      </c>
      <c r="C46" s="13">
        <f>D45</f>
        <v/>
      </c>
      <c r="D46" s="8" t="n">
        <v>298</v>
      </c>
      <c r="E46" s="21">
        <f>D46-C46</f>
        <v/>
      </c>
      <c r="F46" s="130" t="n">
        <v>210</v>
      </c>
      <c r="G46" s="133" t="n">
        <v>291</v>
      </c>
      <c r="H46" s="148">
        <f>G46-G44</f>
        <v/>
      </c>
      <c r="I46" s="129">
        <f>F46/H46</f>
        <v/>
      </c>
      <c r="J46" s="18" t="n"/>
      <c r="K46" s="18" t="n"/>
      <c r="L46" s="22" t="n"/>
      <c r="M46" s="23" t="n"/>
      <c r="N46" s="14">
        <f>O45</f>
        <v/>
      </c>
      <c r="O46" s="31" t="n">
        <v>3140</v>
      </c>
      <c r="P46" s="26">
        <f>O46-N46</f>
        <v/>
      </c>
      <c r="R46" s="17">
        <f>R45+1</f>
        <v/>
      </c>
      <c r="S46" s="148" t="inlineStr">
        <is>
          <t xml:space="preserve">DAY </t>
        </is>
      </c>
      <c r="T46" s="13">
        <f>U45</f>
        <v/>
      </c>
      <c r="U46" s="8" t="n">
        <v>911</v>
      </c>
      <c r="V46" s="21">
        <f>U46-T46</f>
        <v/>
      </c>
      <c r="W46" s="130" t="n">
        <v>210</v>
      </c>
      <c r="X46" s="133" t="n">
        <v>904</v>
      </c>
      <c r="Y46" s="127">
        <f>X46-X44</f>
        <v/>
      </c>
      <c r="Z46" s="129">
        <f>W46/Y46</f>
        <v/>
      </c>
      <c r="AA46" s="28" t="n"/>
      <c r="AB46" s="28" t="n"/>
      <c r="AC46" s="22" t="n"/>
      <c r="AD46" s="23" t="n"/>
      <c r="AE46" s="14">
        <f>AF45</f>
        <v/>
      </c>
      <c r="AF46" s="31" t="n">
        <v>9317</v>
      </c>
      <c r="AG46" s="26">
        <f>AF46-AE46</f>
        <v/>
      </c>
    </row>
    <row r="47">
      <c r="A47" s="17">
        <f>A46</f>
        <v/>
      </c>
      <c r="B47" s="148" t="inlineStr">
        <is>
          <t>NIGHT</t>
        </is>
      </c>
      <c r="C47" s="13">
        <f>D46</f>
        <v/>
      </c>
      <c r="D47" s="8" t="n">
        <v>303</v>
      </c>
      <c r="E47" s="21">
        <f>D47-C47</f>
        <v/>
      </c>
      <c r="F47" s="128" t="n"/>
      <c r="G47" s="132" t="n"/>
      <c r="H47" s="128" t="n"/>
      <c r="I47" s="128" t="n"/>
      <c r="J47" s="18" t="n"/>
      <c r="K47" s="18" t="n"/>
      <c r="L47" s="22" t="n"/>
      <c r="M47" s="23" t="n"/>
      <c r="N47" s="14">
        <f>O46</f>
        <v/>
      </c>
      <c r="O47" s="31" t="n">
        <v>3235</v>
      </c>
      <c r="P47" s="26">
        <f>O47-N47</f>
        <v/>
      </c>
      <c r="R47" s="17">
        <f>R46</f>
        <v/>
      </c>
      <c r="S47" s="148" t="inlineStr">
        <is>
          <t>NIGHT</t>
        </is>
      </c>
      <c r="T47" s="13">
        <f>U46</f>
        <v/>
      </c>
      <c r="U47" s="8" t="n">
        <v>918</v>
      </c>
      <c r="V47" s="21">
        <f>U47-T47</f>
        <v/>
      </c>
      <c r="W47" s="128" t="n"/>
      <c r="X47" s="132" t="n"/>
      <c r="Y47" s="128" t="n"/>
      <c r="Z47" s="128" t="n"/>
      <c r="AA47" s="28" t="n"/>
      <c r="AB47" s="28" t="n"/>
      <c r="AC47" s="22" t="n"/>
      <c r="AD47" s="23" t="n"/>
      <c r="AE47" s="14">
        <f>AF46</f>
        <v/>
      </c>
      <c r="AF47" s="31" t="n">
        <v>9407</v>
      </c>
      <c r="AG47" s="26">
        <f>AF47-AE47</f>
        <v/>
      </c>
    </row>
    <row r="48">
      <c r="A48" s="17">
        <f>A47+1</f>
        <v/>
      </c>
      <c r="B48" s="148" t="inlineStr">
        <is>
          <t xml:space="preserve">DAY </t>
        </is>
      </c>
      <c r="C48" s="13">
        <f>D47</f>
        <v/>
      </c>
      <c r="D48" s="8" t="n">
        <v>312</v>
      </c>
      <c r="E48" s="21">
        <f>D48-C48</f>
        <v/>
      </c>
      <c r="F48" s="130" t="n">
        <v>180</v>
      </c>
      <c r="G48" s="133" t="n">
        <v>305</v>
      </c>
      <c r="H48" s="148">
        <f>G48-G46</f>
        <v/>
      </c>
      <c r="I48" s="129">
        <f>F48/H48</f>
        <v/>
      </c>
      <c r="J48" s="18" t="n"/>
      <c r="K48" s="18" t="n"/>
      <c r="L48" s="22" t="n"/>
      <c r="M48" s="23" t="n"/>
      <c r="N48" s="14">
        <f>O47</f>
        <v/>
      </c>
      <c r="O48" s="31" t="n">
        <v>3359</v>
      </c>
      <c r="P48" s="26">
        <f>O48-N48</f>
        <v/>
      </c>
      <c r="R48" s="17">
        <f>R47+1</f>
        <v/>
      </c>
      <c r="S48" s="148" t="inlineStr">
        <is>
          <t xml:space="preserve">DAY </t>
        </is>
      </c>
      <c r="T48" s="13">
        <f>U47</f>
        <v/>
      </c>
      <c r="U48" s="8" t="n">
        <v>929</v>
      </c>
      <c r="V48" s="21">
        <f>U48-T48</f>
        <v/>
      </c>
      <c r="W48" s="130" t="n">
        <v>180</v>
      </c>
      <c r="X48" s="133" t="n">
        <v>924</v>
      </c>
      <c r="Y48" s="127">
        <f>X48-X46</f>
        <v/>
      </c>
      <c r="Z48" s="129">
        <f>W48/Y48</f>
        <v/>
      </c>
      <c r="AA48" s="28" t="n"/>
      <c r="AB48" s="28" t="n"/>
      <c r="AC48" s="22" t="n"/>
      <c r="AD48" s="23" t="n"/>
      <c r="AE48" s="14">
        <f>AF47</f>
        <v/>
      </c>
      <c r="AF48" s="31" t="n">
        <v>9509</v>
      </c>
      <c r="AG48" s="26">
        <f>AF48-AE48</f>
        <v/>
      </c>
    </row>
    <row r="49">
      <c r="A49" s="17">
        <f>A48</f>
        <v/>
      </c>
      <c r="B49" s="148" t="inlineStr">
        <is>
          <t>NIGHT</t>
        </is>
      </c>
      <c r="C49" s="13">
        <f>D48</f>
        <v/>
      </c>
      <c r="D49" s="8" t="n">
        <v>322</v>
      </c>
      <c r="E49" s="21">
        <f>D49-C49</f>
        <v/>
      </c>
      <c r="F49" s="128" t="n"/>
      <c r="G49" s="132" t="n"/>
      <c r="H49" s="128" t="n"/>
      <c r="I49" s="128" t="n"/>
      <c r="J49" s="18" t="n"/>
      <c r="K49" s="18" t="n"/>
      <c r="L49" s="22" t="n"/>
      <c r="M49" s="23" t="n"/>
      <c r="N49" s="14">
        <f>O48</f>
        <v/>
      </c>
      <c r="O49" s="31" t="n">
        <v>3402</v>
      </c>
      <c r="P49" s="26">
        <f>O49-N49</f>
        <v/>
      </c>
      <c r="R49" s="17">
        <f>R48</f>
        <v/>
      </c>
      <c r="S49" s="148" t="inlineStr">
        <is>
          <t>NIGHT</t>
        </is>
      </c>
      <c r="T49" s="13">
        <f>U48</f>
        <v/>
      </c>
      <c r="U49" s="8" t="n">
        <v>934</v>
      </c>
      <c r="V49" s="21">
        <f>U49-T49</f>
        <v/>
      </c>
      <c r="W49" s="128" t="n"/>
      <c r="X49" s="132" t="n"/>
      <c r="Y49" s="128" t="n"/>
      <c r="Z49" s="128" t="n"/>
      <c r="AA49" s="28" t="n"/>
      <c r="AB49" s="28" t="n"/>
      <c r="AC49" s="22" t="n"/>
      <c r="AD49" s="23" t="n"/>
      <c r="AE49" s="14">
        <f>AF48</f>
        <v/>
      </c>
      <c r="AF49" s="31" t="n">
        <v>9566</v>
      </c>
      <c r="AG49" s="26">
        <f>AF49-AE49</f>
        <v/>
      </c>
    </row>
    <row r="50">
      <c r="A50" s="17">
        <f>A49+1</f>
        <v/>
      </c>
      <c r="B50" s="148" t="inlineStr">
        <is>
          <t xml:space="preserve">DAY </t>
        </is>
      </c>
      <c r="C50" s="13">
        <f>D49</f>
        <v/>
      </c>
      <c r="D50" s="8" t="n">
        <v>332</v>
      </c>
      <c r="E50" s="21">
        <f>D50-C50</f>
        <v/>
      </c>
      <c r="F50" s="130" t="n">
        <v>150</v>
      </c>
      <c r="G50" s="133" t="n">
        <v>327</v>
      </c>
      <c r="H50" s="148">
        <f>G50-G48</f>
        <v/>
      </c>
      <c r="I50" s="129">
        <f>F50/H50</f>
        <v/>
      </c>
      <c r="J50" s="18" t="n"/>
      <c r="K50" s="18" t="n"/>
      <c r="L50" s="22" t="n"/>
      <c r="M50" s="23" t="n"/>
      <c r="N50" s="14">
        <f>O49</f>
        <v/>
      </c>
      <c r="O50" s="31" t="n">
        <v>3502</v>
      </c>
      <c r="P50" s="26">
        <f>O50-N50</f>
        <v/>
      </c>
      <c r="R50" s="17">
        <f>R49+1</f>
        <v/>
      </c>
      <c r="S50" s="148" t="inlineStr">
        <is>
          <t xml:space="preserve">DAY </t>
        </is>
      </c>
      <c r="T50" s="13">
        <f>U49</f>
        <v/>
      </c>
      <c r="U50" s="8" t="n">
        <v>945</v>
      </c>
      <c r="V50" s="21">
        <f>U50-T50</f>
        <v/>
      </c>
      <c r="W50" s="130" t="n">
        <v>200</v>
      </c>
      <c r="X50" s="133" t="n">
        <v>939</v>
      </c>
      <c r="Y50" s="127">
        <f>X50-X48</f>
        <v/>
      </c>
      <c r="Z50" s="129">
        <f>W50/Y50</f>
        <v/>
      </c>
      <c r="AA50" s="28" t="n"/>
      <c r="AB50" s="28" t="n"/>
      <c r="AC50" s="22" t="n"/>
      <c r="AD50" s="23" t="n"/>
      <c r="AE50" s="14">
        <f>AF49</f>
        <v/>
      </c>
      <c r="AF50" s="31" t="n">
        <v>9705</v>
      </c>
      <c r="AG50" s="26">
        <f>AF50-AE50</f>
        <v/>
      </c>
    </row>
    <row r="51">
      <c r="A51" s="17">
        <f>A50</f>
        <v/>
      </c>
      <c r="B51" s="148" t="inlineStr">
        <is>
          <t>NIGHT</t>
        </is>
      </c>
      <c r="C51" s="13">
        <f>D50</f>
        <v/>
      </c>
      <c r="D51" s="8" t="n">
        <v>341</v>
      </c>
      <c r="E51" s="21">
        <f>D51-C51</f>
        <v/>
      </c>
      <c r="F51" s="128" t="n"/>
      <c r="G51" s="132" t="n"/>
      <c r="H51" s="128" t="n"/>
      <c r="I51" s="128" t="n"/>
      <c r="J51" s="18" t="n"/>
      <c r="K51" s="18" t="n"/>
      <c r="L51" s="22" t="n"/>
      <c r="M51" s="23" t="n"/>
      <c r="N51" s="14">
        <f>O50</f>
        <v/>
      </c>
      <c r="O51" s="31" t="n">
        <v>3587</v>
      </c>
      <c r="P51" s="26">
        <f>O51-N51</f>
        <v/>
      </c>
      <c r="R51" s="17">
        <f>R50</f>
        <v/>
      </c>
      <c r="S51" s="148" t="inlineStr">
        <is>
          <t>NIGHT</t>
        </is>
      </c>
      <c r="T51" s="13">
        <f>U50</f>
        <v/>
      </c>
      <c r="U51" s="8" t="n">
        <v>956</v>
      </c>
      <c r="V51" s="21">
        <f>U51-T51</f>
        <v/>
      </c>
      <c r="W51" s="128" t="n"/>
      <c r="X51" s="132" t="n"/>
      <c r="Y51" s="128" t="n"/>
      <c r="Z51" s="128" t="n"/>
      <c r="AA51" s="28" t="n"/>
      <c r="AB51" s="28" t="n"/>
      <c r="AC51" s="22" t="n"/>
      <c r="AD51" s="23" t="n"/>
      <c r="AE51" s="14">
        <f>AF50</f>
        <v/>
      </c>
      <c r="AF51" s="31" t="n">
        <v>9844</v>
      </c>
      <c r="AG51" s="26">
        <f>AF51-AE51</f>
        <v/>
      </c>
    </row>
    <row r="52">
      <c r="A52" s="17">
        <f>A51+1</f>
        <v/>
      </c>
      <c r="B52" s="148" t="inlineStr">
        <is>
          <t xml:space="preserve">DAY </t>
        </is>
      </c>
      <c r="C52" s="13">
        <f>D51</f>
        <v/>
      </c>
      <c r="D52" s="8" t="n">
        <v>352</v>
      </c>
      <c r="E52" s="21">
        <f>D52-C52</f>
        <v/>
      </c>
      <c r="F52" s="130" t="n">
        <v>190</v>
      </c>
      <c r="G52" s="133" t="n">
        <v>352</v>
      </c>
      <c r="H52" s="148">
        <f>G52-G50</f>
        <v/>
      </c>
      <c r="I52" s="129">
        <f>F52/H52</f>
        <v/>
      </c>
      <c r="J52" s="28" t="n"/>
      <c r="K52" s="28" t="n"/>
      <c r="L52" s="22" t="n"/>
      <c r="M52" s="23" t="n"/>
      <c r="N52" s="14">
        <f>O51</f>
        <v/>
      </c>
      <c r="O52" s="31" t="n">
        <v>3852</v>
      </c>
      <c r="P52" s="26">
        <f>O52-N52</f>
        <v/>
      </c>
      <c r="R52" s="17">
        <f>R51+1</f>
        <v/>
      </c>
      <c r="S52" s="148" t="inlineStr">
        <is>
          <t xml:space="preserve">DAY </t>
        </is>
      </c>
      <c r="T52" s="13">
        <f>U51</f>
        <v/>
      </c>
      <c r="U52" s="8" t="n">
        <v>967</v>
      </c>
      <c r="V52" s="21">
        <f>U52-T52</f>
        <v/>
      </c>
      <c r="W52" s="130" t="n">
        <v>210</v>
      </c>
      <c r="X52" s="133" t="n">
        <v>959</v>
      </c>
      <c r="Y52" s="127">
        <f>X52-X50</f>
        <v/>
      </c>
      <c r="Z52" s="129">
        <f>W52/Y52</f>
        <v/>
      </c>
      <c r="AA52" s="28" t="n"/>
      <c r="AB52" s="28" t="n"/>
      <c r="AC52" s="22" t="n"/>
      <c r="AD52" s="23" t="n"/>
      <c r="AE52" s="14">
        <f>AF51</f>
        <v/>
      </c>
      <c r="AF52" s="31" t="n">
        <v>10065</v>
      </c>
      <c r="AG52" s="26">
        <f>AF52-AE52</f>
        <v/>
      </c>
    </row>
    <row r="53">
      <c r="A53" s="17">
        <f>A52</f>
        <v/>
      </c>
      <c r="B53" s="148" t="inlineStr">
        <is>
          <t>NIGHT</t>
        </is>
      </c>
      <c r="C53" s="13">
        <f>D52</f>
        <v/>
      </c>
      <c r="D53" s="8" t="n">
        <v>359</v>
      </c>
      <c r="E53" s="21">
        <f>D53-C53</f>
        <v/>
      </c>
      <c r="F53" s="128" t="n"/>
      <c r="G53" s="132" t="n"/>
      <c r="H53" s="128" t="n"/>
      <c r="I53" s="128" t="n"/>
      <c r="J53" s="28" t="n"/>
      <c r="K53" s="28" t="n"/>
      <c r="L53" s="22" t="n"/>
      <c r="M53" s="23" t="n"/>
      <c r="N53" s="14">
        <f>O52</f>
        <v/>
      </c>
      <c r="O53" s="31" t="n">
        <v>3951</v>
      </c>
      <c r="P53" s="26">
        <f>O53-N53</f>
        <v/>
      </c>
      <c r="R53" s="17">
        <f>R52</f>
        <v/>
      </c>
      <c r="S53" s="148" t="inlineStr">
        <is>
          <t>NIGHT</t>
        </is>
      </c>
      <c r="T53" s="13">
        <f>U52</f>
        <v/>
      </c>
      <c r="U53" s="8" t="n">
        <v>973</v>
      </c>
      <c r="V53" s="21">
        <f>U53-T53</f>
        <v/>
      </c>
      <c r="W53" s="128" t="n"/>
      <c r="X53" s="132" t="n"/>
      <c r="Y53" s="128" t="n"/>
      <c r="Z53" s="128" t="n"/>
      <c r="AA53" s="28" t="n"/>
      <c r="AB53" s="28" t="n"/>
      <c r="AC53" s="22" t="n"/>
      <c r="AD53" s="23" t="n"/>
      <c r="AE53" s="14">
        <f>AF52</f>
        <v/>
      </c>
      <c r="AF53" s="31" t="n">
        <v>10161</v>
      </c>
      <c r="AG53" s="26">
        <f>AF53-AE53</f>
        <v/>
      </c>
    </row>
    <row r="54">
      <c r="A54" s="17">
        <f>A53+1</f>
        <v/>
      </c>
      <c r="B54" s="148" t="inlineStr">
        <is>
          <t xml:space="preserve">DAY </t>
        </is>
      </c>
      <c r="C54" s="13">
        <f>D53</f>
        <v/>
      </c>
      <c r="D54" s="8" t="n">
        <v>365</v>
      </c>
      <c r="E54" s="21">
        <f>D54-C54</f>
        <v/>
      </c>
      <c r="F54" s="130" t="n">
        <v>250</v>
      </c>
      <c r="G54" s="133" t="n">
        <v>365</v>
      </c>
      <c r="H54" s="148">
        <f>G54-G52</f>
        <v/>
      </c>
      <c r="I54" s="129">
        <f>F54/H54</f>
        <v/>
      </c>
      <c r="J54" s="28" t="n"/>
      <c r="K54" s="28" t="n"/>
      <c r="L54" s="22" t="n"/>
      <c r="M54" s="23" t="n"/>
      <c r="N54" s="14">
        <f>O53</f>
        <v/>
      </c>
      <c r="O54" s="31" t="n">
        <v>4035</v>
      </c>
      <c r="P54" s="26">
        <f>O54-N54</f>
        <v/>
      </c>
      <c r="R54" s="17">
        <f>R53+1</f>
        <v/>
      </c>
      <c r="S54" s="148" t="inlineStr">
        <is>
          <t xml:space="preserve">DAY </t>
        </is>
      </c>
      <c r="T54" s="13">
        <f>U53</f>
        <v/>
      </c>
      <c r="U54" s="8" t="n">
        <v>982</v>
      </c>
      <c r="V54" s="21">
        <f>U54-T54</f>
        <v/>
      </c>
      <c r="W54" s="130" t="n">
        <v>270</v>
      </c>
      <c r="X54" s="133" t="n">
        <v>980</v>
      </c>
      <c r="Y54" s="127">
        <f>X54-X52</f>
        <v/>
      </c>
      <c r="Z54" s="129">
        <f>W54/Y54</f>
        <v/>
      </c>
      <c r="AA54" s="28" t="n"/>
      <c r="AB54" s="28" t="n"/>
      <c r="AC54" s="22" t="n"/>
      <c r="AD54" s="23" t="n"/>
      <c r="AE54" s="14">
        <f>AF53</f>
        <v/>
      </c>
      <c r="AF54" s="31" t="n">
        <v>10361</v>
      </c>
      <c r="AG54" s="26">
        <f>AF54-AE54</f>
        <v/>
      </c>
    </row>
    <row r="55">
      <c r="A55" s="17">
        <f>A54</f>
        <v/>
      </c>
      <c r="B55" s="148" t="inlineStr">
        <is>
          <t>NIGHT</t>
        </is>
      </c>
      <c r="C55" s="13">
        <f>D54</f>
        <v/>
      </c>
      <c r="D55" s="8" t="n">
        <v>371</v>
      </c>
      <c r="E55" s="21">
        <f>D55-C55</f>
        <v/>
      </c>
      <c r="F55" s="128" t="n"/>
      <c r="G55" s="132" t="n"/>
      <c r="H55" s="128" t="n"/>
      <c r="I55" s="128" t="n"/>
      <c r="J55" s="28" t="n"/>
      <c r="K55" s="28" t="n"/>
      <c r="L55" s="22" t="n"/>
      <c r="M55" s="23" t="n"/>
      <c r="N55" s="14">
        <f>O54</f>
        <v/>
      </c>
      <c r="O55" s="31" t="n">
        <v>4119</v>
      </c>
      <c r="P55" s="26">
        <f>O55-N55</f>
        <v/>
      </c>
      <c r="R55" s="17">
        <f>R54</f>
        <v/>
      </c>
      <c r="S55" s="148" t="inlineStr">
        <is>
          <t>NIGHT</t>
        </is>
      </c>
      <c r="T55" s="13">
        <f>U54</f>
        <v/>
      </c>
      <c r="U55" s="8" t="n">
        <v>992</v>
      </c>
      <c r="V55" s="21">
        <f>U55-T55</f>
        <v/>
      </c>
      <c r="W55" s="128" t="n"/>
      <c r="X55" s="132" t="n"/>
      <c r="Y55" s="128" t="n"/>
      <c r="Z55" s="128" t="n"/>
      <c r="AA55" s="28" t="n"/>
      <c r="AB55" s="28" t="n"/>
      <c r="AC55" s="22" t="n"/>
      <c r="AD55" s="23" t="n"/>
      <c r="AE55" s="14">
        <f>AF54</f>
        <v/>
      </c>
      <c r="AF55" s="31" t="n">
        <v>10441</v>
      </c>
      <c r="AG55" s="26">
        <f>AF55-AE55</f>
        <v/>
      </c>
    </row>
    <row r="56">
      <c r="A56" s="17">
        <f>A55+1</f>
        <v/>
      </c>
      <c r="B56" s="148" t="inlineStr">
        <is>
          <t xml:space="preserve">DAY </t>
        </is>
      </c>
      <c r="C56" s="13">
        <f>D55</f>
        <v/>
      </c>
      <c r="D56" s="8" t="n">
        <v>381</v>
      </c>
      <c r="E56" s="21">
        <f>D56-C56</f>
        <v/>
      </c>
      <c r="F56" s="130" t="n">
        <v>100</v>
      </c>
      <c r="G56" s="133" t="n">
        <v>376</v>
      </c>
      <c r="H56" s="148">
        <f>G56-G52</f>
        <v/>
      </c>
      <c r="I56" s="154">
        <f>F56/H56</f>
        <v/>
      </c>
      <c r="J56" s="28" t="n"/>
      <c r="K56" s="28" t="n"/>
      <c r="L56" s="22" t="n"/>
      <c r="M56" s="23" t="n"/>
      <c r="N56" s="14">
        <f>O55</f>
        <v/>
      </c>
      <c r="O56" s="31" t="n">
        <v>4191</v>
      </c>
      <c r="P56" s="26">
        <f>O56-N56</f>
        <v/>
      </c>
      <c r="R56" s="17">
        <f>R55+1</f>
        <v/>
      </c>
      <c r="S56" s="148" t="inlineStr">
        <is>
          <t xml:space="preserve">DAY </t>
        </is>
      </c>
      <c r="T56" s="13">
        <f>U55</f>
        <v/>
      </c>
      <c r="U56" s="8" t="n">
        <v>1000</v>
      </c>
      <c r="V56" s="21">
        <f>U56-T56</f>
        <v/>
      </c>
      <c r="W56" s="130" t="n">
        <v>100</v>
      </c>
      <c r="X56" s="133" t="n">
        <v>996</v>
      </c>
      <c r="Y56" s="127">
        <f>X56-X54</f>
        <v/>
      </c>
      <c r="Z56" s="129">
        <f>W56/Y56</f>
        <v/>
      </c>
      <c r="AA56" s="28" t="n"/>
      <c r="AB56" s="28" t="n"/>
      <c r="AC56" s="22" t="n"/>
      <c r="AD56" s="23" t="n"/>
      <c r="AE56" s="14">
        <f>AF55</f>
        <v/>
      </c>
      <c r="AF56" s="31" t="n">
        <v>10500</v>
      </c>
      <c r="AG56" s="26">
        <f>AF56-AE56</f>
        <v/>
      </c>
    </row>
    <row r="57">
      <c r="A57" s="17">
        <f>A56</f>
        <v/>
      </c>
      <c r="B57" s="148" t="inlineStr">
        <is>
          <t>NIGHT</t>
        </is>
      </c>
      <c r="C57" s="13">
        <f>D56</f>
        <v/>
      </c>
      <c r="D57" s="8" t="n">
        <v>388</v>
      </c>
      <c r="E57" s="21">
        <f>D57-C57</f>
        <v/>
      </c>
      <c r="F57" s="128" t="n"/>
      <c r="G57" s="132" t="n"/>
      <c r="H57" s="128" t="n"/>
      <c r="I57" s="128" t="n"/>
      <c r="J57" s="28" t="n"/>
      <c r="K57" s="28" t="n"/>
      <c r="L57" s="22" t="n"/>
      <c r="M57" s="23" t="n"/>
      <c r="N57" s="14">
        <f>O56</f>
        <v/>
      </c>
      <c r="O57" s="31" t="n">
        <v>4281</v>
      </c>
      <c r="P57" s="26">
        <f>O57-N57</f>
        <v/>
      </c>
      <c r="R57" s="17">
        <f>R56</f>
        <v/>
      </c>
      <c r="S57" s="148" t="inlineStr">
        <is>
          <t>NIGHT</t>
        </is>
      </c>
      <c r="T57" s="13">
        <f>U56</f>
        <v/>
      </c>
      <c r="U57" s="8" t="n">
        <v>1005</v>
      </c>
      <c r="V57" s="21">
        <f>U57-T57</f>
        <v/>
      </c>
      <c r="W57" s="128" t="n"/>
      <c r="X57" s="132" t="n"/>
      <c r="Y57" s="128" t="n"/>
      <c r="Z57" s="128" t="n"/>
      <c r="AA57" s="28" t="n"/>
      <c r="AB57" s="28" t="n"/>
      <c r="AC57" s="22" t="n"/>
      <c r="AD57" s="23" t="n"/>
      <c r="AE57" s="14">
        <f>AF56</f>
        <v/>
      </c>
      <c r="AF57" s="31" t="n">
        <v>10533</v>
      </c>
      <c r="AG57" s="26">
        <f>AF57-AE57</f>
        <v/>
      </c>
    </row>
    <row r="58">
      <c r="A58" s="17">
        <f>A57+1</f>
        <v/>
      </c>
      <c r="B58" s="148" t="inlineStr">
        <is>
          <t xml:space="preserve">DAY </t>
        </is>
      </c>
      <c r="C58" s="13">
        <f>D57</f>
        <v/>
      </c>
      <c r="D58" s="8" t="n">
        <v>395</v>
      </c>
      <c r="E58" s="21">
        <f>D58-C58</f>
        <v/>
      </c>
      <c r="F58" s="130" t="n">
        <v>250</v>
      </c>
      <c r="G58" s="133" t="n">
        <v>391</v>
      </c>
      <c r="H58" s="148">
        <f>G58-G56</f>
        <v/>
      </c>
      <c r="I58" s="154">
        <f>F58/H58</f>
        <v/>
      </c>
      <c r="J58" s="28" t="n"/>
      <c r="K58" s="28" t="n"/>
      <c r="L58" s="22" t="n"/>
      <c r="M58" s="23" t="n"/>
      <c r="N58" s="14">
        <f>O57</f>
        <v/>
      </c>
      <c r="O58" s="31" t="n">
        <v>4369</v>
      </c>
      <c r="P58" s="26">
        <f>O58-N58</f>
        <v/>
      </c>
      <c r="R58" s="17">
        <f>R57+1</f>
        <v/>
      </c>
      <c r="S58" s="148" t="inlineStr">
        <is>
          <t xml:space="preserve">DAY </t>
        </is>
      </c>
      <c r="T58" s="13">
        <f>U57</f>
        <v/>
      </c>
      <c r="U58" s="8" t="n">
        <v>1015</v>
      </c>
      <c r="V58" s="21">
        <f>U58-T58</f>
        <v/>
      </c>
      <c r="W58" s="130" t="n">
        <v>220</v>
      </c>
      <c r="X58" s="133" t="n">
        <v>1011</v>
      </c>
      <c r="Y58" s="127">
        <f>X58-X56</f>
        <v/>
      </c>
      <c r="Z58" s="129">
        <f>W58/Y58</f>
        <v/>
      </c>
      <c r="AA58" s="28" t="n"/>
      <c r="AB58" s="28" t="n"/>
      <c r="AC58" s="22" t="n"/>
      <c r="AD58" s="23" t="n"/>
      <c r="AE58" s="14">
        <f>AF57</f>
        <v/>
      </c>
      <c r="AF58" s="31" t="n">
        <v>10655</v>
      </c>
      <c r="AG58" s="26">
        <f>AF58-AE58</f>
        <v/>
      </c>
    </row>
    <row r="59">
      <c r="A59" s="17">
        <f>A58</f>
        <v/>
      </c>
      <c r="B59" s="148" t="inlineStr">
        <is>
          <t>NIGHT</t>
        </is>
      </c>
      <c r="C59" s="13">
        <f>D58</f>
        <v/>
      </c>
      <c r="D59" s="8" t="n">
        <v>405</v>
      </c>
      <c r="E59" s="21">
        <f>D59-C59</f>
        <v/>
      </c>
      <c r="F59" s="128" t="n"/>
      <c r="G59" s="132" t="n"/>
      <c r="H59" s="128" t="n"/>
      <c r="I59" s="128" t="n"/>
      <c r="J59" s="28" t="n"/>
      <c r="K59" s="28" t="n"/>
      <c r="L59" s="22" t="n"/>
      <c r="M59" s="23" t="n"/>
      <c r="N59" s="14">
        <f>O58</f>
        <v/>
      </c>
      <c r="O59" s="31" t="n">
        <v>4464</v>
      </c>
      <c r="P59" s="26">
        <f>O59-N59</f>
        <v/>
      </c>
      <c r="R59" s="17">
        <f>R58</f>
        <v/>
      </c>
      <c r="S59" s="148" t="inlineStr">
        <is>
          <t>NIGHT</t>
        </is>
      </c>
      <c r="T59" s="13">
        <f>U58</f>
        <v/>
      </c>
      <c r="U59" s="8" t="n">
        <v>1027</v>
      </c>
      <c r="V59" s="21">
        <f>U59-T59</f>
        <v/>
      </c>
      <c r="W59" s="128" t="n"/>
      <c r="X59" s="132" t="n"/>
      <c r="Y59" s="128" t="n"/>
      <c r="Z59" s="128" t="n"/>
      <c r="AA59" s="28" t="n"/>
      <c r="AB59" s="28" t="n"/>
      <c r="AC59" s="22" t="n"/>
      <c r="AD59" s="23" t="n"/>
      <c r="AE59" s="14">
        <f>AF58</f>
        <v/>
      </c>
      <c r="AF59" s="31" t="n">
        <v>10788</v>
      </c>
      <c r="AG59" s="26">
        <f>AF59-AE59</f>
        <v/>
      </c>
    </row>
    <row r="60">
      <c r="A60" s="17">
        <f>A59+1</f>
        <v/>
      </c>
      <c r="B60" s="148" t="inlineStr">
        <is>
          <t xml:space="preserve">DAY </t>
        </is>
      </c>
      <c r="C60" s="13">
        <f>D59</f>
        <v/>
      </c>
      <c r="D60" s="8" t="n">
        <v>414</v>
      </c>
      <c r="E60" s="21">
        <f>D60-C60</f>
        <v/>
      </c>
      <c r="F60" s="130" t="n">
        <v>200</v>
      </c>
      <c r="G60" s="133" t="n">
        <v>410</v>
      </c>
      <c r="H60" s="148">
        <f>G60-G58</f>
        <v/>
      </c>
      <c r="I60" s="154">
        <f>F60/H60</f>
        <v/>
      </c>
      <c r="J60" s="28" t="n"/>
      <c r="K60" s="28" t="n"/>
      <c r="L60" s="22" t="n"/>
      <c r="M60" s="23" t="n"/>
      <c r="N60" s="14">
        <f>O59</f>
        <v/>
      </c>
      <c r="O60" s="31" t="n">
        <v>4604</v>
      </c>
      <c r="P60" s="26">
        <f>O60-N60</f>
        <v/>
      </c>
      <c r="R60" s="17">
        <f>R59+1</f>
        <v/>
      </c>
      <c r="S60" s="148" t="inlineStr">
        <is>
          <t xml:space="preserve">DAY </t>
        </is>
      </c>
      <c r="T60" s="13">
        <f>U59</f>
        <v/>
      </c>
      <c r="U60" s="8" t="n">
        <v>1036</v>
      </c>
      <c r="V60" s="21">
        <f>U60-T60</f>
        <v/>
      </c>
      <c r="W60" s="130" t="n">
        <v>200</v>
      </c>
      <c r="X60" s="133" t="n">
        <v>1032</v>
      </c>
      <c r="Y60" s="127">
        <f>X60-X58</f>
        <v/>
      </c>
      <c r="Z60" s="129">
        <f>W60/Y60</f>
        <v/>
      </c>
      <c r="AA60" s="28" t="n"/>
      <c r="AB60" s="28" t="n"/>
      <c r="AC60" s="22" t="n"/>
      <c r="AD60" s="23" t="n"/>
      <c r="AE60" s="14">
        <f>AF59</f>
        <v/>
      </c>
      <c r="AF60" s="31" t="n">
        <v>10906</v>
      </c>
      <c r="AG60" s="26">
        <f>AF60-AE60</f>
        <v/>
      </c>
    </row>
    <row r="61">
      <c r="A61" s="17">
        <f>A60</f>
        <v/>
      </c>
      <c r="B61" s="148" t="inlineStr">
        <is>
          <t>NIGHT</t>
        </is>
      </c>
      <c r="C61" s="13">
        <f>D60</f>
        <v/>
      </c>
      <c r="D61" s="8" t="n">
        <v>422</v>
      </c>
      <c r="E61" s="21">
        <f>D61-C61</f>
        <v/>
      </c>
      <c r="F61" s="128" t="n"/>
      <c r="G61" s="132" t="n"/>
      <c r="H61" s="128" t="n"/>
      <c r="I61" s="128" t="n"/>
      <c r="J61" s="28" t="n"/>
      <c r="K61" s="28" t="n"/>
      <c r="L61" s="22" t="n"/>
      <c r="M61" s="23" t="n"/>
      <c r="N61" s="14">
        <f>O60</f>
        <v/>
      </c>
      <c r="O61" s="31" t="n">
        <v>4663</v>
      </c>
      <c r="P61" s="26">
        <f>O61-N61</f>
        <v/>
      </c>
      <c r="R61" s="17">
        <f>R60</f>
        <v/>
      </c>
      <c r="S61" s="148" t="inlineStr">
        <is>
          <t>NIGHT</t>
        </is>
      </c>
      <c r="T61" s="13">
        <f>U60</f>
        <v/>
      </c>
      <c r="U61" s="8" t="n">
        <v>1046</v>
      </c>
      <c r="V61" s="21">
        <f>U61-T61</f>
        <v/>
      </c>
      <c r="W61" s="128" t="n"/>
      <c r="X61" s="132" t="n"/>
      <c r="Y61" s="128" t="n"/>
      <c r="Z61" s="128" t="n"/>
      <c r="AA61" s="28" t="n"/>
      <c r="AB61" s="28" t="n"/>
      <c r="AC61" s="22" t="n"/>
      <c r="AD61" s="23" t="n"/>
      <c r="AE61" s="14">
        <f>AF60</f>
        <v/>
      </c>
      <c r="AF61" s="31" t="n">
        <v>10973</v>
      </c>
      <c r="AG61" s="26">
        <f>AF61-AE61</f>
        <v/>
      </c>
    </row>
    <row r="62">
      <c r="A62" s="17">
        <f>A61+1</f>
        <v/>
      </c>
      <c r="B62" s="148" t="inlineStr">
        <is>
          <t xml:space="preserve">DAY </t>
        </is>
      </c>
      <c r="C62" s="13">
        <f>D61</f>
        <v/>
      </c>
      <c r="D62" s="8" t="n">
        <v>430</v>
      </c>
      <c r="E62" s="21">
        <f>D62-C62</f>
        <v/>
      </c>
      <c r="F62" s="130" t="n">
        <v>130</v>
      </c>
      <c r="G62" s="133" t="n">
        <v>426</v>
      </c>
      <c r="H62" s="148">
        <f>G62-G60</f>
        <v/>
      </c>
      <c r="I62" s="154">
        <f>F62/H62</f>
        <v/>
      </c>
      <c r="J62" s="28" t="n"/>
      <c r="K62" s="28" t="n"/>
      <c r="L62" s="22" t="n"/>
      <c r="M62" s="23" t="n"/>
      <c r="N62" s="14">
        <f>O61</f>
        <v/>
      </c>
      <c r="O62" s="31" t="n">
        <v>4820</v>
      </c>
      <c r="P62" s="26">
        <f>O62-N62</f>
        <v/>
      </c>
      <c r="R62" s="17">
        <f>R61+1</f>
        <v/>
      </c>
      <c r="S62" s="148" t="inlineStr">
        <is>
          <t xml:space="preserve">DAY </t>
        </is>
      </c>
      <c r="T62" s="13">
        <f>U61</f>
        <v/>
      </c>
      <c r="U62" s="8" t="n">
        <v>1054</v>
      </c>
      <c r="V62" s="21">
        <f>U62-T62</f>
        <v/>
      </c>
      <c r="W62" s="130" t="n">
        <v>140</v>
      </c>
      <c r="X62" s="133" t="n">
        <v>1048</v>
      </c>
      <c r="Y62" s="127">
        <f>X62-X60</f>
        <v/>
      </c>
      <c r="Z62" s="129">
        <f>W62/Y62</f>
        <v/>
      </c>
      <c r="AA62" s="28" t="n"/>
      <c r="AB62" s="28" t="n"/>
      <c r="AC62" s="22" t="n"/>
      <c r="AD62" s="23" t="n"/>
      <c r="AE62" s="14">
        <f>AF61</f>
        <v/>
      </c>
      <c r="AF62" s="31" t="n">
        <v>11068</v>
      </c>
      <c r="AG62" s="26">
        <f>AF62-AE62</f>
        <v/>
      </c>
    </row>
    <row r="63" ht="15.75" customHeight="1" s="140" thickBot="1">
      <c r="A63" s="17">
        <f>A62</f>
        <v/>
      </c>
      <c r="B63" s="148" t="inlineStr">
        <is>
          <t>NIGHT</t>
        </is>
      </c>
      <c r="C63" s="13">
        <f>D62</f>
        <v/>
      </c>
      <c r="D63" s="8" t="n">
        <v>436</v>
      </c>
      <c r="E63" s="21">
        <f>D63-C63</f>
        <v/>
      </c>
      <c r="F63" s="128" t="n"/>
      <c r="G63" s="132" t="n"/>
      <c r="H63" s="128" t="n"/>
      <c r="I63" s="128" t="n"/>
      <c r="J63" s="66" t="n"/>
      <c r="K63" s="66" t="n"/>
      <c r="L63" s="67" t="n"/>
      <c r="M63" s="68" t="n"/>
      <c r="N63" s="14">
        <f>O62</f>
        <v/>
      </c>
      <c r="O63" s="69" t="n">
        <v>4918</v>
      </c>
      <c r="P63" s="65">
        <f>O63-N63</f>
        <v/>
      </c>
      <c r="R63" s="17">
        <f>R62</f>
        <v/>
      </c>
      <c r="S63" s="148" t="inlineStr">
        <is>
          <t>NIGHT</t>
        </is>
      </c>
      <c r="T63" s="13">
        <f>U62</f>
        <v/>
      </c>
      <c r="U63" s="8" t="n">
        <v>1063</v>
      </c>
      <c r="V63" s="21">
        <f>U63-T63</f>
        <v/>
      </c>
      <c r="W63" s="128" t="n"/>
      <c r="X63" s="132" t="n"/>
      <c r="Y63" s="128" t="n"/>
      <c r="Z63" s="128" t="n"/>
      <c r="AA63" s="28" t="n"/>
      <c r="AB63" s="28" t="n"/>
      <c r="AC63" s="22" t="n"/>
      <c r="AD63" s="23" t="n"/>
      <c r="AE63" s="14">
        <f>AF62</f>
        <v/>
      </c>
      <c r="AF63" s="31" t="n">
        <v>11130</v>
      </c>
      <c r="AG63" s="26">
        <f>AF63-AE63</f>
        <v/>
      </c>
    </row>
    <row r="64" ht="16.5" customHeight="1" s="140" thickBot="1">
      <c r="A64" s="145" t="inlineStr">
        <is>
          <t>TOTAL Running Hours: 493</t>
        </is>
      </c>
      <c r="B64" s="143" t="n"/>
      <c r="C64" s="143" t="n"/>
      <c r="D64" s="146" t="n"/>
      <c r="E64" s="161">
        <f>SUBTOTAL(9,E4:E63)</f>
        <v/>
      </c>
      <c r="F64" s="161">
        <f>SUBTOTAL(9,F4:F63)</f>
        <v/>
      </c>
      <c r="G64" s="71" t="n"/>
      <c r="H64" s="71" t="n"/>
      <c r="I64" s="36">
        <f>F64/E64</f>
        <v/>
      </c>
      <c r="J64" s="135" t="inlineStr">
        <is>
          <t>NO BREAKDOWN</t>
        </is>
      </c>
      <c r="K64" s="136" t="n"/>
      <c r="L64" s="136" t="n"/>
      <c r="M64" s="137" t="n"/>
      <c r="N64" s="135" t="n"/>
      <c r="O64" s="135" t="n"/>
      <c r="P64" s="159">
        <f>SUBTOTAL(9,P4:P63)</f>
        <v/>
      </c>
      <c r="R64" s="145" t="inlineStr">
        <is>
          <t>TOTAL Running Hours: 512</t>
        </is>
      </c>
      <c r="S64" s="143" t="n"/>
      <c r="T64" s="143" t="n"/>
      <c r="U64" s="146" t="n"/>
      <c r="V64" s="159">
        <f>SUBTOTAL(9,V4:V63)</f>
        <v/>
      </c>
      <c r="W64" s="159">
        <f>SUBTOTAL(9,W4:W63)</f>
        <v/>
      </c>
      <c r="X64" s="71" t="n"/>
      <c r="Y64" s="71" t="n"/>
      <c r="Z64" s="36">
        <f>W64/V64</f>
        <v/>
      </c>
      <c r="AA64" s="135" t="inlineStr">
        <is>
          <t>NO BREAKDOWN</t>
        </is>
      </c>
      <c r="AB64" s="136" t="n"/>
      <c r="AC64" s="136" t="n"/>
      <c r="AD64" s="137" t="n"/>
      <c r="AE64" s="161" t="n"/>
      <c r="AF64" s="161" t="n"/>
      <c r="AG64" s="159">
        <f>SUBTOTAL(9,AG4:AG63)</f>
        <v/>
      </c>
    </row>
  </sheetData>
  <mergeCells count="250">
    <mergeCell ref="I54:I55"/>
    <mergeCell ref="F44:F45"/>
    <mergeCell ref="I32:I33"/>
    <mergeCell ref="Y24:Y25"/>
    <mergeCell ref="H26:H27"/>
    <mergeCell ref="Z26:Z27"/>
    <mergeCell ref="G8:G9"/>
    <mergeCell ref="G48:G49"/>
    <mergeCell ref="X16:X17"/>
    <mergeCell ref="H50:H51"/>
    <mergeCell ref="I16:I17"/>
    <mergeCell ref="AA64:AD64"/>
    <mergeCell ref="Y26:Y27"/>
    <mergeCell ref="Z12:Z13"/>
    <mergeCell ref="H34:H35"/>
    <mergeCell ref="I26:I27"/>
    <mergeCell ref="W16:W17"/>
    <mergeCell ref="F30:F31"/>
    <mergeCell ref="F18:F19"/>
    <mergeCell ref="G10:G11"/>
    <mergeCell ref="Y10:Y11"/>
    <mergeCell ref="H52:H53"/>
    <mergeCell ref="I18:I19"/>
    <mergeCell ref="F26:F27"/>
    <mergeCell ref="F42:F43"/>
    <mergeCell ref="X28:X29"/>
    <mergeCell ref="A64:D64"/>
    <mergeCell ref="H36:H37"/>
    <mergeCell ref="Y60:Y61"/>
    <mergeCell ref="W50:W51"/>
    <mergeCell ref="G58:G59"/>
    <mergeCell ref="Y50:Y51"/>
    <mergeCell ref="G18:G19"/>
    <mergeCell ref="I58:I59"/>
    <mergeCell ref="F62:F63"/>
    <mergeCell ref="X30:X31"/>
    <mergeCell ref="Y16:Y17"/>
    <mergeCell ref="W52:W53"/>
    <mergeCell ref="I42:I43"/>
    <mergeCell ref="G60:G61"/>
    <mergeCell ref="Y52:Y53"/>
    <mergeCell ref="F28:F29"/>
    <mergeCell ref="I60:I61"/>
    <mergeCell ref="H28:H29"/>
    <mergeCell ref="I20:I21"/>
    <mergeCell ref="X14:X15"/>
    <mergeCell ref="J12:M13"/>
    <mergeCell ref="G40:G41"/>
    <mergeCell ref="W42:W43"/>
    <mergeCell ref="G50:G51"/>
    <mergeCell ref="Y36:Y37"/>
    <mergeCell ref="H24:H25"/>
    <mergeCell ref="I50:I51"/>
    <mergeCell ref="G44:G45"/>
    <mergeCell ref="F48:F49"/>
    <mergeCell ref="I44:I45"/>
    <mergeCell ref="G22:G23"/>
    <mergeCell ref="H48:H49"/>
    <mergeCell ref="Y18:Y19"/>
    <mergeCell ref="H30:H31"/>
    <mergeCell ref="X56:X57"/>
    <mergeCell ref="H8:H9"/>
    <mergeCell ref="W44:W45"/>
    <mergeCell ref="Y42:Y43"/>
    <mergeCell ref="X46:X47"/>
    <mergeCell ref="G12:G13"/>
    <mergeCell ref="I6:I7"/>
    <mergeCell ref="Z46:Z47"/>
    <mergeCell ref="F34:F35"/>
    <mergeCell ref="F16:F17"/>
    <mergeCell ref="W28:W29"/>
    <mergeCell ref="G36:G37"/>
    <mergeCell ref="W6:W7"/>
    <mergeCell ref="H10:H11"/>
    <mergeCell ref="Y62:Y63"/>
    <mergeCell ref="F40:F41"/>
    <mergeCell ref="I30:I31"/>
    <mergeCell ref="X48:X49"/>
    <mergeCell ref="F36:F37"/>
    <mergeCell ref="W30:W31"/>
    <mergeCell ref="Y30:Y31"/>
    <mergeCell ref="Z32:Z33"/>
    <mergeCell ref="F20:F21"/>
    <mergeCell ref="Z50:Z51"/>
    <mergeCell ref="X34:X35"/>
    <mergeCell ref="W54:W55"/>
    <mergeCell ref="G62:G63"/>
    <mergeCell ref="Y54:Y55"/>
    <mergeCell ref="W32:W33"/>
    <mergeCell ref="I62:I63"/>
    <mergeCell ref="I56:I57"/>
    <mergeCell ref="F22:F23"/>
    <mergeCell ref="J64:M64"/>
    <mergeCell ref="Z52:Z53"/>
    <mergeCell ref="H22:H23"/>
    <mergeCell ref="W56:W57"/>
    <mergeCell ref="Y34:Y35"/>
    <mergeCell ref="Z18:Z19"/>
    <mergeCell ref="X42:X43"/>
    <mergeCell ref="X20:X21"/>
    <mergeCell ref="J1:M1"/>
    <mergeCell ref="Z42:Z43"/>
    <mergeCell ref="Z20:Z21"/>
    <mergeCell ref="Y40:Y41"/>
    <mergeCell ref="Z14:Z15"/>
    <mergeCell ref="I48:I49"/>
    <mergeCell ref="W18:W19"/>
    <mergeCell ref="X4:X5"/>
    <mergeCell ref="X44:X45"/>
    <mergeCell ref="H12:H13"/>
    <mergeCell ref="X22:X23"/>
    <mergeCell ref="I38:I39"/>
    <mergeCell ref="W8:W9"/>
    <mergeCell ref="Z4:Z5"/>
    <mergeCell ref="F46:F47"/>
    <mergeCell ref="R1:Z1"/>
    <mergeCell ref="I34:I35"/>
    <mergeCell ref="Z28:Z29"/>
    <mergeCell ref="H62:H63"/>
    <mergeCell ref="W58:W59"/>
    <mergeCell ref="G26:G27"/>
    <mergeCell ref="Z6:Z7"/>
    <mergeCell ref="H14:H15"/>
    <mergeCell ref="W10:W11"/>
    <mergeCell ref="F4:F5"/>
    <mergeCell ref="H4:H5"/>
    <mergeCell ref="Y38:Y39"/>
    <mergeCell ref="A1:I1"/>
    <mergeCell ref="W60:W61"/>
    <mergeCell ref="F10:F11"/>
    <mergeCell ref="F54:F55"/>
    <mergeCell ref="F24:F25"/>
    <mergeCell ref="H54:H55"/>
    <mergeCell ref="Z54:Z55"/>
    <mergeCell ref="Y58:Y59"/>
    <mergeCell ref="G52:G53"/>
    <mergeCell ref="H38:H39"/>
    <mergeCell ref="Y14:Y15"/>
    <mergeCell ref="G42:G43"/>
    <mergeCell ref="H56:H57"/>
    <mergeCell ref="I36:I37"/>
    <mergeCell ref="Z16:Z17"/>
    <mergeCell ref="Z56:Z57"/>
    <mergeCell ref="X32:X33"/>
    <mergeCell ref="G38:G39"/>
    <mergeCell ref="H58:H59"/>
    <mergeCell ref="H40:H41"/>
    <mergeCell ref="X24:X25"/>
    <mergeCell ref="F8:F9"/>
    <mergeCell ref="H60:H61"/>
    <mergeCell ref="Z8:Z9"/>
    <mergeCell ref="R64:U64"/>
    <mergeCell ref="G6:G7"/>
    <mergeCell ref="G28:G29"/>
    <mergeCell ref="F50:F51"/>
    <mergeCell ref="G24:G25"/>
    <mergeCell ref="X58:X59"/>
    <mergeCell ref="X18:X19"/>
    <mergeCell ref="I24:I25"/>
    <mergeCell ref="Z58:Z59"/>
    <mergeCell ref="X10:X11"/>
    <mergeCell ref="W62:W63"/>
    <mergeCell ref="G30:G31"/>
    <mergeCell ref="Z10:Z11"/>
    <mergeCell ref="I8:I9"/>
    <mergeCell ref="H16:H17"/>
    <mergeCell ref="W46:W47"/>
    <mergeCell ref="F52:F53"/>
    <mergeCell ref="X60:X61"/>
    <mergeCell ref="Y46:Y47"/>
    <mergeCell ref="Z60:Z61"/>
    <mergeCell ref="Y28:Y29"/>
    <mergeCell ref="G16:G17"/>
    <mergeCell ref="X50:X51"/>
    <mergeCell ref="I10:I11"/>
    <mergeCell ref="H18:H19"/>
    <mergeCell ref="F14:F15"/>
    <mergeCell ref="W48:W49"/>
    <mergeCell ref="Z44:Z45"/>
    <mergeCell ref="Y48:Y49"/>
    <mergeCell ref="J4:M11"/>
    <mergeCell ref="G56:G57"/>
    <mergeCell ref="Y8:Y9"/>
    <mergeCell ref="Z34:Z35"/>
    <mergeCell ref="X12:X13"/>
    <mergeCell ref="H42:H43"/>
    <mergeCell ref="W38:W39"/>
    <mergeCell ref="X52:X53"/>
    <mergeCell ref="H20:H21"/>
    <mergeCell ref="W34:W35"/>
    <mergeCell ref="X36:X37"/>
    <mergeCell ref="F6:F7"/>
    <mergeCell ref="Z36:Z37"/>
    <mergeCell ref="H44:H45"/>
    <mergeCell ref="W40:W41"/>
    <mergeCell ref="Z30:Z31"/>
    <mergeCell ref="W36:W37"/>
    <mergeCell ref="F12:F13"/>
    <mergeCell ref="H6:H7"/>
    <mergeCell ref="W20:W21"/>
    <mergeCell ref="G34:G35"/>
    <mergeCell ref="Y20:Y21"/>
    <mergeCell ref="X6:X7"/>
    <mergeCell ref="X62:X63"/>
    <mergeCell ref="F32:F33"/>
    <mergeCell ref="I28:I29"/>
    <mergeCell ref="Z62:Z63"/>
    <mergeCell ref="W26:W27"/>
    <mergeCell ref="I22:I23"/>
    <mergeCell ref="Z22:Z23"/>
    <mergeCell ref="W24:W25"/>
    <mergeCell ref="H46:H47"/>
    <mergeCell ref="Y44:Y45"/>
    <mergeCell ref="W22:W23"/>
    <mergeCell ref="I52:I53"/>
    <mergeCell ref="Y22:Y23"/>
    <mergeCell ref="I12:I13"/>
    <mergeCell ref="F56:F57"/>
    <mergeCell ref="W12:W13"/>
    <mergeCell ref="Y6:Y7"/>
    <mergeCell ref="AA1:AD1"/>
    <mergeCell ref="G20:G21"/>
    <mergeCell ref="G14:G15"/>
    <mergeCell ref="X54:X55"/>
    <mergeCell ref="I14:I15"/>
    <mergeCell ref="Z48:Z49"/>
    <mergeCell ref="F38:F39"/>
    <mergeCell ref="G4:G5"/>
    <mergeCell ref="H32:H33"/>
    <mergeCell ref="X38:X39"/>
    <mergeCell ref="Y12:Y13"/>
    <mergeCell ref="W14:W15"/>
    <mergeCell ref="Z38:Z39"/>
    <mergeCell ref="I4:I5"/>
    <mergeCell ref="G54:G55"/>
    <mergeCell ref="G32:G33"/>
    <mergeCell ref="F58:F59"/>
    <mergeCell ref="X26:X27"/>
    <mergeCell ref="Y32:Y33"/>
    <mergeCell ref="X40:X41"/>
    <mergeCell ref="Z40:Z41"/>
    <mergeCell ref="W4:W5"/>
    <mergeCell ref="Y4:Y5"/>
    <mergeCell ref="Z24:Z25"/>
    <mergeCell ref="X8:X9"/>
    <mergeCell ref="F60:F61"/>
    <mergeCell ref="Y56:Y57"/>
    <mergeCell ref="G46:G47"/>
    <mergeCell ref="I46:I47"/>
    <mergeCell ref="I40:I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6"/>
  <sheetViews>
    <sheetView topLeftCell="A42" workbookViewId="0">
      <selection activeCell="A70" sqref="A70"/>
    </sheetView>
  </sheetViews>
  <sheetFormatPr baseColWidth="8" defaultRowHeight="15"/>
  <cols>
    <col width="19.140625" bestFit="1" customWidth="1" style="140" min="13" max="13"/>
    <col width="11.42578125" bestFit="1" customWidth="1" style="140" min="17" max="17"/>
    <col width="11.5703125" bestFit="1" customWidth="1" style="140" min="34" max="34"/>
  </cols>
  <sheetData>
    <row r="1" ht="19.5" customHeight="1" s="140" thickBot="1">
      <c r="A1" s="142" t="inlineStr">
        <is>
          <t>NEW MACHINE NO - SANY-8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55" t="inlineStr">
        <is>
          <t>DATE</t>
        </is>
      </c>
      <c r="B2" s="56" t="inlineStr">
        <is>
          <t>SHIFT</t>
        </is>
      </c>
      <c r="C2" s="57" t="inlineStr">
        <is>
          <t>SHIFT START - HMR</t>
        </is>
      </c>
      <c r="D2" s="57" t="inlineStr">
        <is>
          <t>SHIFT END - HMR</t>
        </is>
      </c>
      <c r="E2" s="58" t="inlineStr">
        <is>
          <t>HOURS</t>
        </is>
      </c>
      <c r="F2" s="59" t="inlineStr">
        <is>
          <t>DIESEL</t>
        </is>
      </c>
      <c r="G2" s="56" t="inlineStr">
        <is>
          <t>HMR</t>
        </is>
      </c>
      <c r="H2" s="56" t="inlineStr">
        <is>
          <t>HOURS</t>
        </is>
      </c>
      <c r="I2" s="58" t="inlineStr">
        <is>
          <t>AVERAGE</t>
        </is>
      </c>
      <c r="J2" s="60" t="inlineStr">
        <is>
          <t>START TIME</t>
        </is>
      </c>
      <c r="K2" s="60" t="inlineStr">
        <is>
          <t>END TIME</t>
        </is>
      </c>
      <c r="L2" s="60" t="inlineStr">
        <is>
          <t>TOTAL HRS</t>
        </is>
      </c>
      <c r="M2" s="60" t="inlineStr">
        <is>
          <t>Remarks</t>
        </is>
      </c>
      <c r="N2" s="53" t="inlineStr">
        <is>
          <t>Container Start Count</t>
        </is>
      </c>
      <c r="O2" s="53" t="inlineStr">
        <is>
          <t>Container End Count</t>
        </is>
      </c>
      <c r="P2" s="60" t="inlineStr">
        <is>
          <t>Total</t>
        </is>
      </c>
      <c r="R2" s="37" t="inlineStr">
        <is>
          <t>DATE</t>
        </is>
      </c>
      <c r="S2" s="38" t="inlineStr">
        <is>
          <t>SHIFT</t>
        </is>
      </c>
      <c r="T2" s="40" t="inlineStr">
        <is>
          <t>SHIFT START - HMR</t>
        </is>
      </c>
      <c r="U2" s="40" t="inlineStr">
        <is>
          <t>SHIFT END - HMR</t>
        </is>
      </c>
      <c r="V2" s="39" t="inlineStr">
        <is>
          <t>HOURS</t>
        </is>
      </c>
      <c r="W2" s="41" t="inlineStr">
        <is>
          <t>DIESEL</t>
        </is>
      </c>
      <c r="X2" s="38" t="inlineStr">
        <is>
          <t>HMR</t>
        </is>
      </c>
      <c r="Y2" s="38" t="inlineStr">
        <is>
          <t>HOURS</t>
        </is>
      </c>
      <c r="Z2" s="39" t="inlineStr">
        <is>
          <t>AVERAGE</t>
        </is>
      </c>
      <c r="AA2" s="34" t="inlineStr">
        <is>
          <t>START TIME</t>
        </is>
      </c>
      <c r="AB2" s="34" t="inlineStr">
        <is>
          <t>END TIME</t>
        </is>
      </c>
      <c r="AC2" s="34" t="inlineStr">
        <is>
          <t>TOTAL HRS</t>
        </is>
      </c>
      <c r="AD2" s="34" t="inlineStr">
        <is>
          <t>Remarks</t>
        </is>
      </c>
      <c r="AE2" s="35" t="inlineStr">
        <is>
          <t>Container Start Count</t>
        </is>
      </c>
      <c r="AF2" s="35" t="inlineStr">
        <is>
          <t>Container End Count</t>
        </is>
      </c>
      <c r="AG2" s="34" t="inlineStr">
        <is>
          <t>Total</t>
        </is>
      </c>
    </row>
    <row r="3" ht="15.75" customHeight="1" s="140">
      <c r="A3" s="62" t="n"/>
      <c r="B3" s="62" t="n"/>
      <c r="C3" s="63" t="n"/>
      <c r="D3" s="63" t="n"/>
      <c r="E3" s="62" t="n"/>
      <c r="F3" s="62" t="n"/>
      <c r="G3" s="62" t="n">
        <v>410</v>
      </c>
      <c r="H3" s="62" t="n"/>
      <c r="I3" s="62" t="n"/>
      <c r="J3" s="62" t="n"/>
      <c r="K3" s="62" t="n"/>
      <c r="L3" s="62" t="n"/>
      <c r="M3" s="62" t="n"/>
      <c r="N3" s="64" t="n"/>
      <c r="O3" s="64" t="n"/>
      <c r="P3" s="62" t="n"/>
      <c r="R3" s="48" t="n"/>
      <c r="S3" s="49" t="n"/>
      <c r="T3" s="50" t="n"/>
      <c r="U3" s="50" t="n"/>
      <c r="V3" s="51" t="n"/>
      <c r="W3" s="52" t="n"/>
      <c r="X3" s="49" t="n">
        <v>1048</v>
      </c>
      <c r="Y3" s="49" t="n"/>
      <c r="Z3" s="51" t="n"/>
      <c r="AA3" s="49" t="n"/>
      <c r="AB3" s="49" t="n"/>
      <c r="AC3" s="49" t="n"/>
      <c r="AD3" s="49" t="n"/>
      <c r="AE3" s="53" t="n"/>
      <c r="AF3" s="54" t="n"/>
      <c r="AG3" s="49" t="n"/>
    </row>
    <row r="4" ht="15" customHeight="1" s="140">
      <c r="A4" s="6" t="n">
        <v>46204</v>
      </c>
      <c r="B4" s="7" t="inlineStr">
        <is>
          <t xml:space="preserve">DAY </t>
        </is>
      </c>
      <c r="C4" s="8" t="n">
        <v>436</v>
      </c>
      <c r="D4" s="7" t="n">
        <v>444</v>
      </c>
      <c r="E4" s="11">
        <f>D4-C4</f>
        <v/>
      </c>
      <c r="F4" s="144" t="n">
        <v>220</v>
      </c>
      <c r="G4" s="141" t="n">
        <v>440</v>
      </c>
      <c r="H4" s="127">
        <f>G4-G3</f>
        <v/>
      </c>
      <c r="I4" s="129">
        <f>F4/H4</f>
        <v/>
      </c>
      <c r="J4" s="18" t="n"/>
      <c r="K4" s="18" t="n"/>
      <c r="L4" s="22" t="n"/>
      <c r="M4" s="23" t="n"/>
      <c r="N4" s="69" t="n">
        <v>4918</v>
      </c>
      <c r="O4" s="7" t="n">
        <v>5064</v>
      </c>
      <c r="P4" s="7">
        <f>O4-N4</f>
        <v/>
      </c>
      <c r="R4" s="6" t="n">
        <v>46204</v>
      </c>
      <c r="S4" s="7" t="inlineStr">
        <is>
          <t xml:space="preserve">DAY </t>
        </is>
      </c>
      <c r="T4" s="8" t="n">
        <v>1063</v>
      </c>
      <c r="U4" s="7" t="n">
        <v>1071</v>
      </c>
      <c r="V4" s="11">
        <f>U4-T4</f>
        <v/>
      </c>
      <c r="W4" s="144" t="n">
        <v>200</v>
      </c>
      <c r="X4" s="141" t="n">
        <v>1068</v>
      </c>
      <c r="Y4" s="127">
        <f>X4-X3</f>
        <v/>
      </c>
      <c r="Z4" s="129">
        <f>W4/Y4</f>
        <v/>
      </c>
      <c r="AA4" s="9" t="n"/>
      <c r="AB4" s="9" t="n"/>
      <c r="AC4" s="9" t="n"/>
      <c r="AD4" s="10" t="n"/>
      <c r="AE4" s="31" t="n">
        <v>11130</v>
      </c>
      <c r="AF4" s="7" t="n">
        <v>11216</v>
      </c>
      <c r="AG4" s="7">
        <f>AF4-AE4</f>
        <v/>
      </c>
    </row>
    <row r="5" ht="15" customHeight="1" s="140">
      <c r="A5" s="6">
        <f>A4</f>
        <v/>
      </c>
      <c r="B5" s="127" t="inlineStr">
        <is>
          <t>NIGHT</t>
        </is>
      </c>
      <c r="C5" s="13">
        <f>D4</f>
        <v/>
      </c>
      <c r="D5" s="127" t="n">
        <v>454</v>
      </c>
      <c r="E5" s="11">
        <f>D5-C5</f>
        <v/>
      </c>
      <c r="F5" s="128" t="n"/>
      <c r="G5" s="128" t="n"/>
      <c r="H5" s="128" t="n"/>
      <c r="I5" s="128" t="n"/>
      <c r="J5" s="18" t="n"/>
      <c r="K5" s="18" t="n"/>
      <c r="L5" s="22" t="n"/>
      <c r="M5" s="23" t="n"/>
      <c r="N5" s="14">
        <f>O4</f>
        <v/>
      </c>
      <c r="O5" s="127" t="n">
        <v>5166</v>
      </c>
      <c r="P5" s="7">
        <f>O5-N5</f>
        <v/>
      </c>
      <c r="R5" s="6">
        <f>R4</f>
        <v/>
      </c>
      <c r="S5" s="127" t="inlineStr">
        <is>
          <t>NIGHT</t>
        </is>
      </c>
      <c r="T5" s="13">
        <f>U4</f>
        <v/>
      </c>
      <c r="U5" s="127" t="n">
        <v>1078</v>
      </c>
      <c r="V5" s="11">
        <f>U5-T5</f>
        <v/>
      </c>
      <c r="W5" s="128" t="n"/>
      <c r="X5" s="128" t="n"/>
      <c r="Y5" s="128" t="n"/>
      <c r="Z5" s="128" t="n"/>
      <c r="AA5" s="15" t="n"/>
      <c r="AB5" s="15" t="n"/>
      <c r="AC5" s="15" t="n"/>
      <c r="AD5" s="16" t="n"/>
      <c r="AE5" s="14">
        <f>AF4</f>
        <v/>
      </c>
      <c r="AF5" s="127" t="n">
        <v>11313</v>
      </c>
      <c r="AG5" s="7">
        <f>AF5-AE5</f>
        <v/>
      </c>
    </row>
    <row r="6" ht="15" customHeight="1" s="140">
      <c r="A6" s="17">
        <f>A5+1</f>
        <v/>
      </c>
      <c r="B6" s="148" t="inlineStr">
        <is>
          <t xml:space="preserve">DAY </t>
        </is>
      </c>
      <c r="C6" s="13">
        <f>D5</f>
        <v/>
      </c>
      <c r="D6" s="8" t="n">
        <v>462</v>
      </c>
      <c r="E6" s="11">
        <f>D6-C6</f>
        <v/>
      </c>
      <c r="F6" s="144" t="n">
        <v>140</v>
      </c>
      <c r="G6" s="130" t="n">
        <v>456</v>
      </c>
      <c r="H6" s="127">
        <f>G6-G4</f>
        <v/>
      </c>
      <c r="I6" s="129">
        <f>F6/H6</f>
        <v/>
      </c>
      <c r="J6" s="18" t="n"/>
      <c r="K6" s="18" t="n"/>
      <c r="L6" s="22" t="n"/>
      <c r="M6" s="23" t="n"/>
      <c r="N6" s="14">
        <f>O5</f>
        <v/>
      </c>
      <c r="O6" s="8" t="n">
        <v>5343</v>
      </c>
      <c r="P6" s="7">
        <f>O6-N6</f>
        <v/>
      </c>
      <c r="R6" s="17">
        <f>R5+1</f>
        <v/>
      </c>
      <c r="S6" s="148" t="inlineStr">
        <is>
          <t xml:space="preserve">DAY </t>
        </is>
      </c>
      <c r="T6" s="13">
        <f>U5</f>
        <v/>
      </c>
      <c r="U6" s="8" t="n">
        <v>1087</v>
      </c>
      <c r="V6" s="11">
        <f>U6-T6</f>
        <v/>
      </c>
      <c r="W6" s="130" t="n">
        <v>160</v>
      </c>
      <c r="X6" s="130" t="n">
        <v>1080</v>
      </c>
      <c r="Y6" s="127">
        <f>X6-X4</f>
        <v/>
      </c>
      <c r="Z6" s="129">
        <f>W6/Y6</f>
        <v/>
      </c>
      <c r="AA6" s="18" t="n"/>
      <c r="AB6" s="18" t="n"/>
      <c r="AC6" s="9" t="n"/>
      <c r="AD6" s="10" t="n"/>
      <c r="AE6" s="14">
        <f>AF5</f>
        <v/>
      </c>
      <c r="AF6" s="8" t="n">
        <v>11465</v>
      </c>
      <c r="AG6" s="7">
        <f>AF6-AE6</f>
        <v/>
      </c>
    </row>
    <row r="7" ht="15" customHeight="1" s="140">
      <c r="A7" s="17">
        <f>A6</f>
        <v/>
      </c>
      <c r="B7" s="148" t="inlineStr">
        <is>
          <t>NIGHT</t>
        </is>
      </c>
      <c r="C7" s="13">
        <f>D6</f>
        <v/>
      </c>
      <c r="D7" s="8" t="n">
        <v>471</v>
      </c>
      <c r="E7" s="11">
        <f>D7-C7</f>
        <v/>
      </c>
      <c r="F7" s="128" t="n"/>
      <c r="G7" s="128" t="n"/>
      <c r="H7" s="128" t="n"/>
      <c r="I7" s="128" t="n"/>
      <c r="J7" s="18" t="n"/>
      <c r="K7" s="18" t="n"/>
      <c r="L7" s="22" t="n"/>
      <c r="M7" s="23" t="n"/>
      <c r="N7" s="14">
        <f>O6</f>
        <v/>
      </c>
      <c r="O7" s="8" t="n">
        <v>5550</v>
      </c>
      <c r="P7" s="7">
        <f>O7-N7</f>
        <v/>
      </c>
      <c r="R7" s="17">
        <f>R6</f>
        <v/>
      </c>
      <c r="S7" s="148" t="inlineStr">
        <is>
          <t>NIGHT</t>
        </is>
      </c>
      <c r="T7" s="13">
        <f>U6</f>
        <v/>
      </c>
      <c r="U7" s="8" t="n">
        <v>1098</v>
      </c>
      <c r="V7" s="11">
        <f>U7-T7</f>
        <v/>
      </c>
      <c r="W7" s="128" t="n"/>
      <c r="X7" s="128" t="n"/>
      <c r="Y7" s="128" t="n"/>
      <c r="Z7" s="128" t="n"/>
      <c r="AA7" s="18" t="n"/>
      <c r="AB7" s="18" t="n"/>
      <c r="AC7" s="22" t="n"/>
      <c r="AD7" s="23" t="n"/>
      <c r="AE7" s="14">
        <f>AF6</f>
        <v/>
      </c>
      <c r="AF7" s="8" t="n">
        <v>11613</v>
      </c>
      <c r="AG7" s="7">
        <f>AF7-AE7</f>
        <v/>
      </c>
    </row>
    <row r="8" ht="15" customHeight="1" s="140">
      <c r="A8" s="17">
        <f>A7+1</f>
        <v/>
      </c>
      <c r="B8" s="127" t="inlineStr">
        <is>
          <t xml:space="preserve">DAY </t>
        </is>
      </c>
      <c r="C8" s="13">
        <f>D7</f>
        <v/>
      </c>
      <c r="D8" s="13" t="n">
        <v>481</v>
      </c>
      <c r="E8" s="11">
        <f>D8-C8</f>
        <v/>
      </c>
      <c r="F8" s="130" t="n">
        <v>300</v>
      </c>
      <c r="G8" s="131" t="n">
        <v>474</v>
      </c>
      <c r="H8" s="127">
        <f>G8-G6</f>
        <v/>
      </c>
      <c r="I8" s="129">
        <f>F8/H8</f>
        <v/>
      </c>
      <c r="J8" s="18" t="n"/>
      <c r="K8" s="18" t="n"/>
      <c r="L8" s="22" t="n">
        <v>0.1666666666666667</v>
      </c>
      <c r="M8" s="23" t="inlineStr">
        <is>
          <t>PM Service 04:00 hrs</t>
        </is>
      </c>
      <c r="N8" s="14">
        <f>O7</f>
        <v/>
      </c>
      <c r="O8" s="8" t="n">
        <v>5677</v>
      </c>
      <c r="P8" s="7">
        <f>O8-N8</f>
        <v/>
      </c>
      <c r="R8" s="17">
        <f>R7+1</f>
        <v/>
      </c>
      <c r="S8" s="127" t="inlineStr">
        <is>
          <t xml:space="preserve">DAY </t>
        </is>
      </c>
      <c r="T8" s="13">
        <f>U7</f>
        <v/>
      </c>
      <c r="U8" s="13" t="n">
        <v>1108</v>
      </c>
      <c r="V8" s="11">
        <f>U8-T8</f>
        <v/>
      </c>
      <c r="W8" s="130" t="n">
        <v>200</v>
      </c>
      <c r="X8" s="131" t="n">
        <v>1102</v>
      </c>
      <c r="Y8" s="127">
        <f>X8-X6</f>
        <v/>
      </c>
      <c r="Z8" s="129">
        <f>W8/Y8</f>
        <v/>
      </c>
      <c r="AA8" s="18" t="n"/>
      <c r="AB8" s="18" t="n"/>
      <c r="AC8" s="9" t="n"/>
      <c r="AD8" s="10" t="n"/>
      <c r="AE8" s="14">
        <f>AF7</f>
        <v/>
      </c>
      <c r="AF8" s="13" t="n">
        <v>11719</v>
      </c>
      <c r="AG8" s="7">
        <f>AF8-AE8</f>
        <v/>
      </c>
    </row>
    <row r="9" ht="15" customHeight="1" s="140">
      <c r="A9" s="17">
        <f>A8</f>
        <v/>
      </c>
      <c r="B9" s="127" t="inlineStr">
        <is>
          <t>NIGHT</t>
        </is>
      </c>
      <c r="C9" s="13">
        <f>D8</f>
        <v/>
      </c>
      <c r="D9" s="13" t="n">
        <v>489</v>
      </c>
      <c r="E9" s="11">
        <f>D9-C9</f>
        <v/>
      </c>
      <c r="F9" s="128" t="n"/>
      <c r="G9" s="132" t="n"/>
      <c r="H9" s="128" t="n"/>
      <c r="I9" s="128" t="n"/>
      <c r="J9" s="18" t="n"/>
      <c r="K9" s="18" t="n"/>
      <c r="L9" s="22" t="n"/>
      <c r="M9" s="23" t="n"/>
      <c r="N9" s="14">
        <f>O8</f>
        <v/>
      </c>
      <c r="O9" s="13" t="n">
        <v>5818</v>
      </c>
      <c r="P9" s="7">
        <f>O9-N9</f>
        <v/>
      </c>
      <c r="R9" s="17">
        <f>R8</f>
        <v/>
      </c>
      <c r="S9" s="127" t="inlineStr">
        <is>
          <t>NIGHT</t>
        </is>
      </c>
      <c r="T9" s="13">
        <f>U8</f>
        <v/>
      </c>
      <c r="U9" s="13" t="n">
        <v>1117</v>
      </c>
      <c r="V9" s="11">
        <f>U9-T9</f>
        <v/>
      </c>
      <c r="W9" s="128" t="n"/>
      <c r="X9" s="132" t="n"/>
      <c r="Y9" s="128" t="n"/>
      <c r="Z9" s="128" t="n"/>
      <c r="AA9" s="25" t="n"/>
      <c r="AB9" s="25" t="n"/>
      <c r="AC9" s="15" t="n"/>
      <c r="AD9" s="16" t="n"/>
      <c r="AE9" s="14">
        <f>AF8</f>
        <v/>
      </c>
      <c r="AF9" s="13" t="n">
        <v>11843</v>
      </c>
      <c r="AG9" s="7">
        <f>AF9-AE9</f>
        <v/>
      </c>
    </row>
    <row r="10" ht="15" customHeight="1" s="140">
      <c r="A10" s="17">
        <f>A9+1</f>
        <v/>
      </c>
      <c r="B10" s="148" t="inlineStr">
        <is>
          <t xml:space="preserve">DAY </t>
        </is>
      </c>
      <c r="C10" s="13">
        <f>D9</f>
        <v/>
      </c>
      <c r="D10" s="8" t="n">
        <v>499</v>
      </c>
      <c r="E10" s="11">
        <f>D10-C10</f>
        <v/>
      </c>
      <c r="F10" s="130" t="n">
        <v>200</v>
      </c>
      <c r="G10" s="131" t="n">
        <v>492</v>
      </c>
      <c r="H10" s="127">
        <f>G10-G8</f>
        <v/>
      </c>
      <c r="I10" s="129">
        <f>F10/H10</f>
        <v/>
      </c>
      <c r="J10" s="18" t="n"/>
      <c r="K10" s="18" t="n"/>
      <c r="L10" s="22" t="n"/>
      <c r="M10" s="23" t="n"/>
      <c r="N10" s="14">
        <f>O9</f>
        <v/>
      </c>
      <c r="O10" s="26" t="n">
        <v>5998</v>
      </c>
      <c r="P10" s="7">
        <f>O10-N10</f>
        <v/>
      </c>
      <c r="R10" s="17">
        <f>R9+1</f>
        <v/>
      </c>
      <c r="S10" s="148" t="inlineStr">
        <is>
          <t xml:space="preserve">DAY </t>
        </is>
      </c>
      <c r="T10" s="13">
        <f>U9</f>
        <v/>
      </c>
      <c r="U10" s="8" t="n">
        <v>1127</v>
      </c>
      <c r="V10" s="11">
        <f>U10-T10</f>
        <v/>
      </c>
      <c r="W10" s="130" t="n">
        <v>200</v>
      </c>
      <c r="X10" s="133" t="n">
        <v>1120</v>
      </c>
      <c r="Y10" s="127">
        <f>X10-X8</f>
        <v/>
      </c>
      <c r="Z10" s="129">
        <f>W10/Y10</f>
        <v/>
      </c>
      <c r="AA10" s="18" t="n"/>
      <c r="AB10" s="18" t="n"/>
      <c r="AC10" s="19" t="n"/>
      <c r="AD10" s="27" t="n"/>
      <c r="AE10" s="14">
        <f>AF9</f>
        <v/>
      </c>
      <c r="AF10" s="26" t="n">
        <v>11942</v>
      </c>
      <c r="AG10" s="7">
        <f>AF10-AE10</f>
        <v/>
      </c>
    </row>
    <row r="11" ht="15" customHeight="1" s="140">
      <c r="A11" s="17">
        <f>A10</f>
        <v/>
      </c>
      <c r="B11" s="148" t="inlineStr">
        <is>
          <t>NIGHT</t>
        </is>
      </c>
      <c r="C11" s="13">
        <f>D10</f>
        <v/>
      </c>
      <c r="D11" s="8" t="n">
        <v>507</v>
      </c>
      <c r="E11" s="11">
        <f>D11-C11</f>
        <v/>
      </c>
      <c r="F11" s="128" t="n"/>
      <c r="G11" s="132" t="n"/>
      <c r="H11" s="128" t="n"/>
      <c r="I11" s="128" t="n"/>
      <c r="J11" s="18" t="n"/>
      <c r="K11" s="18" t="n"/>
      <c r="L11" s="22" t="n"/>
      <c r="M11" s="23" t="n"/>
      <c r="N11" s="14">
        <f>O10</f>
        <v/>
      </c>
      <c r="O11" s="26" t="n">
        <v>6079</v>
      </c>
      <c r="P11" s="7">
        <f>O11-N11</f>
        <v/>
      </c>
      <c r="R11" s="17">
        <f>R10</f>
        <v/>
      </c>
      <c r="S11" s="148" t="inlineStr">
        <is>
          <t>NIGHT</t>
        </is>
      </c>
      <c r="T11" s="13">
        <f>U10</f>
        <v/>
      </c>
      <c r="U11" s="8" t="n">
        <v>1133</v>
      </c>
      <c r="V11" s="11">
        <f>U11-T11</f>
        <v/>
      </c>
      <c r="W11" s="128" t="n"/>
      <c r="X11" s="132" t="n"/>
      <c r="Y11" s="128" t="n"/>
      <c r="Z11" s="128" t="n"/>
      <c r="AA11" s="28" t="n"/>
      <c r="AB11" s="28" t="n"/>
      <c r="AC11" s="22" t="n"/>
      <c r="AD11" s="27" t="n"/>
      <c r="AE11" s="14">
        <f>AF10</f>
        <v/>
      </c>
      <c r="AF11" s="26" t="n">
        <v>12001</v>
      </c>
      <c r="AG11" s="7">
        <f>AF11-AE11</f>
        <v/>
      </c>
    </row>
    <row r="12" ht="15" customHeight="1" s="140">
      <c r="A12" s="17">
        <f>A11+1</f>
        <v/>
      </c>
      <c r="B12" s="148" t="inlineStr">
        <is>
          <t xml:space="preserve">DAY </t>
        </is>
      </c>
      <c r="C12" s="13">
        <f>D11</f>
        <v/>
      </c>
      <c r="D12" s="8" t="n">
        <v>516</v>
      </c>
      <c r="E12" s="11">
        <f>D12-C12</f>
        <v/>
      </c>
      <c r="F12" s="130" t="n">
        <v>170</v>
      </c>
      <c r="G12" s="133" t="n">
        <v>509</v>
      </c>
      <c r="H12" s="127">
        <f>G12-G10</f>
        <v/>
      </c>
      <c r="I12" s="129">
        <f>F12/H12</f>
        <v/>
      </c>
      <c r="J12" s="18" t="n"/>
      <c r="K12" s="18" t="n"/>
      <c r="L12" s="22" t="n"/>
      <c r="M12" s="23" t="n"/>
      <c r="N12" s="14">
        <f>O11</f>
        <v/>
      </c>
      <c r="O12" s="8" t="n">
        <v>6170</v>
      </c>
      <c r="P12" s="7">
        <f>O12-N12</f>
        <v/>
      </c>
      <c r="R12" s="17">
        <f>R11+1</f>
        <v/>
      </c>
      <c r="S12" s="148" t="inlineStr">
        <is>
          <t xml:space="preserve">DAY </t>
        </is>
      </c>
      <c r="T12" s="13">
        <f>U11</f>
        <v/>
      </c>
      <c r="U12" s="8" t="n">
        <v>1142</v>
      </c>
      <c r="V12" s="11">
        <f>U12-T12</f>
        <v/>
      </c>
      <c r="W12" s="130" t="n">
        <v>110</v>
      </c>
      <c r="X12" s="133" t="n">
        <v>1135</v>
      </c>
      <c r="Y12" s="127">
        <f>X12-X10</f>
        <v/>
      </c>
      <c r="Z12" s="129">
        <f>W12/Y12</f>
        <v/>
      </c>
      <c r="AA12" s="28" t="n"/>
      <c r="AB12" s="28" t="n"/>
      <c r="AC12" s="22" t="n"/>
      <c r="AD12" s="23" t="n"/>
      <c r="AE12" s="14">
        <f>AF11</f>
        <v/>
      </c>
      <c r="AF12" s="8" t="n">
        <v>12066</v>
      </c>
      <c r="AG12" s="7">
        <f>AF12-AE12</f>
        <v/>
      </c>
    </row>
    <row r="13" ht="15" customHeight="1" s="140">
      <c r="A13" s="17">
        <f>A12</f>
        <v/>
      </c>
      <c r="B13" s="148" t="inlineStr">
        <is>
          <t>NIGHT</t>
        </is>
      </c>
      <c r="C13" s="13">
        <f>D12</f>
        <v/>
      </c>
      <c r="D13" s="8" t="n">
        <v>519</v>
      </c>
      <c r="E13" s="11">
        <f>D13-C13</f>
        <v/>
      </c>
      <c r="F13" s="128" t="n"/>
      <c r="G13" s="132" t="n"/>
      <c r="H13" s="128" t="n"/>
      <c r="I13" s="128" t="n"/>
      <c r="J13" s="18" t="n"/>
      <c r="K13" s="18" t="n"/>
      <c r="L13" s="22" t="n"/>
      <c r="M13" s="23" t="n"/>
      <c r="N13" s="14">
        <f>O12</f>
        <v/>
      </c>
      <c r="O13" s="8" t="n">
        <v>6196</v>
      </c>
      <c r="P13" s="7">
        <f>O13-N13</f>
        <v/>
      </c>
      <c r="R13" s="17">
        <f>R12</f>
        <v/>
      </c>
      <c r="S13" s="148" t="inlineStr">
        <is>
          <t>NIGHT</t>
        </is>
      </c>
      <c r="T13" s="13">
        <f>U12</f>
        <v/>
      </c>
      <c r="U13" s="8" t="n">
        <v>1148</v>
      </c>
      <c r="V13" s="11">
        <f>U13-T13</f>
        <v/>
      </c>
      <c r="W13" s="128" t="n"/>
      <c r="X13" s="132" t="n"/>
      <c r="Y13" s="128" t="n"/>
      <c r="Z13" s="128" t="n"/>
      <c r="AA13" s="29" t="n"/>
      <c r="AB13" s="18" t="n"/>
      <c r="AC13" s="22" t="n"/>
      <c r="AD13" s="23" t="n"/>
      <c r="AE13" s="14">
        <f>AF12</f>
        <v/>
      </c>
      <c r="AF13" s="8" t="n">
        <v>12120</v>
      </c>
      <c r="AG13" s="7">
        <f>AF13-AE13</f>
        <v/>
      </c>
    </row>
    <row r="14">
      <c r="A14" s="17">
        <f>A13+1</f>
        <v/>
      </c>
      <c r="B14" s="148" t="inlineStr">
        <is>
          <t xml:space="preserve">DAY </t>
        </is>
      </c>
      <c r="C14" s="13">
        <f>D13</f>
        <v/>
      </c>
      <c r="D14" s="8" t="n">
        <v>522</v>
      </c>
      <c r="E14" s="21">
        <f>D14-C14</f>
        <v/>
      </c>
      <c r="F14" s="130" t="n"/>
      <c r="G14" s="133" t="n"/>
      <c r="H14" s="148" t="n"/>
      <c r="I14" s="129" t="n"/>
      <c r="J14" s="18" t="n"/>
      <c r="K14" s="18" t="n"/>
      <c r="L14" s="22" t="n"/>
      <c r="M14" s="23" t="n"/>
      <c r="N14" s="14">
        <f>O13</f>
        <v/>
      </c>
      <c r="O14" s="8" t="n">
        <v>6208</v>
      </c>
      <c r="P14" s="7">
        <f>O14-N14</f>
        <v/>
      </c>
      <c r="R14" s="17">
        <f>R13+1</f>
        <v/>
      </c>
      <c r="S14" s="148" t="inlineStr">
        <is>
          <t xml:space="preserve">DAY </t>
        </is>
      </c>
      <c r="T14" s="13">
        <f>U13</f>
        <v/>
      </c>
      <c r="U14" s="8" t="n">
        <v>1154</v>
      </c>
      <c r="V14" s="21">
        <f>U14-T14</f>
        <v/>
      </c>
      <c r="W14" s="155" t="n">
        <v>150</v>
      </c>
      <c r="X14" s="133" t="n">
        <v>1148</v>
      </c>
      <c r="Y14" s="127">
        <f>X14-X12</f>
        <v/>
      </c>
      <c r="Z14" s="129">
        <f>W14/Y14</f>
        <v/>
      </c>
      <c r="AA14" s="30" t="n"/>
      <c r="AB14" s="28" t="n"/>
      <c r="AC14" s="22" t="n"/>
      <c r="AD14" s="23" t="n"/>
      <c r="AE14" s="14">
        <f>AF13</f>
        <v/>
      </c>
      <c r="AF14" s="8" t="n">
        <v>12187</v>
      </c>
      <c r="AG14" s="7">
        <f>AF14-AE14</f>
        <v/>
      </c>
    </row>
    <row r="15">
      <c r="A15" s="17">
        <f>A14</f>
        <v/>
      </c>
      <c r="B15" s="148" t="inlineStr">
        <is>
          <t>NIGHT</t>
        </is>
      </c>
      <c r="C15" s="13">
        <f>D14</f>
        <v/>
      </c>
      <c r="D15" s="8" t="n">
        <v>528</v>
      </c>
      <c r="E15" s="21">
        <f>D15-C15</f>
        <v/>
      </c>
      <c r="F15" s="128" t="n"/>
      <c r="G15" s="132" t="n"/>
      <c r="H15" s="128" t="n"/>
      <c r="I15" s="128" t="n"/>
      <c r="J15" s="18" t="n"/>
      <c r="K15" s="18" t="n"/>
      <c r="L15" s="22" t="n"/>
      <c r="M15" s="23" t="n"/>
      <c r="N15" s="14">
        <f>O14</f>
        <v/>
      </c>
      <c r="O15" s="8" t="n">
        <v>6271</v>
      </c>
      <c r="P15" s="7">
        <f>O15-N15</f>
        <v/>
      </c>
      <c r="R15" s="17">
        <f>R14</f>
        <v/>
      </c>
      <c r="S15" s="148" t="inlineStr">
        <is>
          <t>NIGHT</t>
        </is>
      </c>
      <c r="T15" s="13">
        <f>U14</f>
        <v/>
      </c>
      <c r="U15" s="8" t="n">
        <v>1160</v>
      </c>
      <c r="V15" s="21">
        <f>U15-T15</f>
        <v/>
      </c>
      <c r="W15" s="128" t="n"/>
      <c r="X15" s="132" t="n"/>
      <c r="Y15" s="128" t="n"/>
      <c r="Z15" s="128" t="n"/>
      <c r="AA15" s="29" t="n"/>
      <c r="AB15" s="18" t="n"/>
      <c r="AC15" s="22" t="n"/>
      <c r="AD15" s="23" t="n"/>
      <c r="AE15" s="14">
        <f>AF14</f>
        <v/>
      </c>
      <c r="AF15" s="8" t="n">
        <v>12265</v>
      </c>
      <c r="AG15" s="7">
        <f>AF15-AE15</f>
        <v/>
      </c>
    </row>
    <row r="16">
      <c r="A16" s="17">
        <f>A15+1</f>
        <v/>
      </c>
      <c r="B16" s="148" t="inlineStr">
        <is>
          <t xml:space="preserve">DAY </t>
        </is>
      </c>
      <c r="C16" s="13">
        <f>D15</f>
        <v/>
      </c>
      <c r="D16" s="8" t="n">
        <v>538</v>
      </c>
      <c r="E16" s="21">
        <f>D16-C16</f>
        <v/>
      </c>
      <c r="F16" s="130" t="n">
        <v>250</v>
      </c>
      <c r="G16" s="133" t="n">
        <v>532</v>
      </c>
      <c r="H16" s="148">
        <f>G16-G12</f>
        <v/>
      </c>
      <c r="I16" s="129">
        <f>F16/H16</f>
        <v/>
      </c>
      <c r="J16" s="18" t="n"/>
      <c r="K16" s="18" t="n"/>
      <c r="L16" s="22" t="n"/>
      <c r="M16" s="23" t="n"/>
      <c r="N16" s="14">
        <f>O15</f>
        <v/>
      </c>
      <c r="O16" s="8" t="n">
        <v>6393</v>
      </c>
      <c r="P16" s="26">
        <f>O16-N16</f>
        <v/>
      </c>
      <c r="R16" s="17">
        <f>R15+1</f>
        <v/>
      </c>
      <c r="S16" s="148" t="inlineStr">
        <is>
          <t xml:space="preserve">DAY </t>
        </is>
      </c>
      <c r="T16" s="13">
        <f>U15</f>
        <v/>
      </c>
      <c r="U16" s="8" t="n">
        <v>1169</v>
      </c>
      <c r="V16" s="21">
        <f>U16-T16</f>
        <v/>
      </c>
      <c r="W16" s="130" t="n">
        <v>180</v>
      </c>
      <c r="X16" s="133" t="n">
        <v>1164</v>
      </c>
      <c r="Y16" s="127">
        <f>X16-X14</f>
        <v/>
      </c>
      <c r="Z16" s="129">
        <f>W16/Y16</f>
        <v/>
      </c>
      <c r="AA16" s="30" t="n"/>
      <c r="AB16" s="28" t="n"/>
      <c r="AC16" s="22" t="n"/>
      <c r="AD16" s="23" t="n"/>
      <c r="AE16" s="14">
        <f>AF15</f>
        <v/>
      </c>
      <c r="AF16" s="8" t="n">
        <v>12395</v>
      </c>
      <c r="AG16" s="26">
        <f>AF16-AE16</f>
        <v/>
      </c>
    </row>
    <row r="17">
      <c r="A17" s="17">
        <f>A16</f>
        <v/>
      </c>
      <c r="B17" s="148" t="inlineStr">
        <is>
          <t>NIGHT</t>
        </is>
      </c>
      <c r="C17" s="13">
        <f>D16</f>
        <v/>
      </c>
      <c r="D17" s="8" t="n">
        <v>541</v>
      </c>
      <c r="E17" s="21">
        <f>D17-C17</f>
        <v/>
      </c>
      <c r="F17" s="128" t="n"/>
      <c r="G17" s="132" t="n"/>
      <c r="H17" s="128" t="n"/>
      <c r="I17" s="128" t="n"/>
      <c r="J17" s="18" t="n"/>
      <c r="K17" s="18" t="n"/>
      <c r="L17" s="22" t="n"/>
      <c r="M17" s="23" t="n"/>
      <c r="N17" s="14">
        <f>O16</f>
        <v/>
      </c>
      <c r="O17" s="8" t="n">
        <v>6437</v>
      </c>
      <c r="P17" s="26">
        <f>O17-N17</f>
        <v/>
      </c>
      <c r="R17" s="17">
        <f>R16</f>
        <v/>
      </c>
      <c r="S17" s="148" t="inlineStr">
        <is>
          <t>NIGHT</t>
        </is>
      </c>
      <c r="T17" s="13">
        <f>U16</f>
        <v/>
      </c>
      <c r="U17" s="148" t="n">
        <v>1174</v>
      </c>
      <c r="V17" s="21">
        <f>U17-T17</f>
        <v/>
      </c>
      <c r="W17" s="128" t="n"/>
      <c r="X17" s="132" t="n"/>
      <c r="Y17" s="128" t="n"/>
      <c r="Z17" s="128" t="n"/>
      <c r="AA17" s="28" t="n"/>
      <c r="AB17" s="28" t="n"/>
      <c r="AC17" s="22" t="n"/>
      <c r="AD17" s="23" t="n"/>
      <c r="AE17" s="14">
        <f>AF16</f>
        <v/>
      </c>
      <c r="AF17" s="148" t="n">
        <v>12453</v>
      </c>
      <c r="AG17" s="26">
        <f>AF17-AE17</f>
        <v/>
      </c>
    </row>
    <row r="18">
      <c r="A18" s="17">
        <f>A17+1</f>
        <v/>
      </c>
      <c r="B18" s="148" t="inlineStr">
        <is>
          <t xml:space="preserve">DAY </t>
        </is>
      </c>
      <c r="C18" s="13">
        <f>D17</f>
        <v/>
      </c>
      <c r="D18" s="8" t="n">
        <v>550</v>
      </c>
      <c r="E18" s="21">
        <f>D18-C18</f>
        <v/>
      </c>
      <c r="F18" s="130" t="n">
        <v>110</v>
      </c>
      <c r="G18" s="133" t="n">
        <v>543</v>
      </c>
      <c r="H18" s="148">
        <f>G18-G16</f>
        <v/>
      </c>
      <c r="I18" s="129">
        <f>F18/H18</f>
        <v/>
      </c>
      <c r="J18" s="18" t="n"/>
      <c r="K18" s="18" t="n"/>
      <c r="L18" s="22" t="n"/>
      <c r="M18" s="23" t="n"/>
      <c r="N18" s="14">
        <f>O17</f>
        <v/>
      </c>
      <c r="O18" s="8" t="n">
        <v>6597</v>
      </c>
      <c r="P18" s="26">
        <f>O18-N18</f>
        <v/>
      </c>
      <c r="R18" s="17">
        <f>R17+1</f>
        <v/>
      </c>
      <c r="S18" s="148" t="inlineStr">
        <is>
          <t xml:space="preserve">DAY </t>
        </is>
      </c>
      <c r="T18" s="13">
        <f>U17</f>
        <v/>
      </c>
      <c r="U18" s="8" t="n">
        <v>1184</v>
      </c>
      <c r="V18" s="21">
        <f>U18-T18</f>
        <v/>
      </c>
      <c r="W18" s="130" t="n">
        <v>150</v>
      </c>
      <c r="X18" s="133" t="n">
        <v>1178</v>
      </c>
      <c r="Y18" s="127">
        <f>X18-X16</f>
        <v/>
      </c>
      <c r="Z18" s="129">
        <f>W18/Y18</f>
        <v/>
      </c>
      <c r="AA18" s="28" t="n"/>
      <c r="AB18" s="28" t="n"/>
      <c r="AC18" s="22" t="n"/>
      <c r="AD18" s="23" t="n"/>
      <c r="AE18" s="14">
        <f>AF17</f>
        <v/>
      </c>
      <c r="AF18" s="8" t="n">
        <v>12607</v>
      </c>
      <c r="AG18" s="26">
        <f>AF18-AE18</f>
        <v/>
      </c>
    </row>
    <row r="19">
      <c r="A19" s="17">
        <f>A18</f>
        <v/>
      </c>
      <c r="B19" s="148" t="inlineStr">
        <is>
          <t>NIGHT</t>
        </is>
      </c>
      <c r="C19" s="13">
        <f>D18</f>
        <v/>
      </c>
      <c r="D19" s="8" t="n">
        <v>557</v>
      </c>
      <c r="E19" s="21">
        <f>D19-C19</f>
        <v/>
      </c>
      <c r="F19" s="128" t="n"/>
      <c r="G19" s="132" t="n"/>
      <c r="H19" s="128" t="n"/>
      <c r="I19" s="128" t="n"/>
      <c r="J19" s="18" t="n"/>
      <c r="K19" s="18" t="n"/>
      <c r="L19" s="22" t="n"/>
      <c r="M19" s="23" t="n"/>
      <c r="N19" s="14">
        <f>O18</f>
        <v/>
      </c>
      <c r="O19" s="8" t="n">
        <v>6739</v>
      </c>
      <c r="P19" s="26">
        <f>O19-N19</f>
        <v/>
      </c>
      <c r="R19" s="17">
        <f>R18</f>
        <v/>
      </c>
      <c r="S19" s="148" t="inlineStr">
        <is>
          <t>NIGHT</t>
        </is>
      </c>
      <c r="T19" s="13">
        <f>U18</f>
        <v/>
      </c>
      <c r="U19" s="8" t="n">
        <v>1193</v>
      </c>
      <c r="V19" s="21">
        <f>U19-T19</f>
        <v/>
      </c>
      <c r="W19" s="128" t="n"/>
      <c r="X19" s="132" t="n"/>
      <c r="Y19" s="128" t="n"/>
      <c r="Z19" s="128" t="n"/>
      <c r="AA19" s="28" t="n"/>
      <c r="AB19" s="28" t="n"/>
      <c r="AC19" s="22" t="n"/>
      <c r="AD19" s="23" t="n"/>
      <c r="AE19" s="14">
        <f>AF18</f>
        <v/>
      </c>
      <c r="AF19" s="8" t="n">
        <v>12727</v>
      </c>
      <c r="AG19" s="26">
        <f>AF19-AE19</f>
        <v/>
      </c>
    </row>
    <row r="20">
      <c r="A20" s="17">
        <f>A19+1</f>
        <v/>
      </c>
      <c r="B20" s="148" t="inlineStr">
        <is>
          <t xml:space="preserve">DAY </t>
        </is>
      </c>
      <c r="C20" s="13">
        <f>D19</f>
        <v/>
      </c>
      <c r="D20" s="8" t="n">
        <v>564</v>
      </c>
      <c r="E20" s="21">
        <f>D20-C20</f>
        <v/>
      </c>
      <c r="F20" s="138" t="n">
        <v>290</v>
      </c>
      <c r="G20" s="131" t="n">
        <v>560</v>
      </c>
      <c r="H20" s="148">
        <f>G20-G18</f>
        <v/>
      </c>
      <c r="I20" s="129">
        <f>F20/H20</f>
        <v/>
      </c>
      <c r="J20" s="18" t="n"/>
      <c r="K20" s="18" t="n"/>
      <c r="L20" s="22" t="n"/>
      <c r="M20" s="23" t="n"/>
      <c r="N20" s="14">
        <f>O19</f>
        <v/>
      </c>
      <c r="O20" s="13" t="n">
        <v>6868</v>
      </c>
      <c r="P20" s="26">
        <f>O20-N20</f>
        <v/>
      </c>
      <c r="R20" s="17">
        <f>R19+1</f>
        <v/>
      </c>
      <c r="S20" s="148" t="inlineStr">
        <is>
          <t xml:space="preserve">DAY </t>
        </is>
      </c>
      <c r="T20" s="13">
        <f>U19</f>
        <v/>
      </c>
      <c r="U20" s="13" t="n">
        <v>1202</v>
      </c>
      <c r="V20" s="21">
        <f>U20-T20</f>
        <v/>
      </c>
      <c r="W20" s="130" t="n">
        <v>250</v>
      </c>
      <c r="X20" s="131" t="n">
        <v>1196</v>
      </c>
      <c r="Y20" s="127">
        <f>X20-X18</f>
        <v/>
      </c>
      <c r="Z20" s="129">
        <f>W20/Y20</f>
        <v/>
      </c>
      <c r="AA20" s="25" t="n"/>
      <c r="AB20" s="25" t="n"/>
      <c r="AC20" s="15" t="n"/>
      <c r="AD20" s="16" t="n"/>
      <c r="AE20" s="14">
        <f>AF19</f>
        <v/>
      </c>
      <c r="AF20" s="13" t="n">
        <v>12855</v>
      </c>
      <c r="AG20" s="26">
        <f>AF20-AE20</f>
        <v/>
      </c>
    </row>
    <row r="21">
      <c r="A21" s="17">
        <f>A20</f>
        <v/>
      </c>
      <c r="B21" s="148" t="inlineStr">
        <is>
          <t>NIGHT</t>
        </is>
      </c>
      <c r="C21" s="13">
        <f>D20</f>
        <v/>
      </c>
      <c r="D21" s="13" t="n">
        <v>570</v>
      </c>
      <c r="E21" s="21">
        <f>D21-C21</f>
        <v/>
      </c>
      <c r="F21" s="128" t="n"/>
      <c r="G21" s="132" t="n"/>
      <c r="H21" s="128" t="n"/>
      <c r="I21" s="128" t="n"/>
      <c r="J21" s="18" t="n"/>
      <c r="K21" s="18" t="n"/>
      <c r="L21" s="22" t="n"/>
      <c r="M21" s="23" t="n"/>
      <c r="N21" s="14">
        <f>O20</f>
        <v/>
      </c>
      <c r="O21" s="13" t="n">
        <v>6927</v>
      </c>
      <c r="P21" s="26">
        <f>O21-N21</f>
        <v/>
      </c>
      <c r="R21" s="17">
        <f>R20</f>
        <v/>
      </c>
      <c r="S21" s="148" t="inlineStr">
        <is>
          <t>NIGHT</t>
        </is>
      </c>
      <c r="T21" s="13">
        <f>U20</f>
        <v/>
      </c>
      <c r="U21" s="13" t="n">
        <v>1210</v>
      </c>
      <c r="V21" s="21">
        <f>U21-T21</f>
        <v/>
      </c>
      <c r="W21" s="128" t="n"/>
      <c r="X21" s="132" t="n"/>
      <c r="Y21" s="128" t="n"/>
      <c r="Z21" s="128" t="n"/>
      <c r="AA21" s="25" t="n"/>
      <c r="AB21" s="25" t="n"/>
      <c r="AC21" s="15" t="n"/>
      <c r="AD21" s="16" t="n"/>
      <c r="AE21" s="14">
        <f>AF20</f>
        <v/>
      </c>
      <c r="AF21" s="13" t="n">
        <v>12932</v>
      </c>
      <c r="AG21" s="26">
        <f>AF21-AE21</f>
        <v/>
      </c>
    </row>
    <row r="22">
      <c r="A22" s="17">
        <f>A21+1</f>
        <v/>
      </c>
      <c r="B22" s="148" t="inlineStr">
        <is>
          <t xml:space="preserve">DAY </t>
        </is>
      </c>
      <c r="C22" s="13">
        <f>D21</f>
        <v/>
      </c>
      <c r="D22" s="13" t="n">
        <v>580</v>
      </c>
      <c r="E22" s="21">
        <f>D22-C22</f>
        <v/>
      </c>
      <c r="F22" s="130" t="n">
        <v>100</v>
      </c>
      <c r="G22" s="133" t="n">
        <v>573</v>
      </c>
      <c r="H22" s="148">
        <f>G22-G20</f>
        <v/>
      </c>
      <c r="I22" s="129">
        <f>F22/H22</f>
        <v/>
      </c>
      <c r="J22" s="18" t="n"/>
      <c r="K22" s="18" t="n"/>
      <c r="L22" s="22" t="n"/>
      <c r="M22" s="23" t="n"/>
      <c r="N22" s="14">
        <f>O21</f>
        <v/>
      </c>
      <c r="O22" s="13" t="n">
        <v>7044</v>
      </c>
      <c r="P22" s="26">
        <f>O22-N22</f>
        <v/>
      </c>
      <c r="R22" s="17">
        <f>R21+1</f>
        <v/>
      </c>
      <c r="S22" s="148" t="inlineStr">
        <is>
          <t xml:space="preserve">DAY </t>
        </is>
      </c>
      <c r="T22" s="13">
        <f>U21</f>
        <v/>
      </c>
      <c r="U22" s="8" t="n">
        <v>1218</v>
      </c>
      <c r="V22" s="21">
        <f>U22-T22</f>
        <v/>
      </c>
      <c r="W22" s="130" t="n">
        <v>70</v>
      </c>
      <c r="X22" s="133" t="n">
        <v>1211</v>
      </c>
      <c r="Y22" s="127">
        <f>X22-X20</f>
        <v/>
      </c>
      <c r="Z22" s="129">
        <f>W22/Y22</f>
        <v/>
      </c>
      <c r="AA22" s="28" t="n"/>
      <c r="AB22" s="28" t="n"/>
      <c r="AC22" s="22" t="n"/>
      <c r="AD22" s="23" t="n"/>
      <c r="AE22" s="14">
        <f>AF21</f>
        <v/>
      </c>
      <c r="AF22" s="8" t="n">
        <v>13049</v>
      </c>
      <c r="AG22" s="26">
        <f>AF22-AE22</f>
        <v/>
      </c>
    </row>
    <row r="23">
      <c r="A23" s="17">
        <f>A22</f>
        <v/>
      </c>
      <c r="B23" s="148" t="inlineStr">
        <is>
          <t>NIGHT</t>
        </is>
      </c>
      <c r="C23" s="13">
        <f>D22</f>
        <v/>
      </c>
      <c r="D23" s="8" t="n">
        <v>586</v>
      </c>
      <c r="E23" s="21">
        <f>D23-C23</f>
        <v/>
      </c>
      <c r="F23" s="128" t="n"/>
      <c r="G23" s="132" t="n"/>
      <c r="H23" s="128" t="n"/>
      <c r="I23" s="128" t="n"/>
      <c r="J23" s="18" t="n"/>
      <c r="K23" s="18" t="n"/>
      <c r="L23" s="22" t="n"/>
      <c r="M23" s="23" t="n"/>
      <c r="N23" s="14">
        <f>O22</f>
        <v/>
      </c>
      <c r="O23" s="8" t="n">
        <v>7109</v>
      </c>
      <c r="P23" s="26">
        <f>O23-N23</f>
        <v/>
      </c>
      <c r="R23" s="17">
        <f>R22</f>
        <v/>
      </c>
      <c r="S23" s="148" t="inlineStr">
        <is>
          <t>NIGHT</t>
        </is>
      </c>
      <c r="T23" s="13">
        <f>U22</f>
        <v/>
      </c>
      <c r="U23" s="8" t="n">
        <v>1224</v>
      </c>
      <c r="V23" s="21">
        <f>U23-T23</f>
        <v/>
      </c>
      <c r="W23" s="128" t="n"/>
      <c r="X23" s="132" t="n"/>
      <c r="Y23" s="128" t="n"/>
      <c r="Z23" s="128" t="n"/>
      <c r="AA23" s="28" t="n"/>
      <c r="AB23" s="28" t="n"/>
      <c r="AC23" s="22" t="n"/>
      <c r="AD23" s="23" t="n"/>
      <c r="AE23" s="14">
        <f>AF22</f>
        <v/>
      </c>
      <c r="AF23" s="8" t="n">
        <v>13150</v>
      </c>
      <c r="AG23" s="26">
        <f>AF23-AE23</f>
        <v/>
      </c>
    </row>
    <row r="24">
      <c r="A24" s="17">
        <f>A23+1</f>
        <v/>
      </c>
      <c r="B24" s="148" t="inlineStr">
        <is>
          <t xml:space="preserve">DAY </t>
        </is>
      </c>
      <c r="C24" s="13">
        <f>D23</f>
        <v/>
      </c>
      <c r="D24" s="8" t="n">
        <v>596</v>
      </c>
      <c r="E24" s="21">
        <f>D24-C24</f>
        <v/>
      </c>
      <c r="F24" s="130" t="n">
        <v>230</v>
      </c>
      <c r="G24" s="133" t="n">
        <v>587</v>
      </c>
      <c r="H24" s="148">
        <f>G24-G22</f>
        <v/>
      </c>
      <c r="I24" s="129">
        <f>F24/H24</f>
        <v/>
      </c>
      <c r="J24" s="18" t="n"/>
      <c r="K24" s="18" t="n"/>
      <c r="L24" s="22" t="n"/>
      <c r="M24" s="23" t="n"/>
      <c r="N24" s="14">
        <f>O23</f>
        <v/>
      </c>
      <c r="O24" s="8" t="n">
        <v>7309</v>
      </c>
      <c r="P24" s="26">
        <f>O24-N24</f>
        <v/>
      </c>
      <c r="R24" s="17">
        <f>R23+1</f>
        <v/>
      </c>
      <c r="S24" s="148" t="inlineStr">
        <is>
          <t xml:space="preserve">DAY </t>
        </is>
      </c>
      <c r="T24" s="13">
        <f>U23</f>
        <v/>
      </c>
      <c r="U24" s="8" t="n">
        <v>1234</v>
      </c>
      <c r="V24" s="21">
        <f>U24-T24</f>
        <v/>
      </c>
      <c r="W24" s="130" t="n">
        <v>230</v>
      </c>
      <c r="X24" s="133" t="n">
        <v>1225</v>
      </c>
      <c r="Y24" s="127">
        <f>X24-X22</f>
        <v/>
      </c>
      <c r="Z24" s="129">
        <f>W24/Y24</f>
        <v/>
      </c>
      <c r="AA24" s="28" t="n"/>
      <c r="AB24" s="28" t="n"/>
      <c r="AC24" s="22" t="n"/>
      <c r="AD24" s="23" t="n"/>
      <c r="AE24" s="14">
        <f>AF23</f>
        <v/>
      </c>
      <c r="AF24" s="8" t="n">
        <v>13301</v>
      </c>
      <c r="AG24" s="26">
        <f>AF24-AE24</f>
        <v/>
      </c>
    </row>
    <row r="25">
      <c r="A25" s="17">
        <f>A24</f>
        <v/>
      </c>
      <c r="B25" s="148" t="inlineStr">
        <is>
          <t>NIGHT</t>
        </is>
      </c>
      <c r="C25" s="13">
        <f>D24</f>
        <v/>
      </c>
      <c r="D25" s="8" t="n">
        <v>603</v>
      </c>
      <c r="E25" s="21">
        <f>D25-C25</f>
        <v/>
      </c>
      <c r="F25" s="128" t="n"/>
      <c r="G25" s="132" t="n"/>
      <c r="H25" s="128" t="n"/>
      <c r="I25" s="128" t="n"/>
      <c r="J25" s="18" t="n"/>
      <c r="K25" s="18" t="n"/>
      <c r="L25" s="22" t="n"/>
      <c r="M25" s="23" t="n"/>
      <c r="N25" s="14">
        <f>O24</f>
        <v/>
      </c>
      <c r="O25" s="8" t="n">
        <v>7423</v>
      </c>
      <c r="P25" s="26">
        <f>O25-N25</f>
        <v/>
      </c>
      <c r="R25" s="17">
        <f>R24</f>
        <v/>
      </c>
      <c r="S25" s="148" t="inlineStr">
        <is>
          <t>NIGHT</t>
        </is>
      </c>
      <c r="T25" s="13">
        <f>U24</f>
        <v/>
      </c>
      <c r="U25" s="8" t="n">
        <v>1239</v>
      </c>
      <c r="V25" s="21">
        <f>U25-T25</f>
        <v/>
      </c>
      <c r="W25" s="128" t="n"/>
      <c r="X25" s="132" t="n"/>
      <c r="Y25" s="128" t="n"/>
      <c r="Z25" s="128" t="n"/>
      <c r="AA25" s="28" t="n"/>
      <c r="AB25" s="28" t="n"/>
      <c r="AC25" s="22" t="n"/>
      <c r="AD25" s="23" t="n"/>
      <c r="AE25" s="14">
        <f>AF24</f>
        <v/>
      </c>
      <c r="AF25" s="8" t="n">
        <v>13356</v>
      </c>
      <c r="AG25" s="26">
        <f>AF25-AE25</f>
        <v/>
      </c>
    </row>
    <row r="26">
      <c r="A26" s="17">
        <f>A25+1</f>
        <v/>
      </c>
      <c r="B26" s="148" t="inlineStr">
        <is>
          <t xml:space="preserve">DAY </t>
        </is>
      </c>
      <c r="C26" s="13">
        <f>D25</f>
        <v/>
      </c>
      <c r="D26" s="127" t="n">
        <v>613</v>
      </c>
      <c r="E26" s="21">
        <f>D26-C26</f>
        <v/>
      </c>
      <c r="F26" s="134" t="n">
        <v>180</v>
      </c>
      <c r="G26" s="131" t="n">
        <v>605</v>
      </c>
      <c r="H26" s="148">
        <f>G26-G24</f>
        <v/>
      </c>
      <c r="I26" s="129">
        <f>F26/H26</f>
        <v/>
      </c>
      <c r="J26" s="18" t="n"/>
      <c r="K26" s="18" t="n"/>
      <c r="L26" s="22" t="n"/>
      <c r="M26" s="23" t="n"/>
      <c r="N26" s="14">
        <f>O25</f>
        <v/>
      </c>
      <c r="O26" s="127" t="n">
        <v>7586</v>
      </c>
      <c r="P26" s="26">
        <f>O26-N26</f>
        <v/>
      </c>
      <c r="R26" s="17">
        <f>R25+1</f>
        <v/>
      </c>
      <c r="S26" s="148" t="inlineStr">
        <is>
          <t xml:space="preserve">DAY </t>
        </is>
      </c>
      <c r="T26" s="13">
        <f>U25</f>
        <v/>
      </c>
      <c r="U26" s="127" t="n">
        <v>1250</v>
      </c>
      <c r="V26" s="21">
        <f>U26-T26</f>
        <v/>
      </c>
      <c r="W26" s="134" t="n">
        <v>150</v>
      </c>
      <c r="X26" s="131" t="n">
        <v>1241</v>
      </c>
      <c r="Y26" s="127">
        <f>X26-X24</f>
        <v/>
      </c>
      <c r="Z26" s="129">
        <f>W26/Y26</f>
        <v/>
      </c>
      <c r="AA26" s="9" t="n"/>
      <c r="AB26" s="9" t="n"/>
      <c r="AC26" s="15" t="n"/>
      <c r="AD26" s="16" t="n"/>
      <c r="AE26" s="14">
        <f>AF25</f>
        <v/>
      </c>
      <c r="AF26" s="127" t="n">
        <v>13506</v>
      </c>
      <c r="AG26" s="26">
        <f>AF26-AE26</f>
        <v/>
      </c>
    </row>
    <row r="27">
      <c r="A27" s="17">
        <f>A26</f>
        <v/>
      </c>
      <c r="B27" s="148" t="inlineStr">
        <is>
          <t>NIGHT</t>
        </is>
      </c>
      <c r="C27" s="13">
        <f>D26</f>
        <v/>
      </c>
      <c r="D27" s="127" t="n">
        <v>622</v>
      </c>
      <c r="E27" s="21">
        <f>D27-C27</f>
        <v/>
      </c>
      <c r="F27" s="128" t="n"/>
      <c r="G27" s="132" t="n"/>
      <c r="H27" s="128" t="n"/>
      <c r="I27" s="128" t="n"/>
      <c r="J27" s="18" t="n"/>
      <c r="K27" s="18" t="n"/>
      <c r="L27" s="22" t="n"/>
      <c r="M27" s="23" t="n"/>
      <c r="N27" s="14">
        <f>O26</f>
        <v/>
      </c>
      <c r="O27" s="127" t="n">
        <v>7727</v>
      </c>
      <c r="P27" s="26">
        <f>O27-N27</f>
        <v/>
      </c>
      <c r="R27" s="17">
        <f>R26</f>
        <v/>
      </c>
      <c r="S27" s="148" t="inlineStr">
        <is>
          <t>NIGHT</t>
        </is>
      </c>
      <c r="T27" s="13">
        <f>U26</f>
        <v/>
      </c>
      <c r="U27" s="127" t="n">
        <v>1260</v>
      </c>
      <c r="V27" s="21">
        <f>U27-T27</f>
        <v/>
      </c>
      <c r="W27" s="128" t="n"/>
      <c r="X27" s="132" t="n"/>
      <c r="Y27" s="128" t="n"/>
      <c r="Z27" s="128" t="n"/>
      <c r="AA27" s="9" t="n"/>
      <c r="AB27" s="9" t="n"/>
      <c r="AC27" s="15" t="n"/>
      <c r="AD27" s="16" t="n"/>
      <c r="AE27" s="14">
        <f>AF26</f>
        <v/>
      </c>
      <c r="AF27" s="127" t="n">
        <v>13666</v>
      </c>
      <c r="AG27" s="26">
        <f>AF27-AE27</f>
        <v/>
      </c>
    </row>
    <row r="28">
      <c r="A28" s="17">
        <f>A27+1</f>
        <v/>
      </c>
      <c r="B28" s="148" t="inlineStr">
        <is>
          <t xml:space="preserve">DAY </t>
        </is>
      </c>
      <c r="C28" s="13">
        <f>D27</f>
        <v/>
      </c>
      <c r="D28" s="8" t="n">
        <v>628</v>
      </c>
      <c r="E28" s="21">
        <f>D28-C28</f>
        <v/>
      </c>
      <c r="F28" s="130" t="n">
        <v>330</v>
      </c>
      <c r="G28" s="133" t="n">
        <v>625</v>
      </c>
      <c r="H28" s="148">
        <f>G28-G26</f>
        <v/>
      </c>
      <c r="I28" s="129">
        <f>F28/H28</f>
        <v/>
      </c>
      <c r="J28" s="18" t="n"/>
      <c r="K28" s="18" t="n"/>
      <c r="L28" s="22" t="n"/>
      <c r="M28" s="23" t="n"/>
      <c r="N28" s="14">
        <f>O27</f>
        <v/>
      </c>
      <c r="O28" s="8" t="n">
        <v>7845</v>
      </c>
      <c r="P28" s="26">
        <f>O28-N28</f>
        <v/>
      </c>
      <c r="R28" s="17">
        <f>R27+1</f>
        <v/>
      </c>
      <c r="S28" s="148" t="inlineStr">
        <is>
          <t xml:space="preserve">DAY </t>
        </is>
      </c>
      <c r="T28" s="13">
        <f>U27</f>
        <v/>
      </c>
      <c r="U28" s="8" t="n">
        <v>1268</v>
      </c>
      <c r="V28" s="21">
        <f>U28-T28</f>
        <v/>
      </c>
      <c r="W28" s="130" t="n">
        <v>270</v>
      </c>
      <c r="X28" s="133" t="n">
        <v>1264</v>
      </c>
      <c r="Y28" s="127">
        <f>X28-X26</f>
        <v/>
      </c>
      <c r="Z28" s="129">
        <f>W28/Y28</f>
        <v/>
      </c>
      <c r="AA28" s="28" t="n"/>
      <c r="AB28" s="28" t="n"/>
      <c r="AC28" s="22" t="n"/>
      <c r="AD28" s="23" t="n"/>
      <c r="AE28" s="14">
        <f>AF27</f>
        <v/>
      </c>
      <c r="AF28" s="8" t="n">
        <v>13752</v>
      </c>
      <c r="AG28" s="26">
        <f>AF28-AE28</f>
        <v/>
      </c>
    </row>
    <row r="29">
      <c r="A29" s="17">
        <f>A28</f>
        <v/>
      </c>
      <c r="B29" s="148" t="inlineStr">
        <is>
          <t>NIGHT</t>
        </is>
      </c>
      <c r="C29" s="13">
        <f>D28</f>
        <v/>
      </c>
      <c r="D29" s="8" t="n">
        <v>637</v>
      </c>
      <c r="E29" s="21">
        <f>D29-C29</f>
        <v/>
      </c>
      <c r="F29" s="128" t="n"/>
      <c r="G29" s="132" t="n"/>
      <c r="H29" s="128" t="n"/>
      <c r="I29" s="128" t="n"/>
      <c r="J29" s="18" t="n"/>
      <c r="K29" s="18" t="n"/>
      <c r="L29" s="22" t="n"/>
      <c r="M29" s="23" t="n"/>
      <c r="N29" s="14">
        <f>O28</f>
        <v/>
      </c>
      <c r="O29" s="8" t="n">
        <v>7939</v>
      </c>
      <c r="P29" s="26">
        <f>O29-N29</f>
        <v/>
      </c>
      <c r="R29" s="17">
        <f>R28</f>
        <v/>
      </c>
      <c r="S29" s="148" t="inlineStr">
        <is>
          <t>NIGHT</t>
        </is>
      </c>
      <c r="T29" s="13">
        <f>U28</f>
        <v/>
      </c>
      <c r="U29" s="8" t="n">
        <v>1276</v>
      </c>
      <c r="V29" s="21">
        <f>U29-T29</f>
        <v/>
      </c>
      <c r="W29" s="128" t="n"/>
      <c r="X29" s="132" t="n"/>
      <c r="Y29" s="128" t="n"/>
      <c r="Z29" s="128" t="n"/>
      <c r="AA29" s="18" t="n"/>
      <c r="AB29" s="18" t="n"/>
      <c r="AC29" s="22" t="n"/>
      <c r="AD29" s="23" t="n"/>
      <c r="AE29" s="14">
        <f>AF28</f>
        <v/>
      </c>
      <c r="AF29" s="8" t="n">
        <v>13860</v>
      </c>
      <c r="AG29" s="26">
        <f>AF29-AE29</f>
        <v/>
      </c>
    </row>
    <row r="30">
      <c r="A30" s="17">
        <f>A29+1</f>
        <v/>
      </c>
      <c r="B30" s="148" t="inlineStr">
        <is>
          <t xml:space="preserve">DAY </t>
        </is>
      </c>
      <c r="C30" s="13">
        <f>D29</f>
        <v/>
      </c>
      <c r="D30" s="8" t="n">
        <v>646</v>
      </c>
      <c r="E30" s="21">
        <f>D30-C30</f>
        <v/>
      </c>
      <c r="F30" s="130" t="n">
        <v>220</v>
      </c>
      <c r="G30" s="133" t="n">
        <v>642</v>
      </c>
      <c r="H30" s="148">
        <f>G30-G28</f>
        <v/>
      </c>
      <c r="I30" s="129">
        <f>F30/H30</f>
        <v/>
      </c>
      <c r="J30" s="18" t="n"/>
      <c r="K30" s="18" t="n"/>
      <c r="L30" s="22" t="n"/>
      <c r="M30" s="23" t="n"/>
      <c r="N30" s="14">
        <f>O29</f>
        <v/>
      </c>
      <c r="O30" s="8" t="n">
        <v>8183</v>
      </c>
      <c r="P30" s="26">
        <f>O30-N30</f>
        <v/>
      </c>
      <c r="R30" s="17">
        <f>R29+1</f>
        <v/>
      </c>
      <c r="S30" s="148" t="inlineStr">
        <is>
          <t xml:space="preserve">DAY </t>
        </is>
      </c>
      <c r="T30" s="13">
        <f>U29</f>
        <v/>
      </c>
      <c r="U30" s="8" t="n">
        <v>1286</v>
      </c>
      <c r="V30" s="21">
        <f>U30-T30</f>
        <v/>
      </c>
      <c r="W30" s="130" t="n">
        <v>200</v>
      </c>
      <c r="X30" s="133" t="n">
        <v>1281</v>
      </c>
      <c r="Y30" s="127">
        <f>X30-X28</f>
        <v/>
      </c>
      <c r="Z30" s="129">
        <f>W30/Y30</f>
        <v/>
      </c>
      <c r="AA30" s="18" t="n"/>
      <c r="AB30" s="18" t="n"/>
      <c r="AC30" s="22" t="n"/>
      <c r="AD30" s="23" t="n"/>
      <c r="AE30" s="14">
        <f>AF29</f>
        <v/>
      </c>
      <c r="AF30" s="8" t="n">
        <v>14055</v>
      </c>
      <c r="AG30" s="26">
        <f>AF30-AE30</f>
        <v/>
      </c>
    </row>
    <row r="31">
      <c r="A31" s="17">
        <f>A30</f>
        <v/>
      </c>
      <c r="B31" s="148" t="inlineStr">
        <is>
          <t>NIGHT</t>
        </is>
      </c>
      <c r="C31" s="13">
        <f>D30</f>
        <v/>
      </c>
      <c r="D31" s="8" t="n">
        <v>654</v>
      </c>
      <c r="E31" s="21">
        <f>D31-C31</f>
        <v/>
      </c>
      <c r="F31" s="128" t="n"/>
      <c r="G31" s="132" t="n"/>
      <c r="H31" s="128" t="n"/>
      <c r="I31" s="128" t="n"/>
      <c r="J31" s="18" t="n"/>
      <c r="K31" s="18" t="n"/>
      <c r="L31" s="22" t="n"/>
      <c r="M31" s="23" t="n"/>
      <c r="N31" s="14">
        <f>O30</f>
        <v/>
      </c>
      <c r="O31" s="8" t="n">
        <v>8277</v>
      </c>
      <c r="P31" s="26">
        <f>O31-N31</f>
        <v/>
      </c>
      <c r="R31" s="17">
        <f>R30</f>
        <v/>
      </c>
      <c r="S31" s="148" t="inlineStr">
        <is>
          <t>NIGHT</t>
        </is>
      </c>
      <c r="T31" s="13">
        <f>U30</f>
        <v/>
      </c>
      <c r="U31" s="8" t="n">
        <v>1294</v>
      </c>
      <c r="V31" s="21">
        <f>U31-T31</f>
        <v/>
      </c>
      <c r="W31" s="128" t="n"/>
      <c r="X31" s="132" t="n"/>
      <c r="Y31" s="128" t="n"/>
      <c r="Z31" s="128" t="n"/>
      <c r="AA31" s="18" t="n"/>
      <c r="AB31" s="18" t="n"/>
      <c r="AC31" s="22" t="n"/>
      <c r="AD31" s="23" t="n"/>
      <c r="AE31" s="14">
        <f>AF30</f>
        <v/>
      </c>
      <c r="AF31" s="8" t="n">
        <v>14182</v>
      </c>
      <c r="AG31" s="26">
        <f>AF31-AE31</f>
        <v/>
      </c>
    </row>
    <row r="32">
      <c r="A32" s="17">
        <f>A31+1</f>
        <v/>
      </c>
      <c r="B32" s="127" t="inlineStr">
        <is>
          <t xml:space="preserve">DAY </t>
        </is>
      </c>
      <c r="C32" s="13">
        <f>D31</f>
        <v/>
      </c>
      <c r="D32" s="8" t="n">
        <v>662</v>
      </c>
      <c r="E32" s="11">
        <f>D32-C32</f>
        <v/>
      </c>
      <c r="F32" s="130" t="n">
        <v>160</v>
      </c>
      <c r="G32" s="133" t="n">
        <v>657</v>
      </c>
      <c r="H32" s="148">
        <f>G32-G30</f>
        <v/>
      </c>
      <c r="I32" s="129">
        <f>F32/H32</f>
        <v/>
      </c>
      <c r="J32" s="18" t="n"/>
      <c r="K32" s="18" t="n"/>
      <c r="L32" s="22" t="n"/>
      <c r="M32" s="23" t="n"/>
      <c r="N32" s="14">
        <f>O31</f>
        <v/>
      </c>
      <c r="O32" s="13" t="n">
        <v>8352</v>
      </c>
      <c r="P32" s="7">
        <f>O32-N32</f>
        <v/>
      </c>
      <c r="R32" s="17">
        <f>R31+1</f>
        <v/>
      </c>
      <c r="S32" s="127" t="inlineStr">
        <is>
          <t xml:space="preserve">DAY </t>
        </is>
      </c>
      <c r="T32" s="13">
        <f>U31</f>
        <v/>
      </c>
      <c r="U32" s="8" t="n">
        <v>1301</v>
      </c>
      <c r="V32" s="11">
        <f>U32-T32</f>
        <v/>
      </c>
      <c r="W32" s="130" t="n">
        <v>200</v>
      </c>
      <c r="X32" s="133" t="n">
        <v>1297</v>
      </c>
      <c r="Y32" s="127">
        <f>X32-X30</f>
        <v/>
      </c>
      <c r="Z32" s="129">
        <f>W32/Y32</f>
        <v/>
      </c>
      <c r="AA32" s="24" t="n"/>
      <c r="AB32" s="24" t="n"/>
      <c r="AC32" s="22" t="n"/>
      <c r="AD32" s="23" t="n"/>
      <c r="AE32" s="14">
        <f>AF31</f>
        <v/>
      </c>
      <c r="AF32" s="13" t="n">
        <v>14279</v>
      </c>
      <c r="AG32" s="7">
        <f>AF32-AE32</f>
        <v/>
      </c>
    </row>
    <row r="33">
      <c r="A33" s="17">
        <f>A32</f>
        <v/>
      </c>
      <c r="B33" s="127" t="inlineStr">
        <is>
          <t>NIGHT</t>
        </is>
      </c>
      <c r="C33" s="13">
        <f>D32</f>
        <v/>
      </c>
      <c r="D33" s="13" t="n">
        <v>671</v>
      </c>
      <c r="E33" s="11">
        <f>D33-C33</f>
        <v/>
      </c>
      <c r="F33" s="128" t="n"/>
      <c r="G33" s="132" t="n"/>
      <c r="H33" s="128" t="n"/>
      <c r="I33" s="128" t="n"/>
      <c r="J33" s="18" t="n"/>
      <c r="K33" s="18" t="n"/>
      <c r="L33" s="22" t="n"/>
      <c r="M33" s="23" t="n"/>
      <c r="N33" s="14">
        <f>O32</f>
        <v/>
      </c>
      <c r="O33" s="13" t="n">
        <v>8443</v>
      </c>
      <c r="P33" s="7">
        <f>O33-N33</f>
        <v/>
      </c>
      <c r="R33" s="17">
        <f>R32</f>
        <v/>
      </c>
      <c r="S33" s="127" t="inlineStr">
        <is>
          <t>NIGHT</t>
        </is>
      </c>
      <c r="T33" s="13">
        <f>U32</f>
        <v/>
      </c>
      <c r="U33" s="13" t="n">
        <v>1312</v>
      </c>
      <c r="V33" s="11">
        <f>U33-T33</f>
        <v/>
      </c>
      <c r="W33" s="128" t="n"/>
      <c r="X33" s="132" t="n"/>
      <c r="Y33" s="128" t="n"/>
      <c r="Z33" s="128" t="n"/>
      <c r="AA33" s="25" t="n"/>
      <c r="AB33" s="25" t="n"/>
      <c r="AC33" s="15" t="n"/>
      <c r="AD33" s="16" t="n"/>
      <c r="AE33" s="14">
        <f>AF32</f>
        <v/>
      </c>
      <c r="AF33" s="13" t="n">
        <v>14408</v>
      </c>
      <c r="AG33" s="7">
        <f>AF33-AE33</f>
        <v/>
      </c>
    </row>
    <row r="34">
      <c r="A34" s="17">
        <f>A33+1</f>
        <v/>
      </c>
      <c r="B34" s="127" t="inlineStr">
        <is>
          <t xml:space="preserve">DAY </t>
        </is>
      </c>
      <c r="C34" s="13">
        <f>D33</f>
        <v/>
      </c>
      <c r="D34" s="13" t="n">
        <v>679</v>
      </c>
      <c r="E34" s="11">
        <f>D34-C34</f>
        <v/>
      </c>
      <c r="F34" s="130" t="n">
        <v>200</v>
      </c>
      <c r="G34" s="131" t="n">
        <v>678</v>
      </c>
      <c r="H34" s="148">
        <f>G34-G32</f>
        <v/>
      </c>
      <c r="I34" s="129">
        <f>F34/H34</f>
        <v/>
      </c>
      <c r="J34" s="18" t="n"/>
      <c r="K34" s="18" t="n"/>
      <c r="L34" s="22" t="n"/>
      <c r="M34" s="23" t="n"/>
      <c r="N34" s="14">
        <f>O33</f>
        <v/>
      </c>
      <c r="O34" s="13" t="n">
        <v>8550</v>
      </c>
      <c r="P34" s="7">
        <f>O34-N34</f>
        <v/>
      </c>
      <c r="R34" s="17">
        <f>R33+1</f>
        <v/>
      </c>
      <c r="S34" s="127" t="inlineStr">
        <is>
          <t xml:space="preserve">DAY </t>
        </is>
      </c>
      <c r="T34" s="13">
        <f>U33</f>
        <v/>
      </c>
      <c r="U34" s="13" t="n">
        <v>1320</v>
      </c>
      <c r="V34" s="11">
        <f>U34-T34</f>
        <v/>
      </c>
      <c r="W34" s="130" t="n">
        <v>200</v>
      </c>
      <c r="X34" s="131" t="n">
        <v>1318</v>
      </c>
      <c r="Y34" s="127">
        <f>X34-X32</f>
        <v/>
      </c>
      <c r="Z34" s="129">
        <f>W34/Y34</f>
        <v/>
      </c>
      <c r="AA34" s="24" t="n"/>
      <c r="AB34" s="24" t="n"/>
      <c r="AC34" s="22" t="n"/>
      <c r="AD34" s="23" t="n"/>
      <c r="AE34" s="14">
        <f>AF33</f>
        <v/>
      </c>
      <c r="AF34" s="13" t="n">
        <v>14513</v>
      </c>
      <c r="AG34" s="7">
        <f>AF34-AE34</f>
        <v/>
      </c>
    </row>
    <row r="35">
      <c r="A35" s="17">
        <f>A34</f>
        <v/>
      </c>
      <c r="B35" s="127" t="inlineStr">
        <is>
          <t>NIGHT</t>
        </is>
      </c>
      <c r="C35" s="13">
        <f>D34</f>
        <v/>
      </c>
      <c r="D35" s="13" t="n">
        <v>686</v>
      </c>
      <c r="E35" s="11">
        <f>D35-C35</f>
        <v/>
      </c>
      <c r="F35" s="128" t="n"/>
      <c r="G35" s="132" t="n"/>
      <c r="H35" s="128" t="n"/>
      <c r="I35" s="128" t="n"/>
      <c r="J35" s="18" t="n"/>
      <c r="K35" s="18" t="n"/>
      <c r="L35" s="22" t="n"/>
      <c r="M35" s="23" t="n"/>
      <c r="N35" s="14">
        <f>O34</f>
        <v/>
      </c>
      <c r="O35" s="13" t="n">
        <v>8647</v>
      </c>
      <c r="P35" s="7">
        <f>O35-N35</f>
        <v/>
      </c>
      <c r="R35" s="17">
        <f>R34</f>
        <v/>
      </c>
      <c r="S35" s="127" t="inlineStr">
        <is>
          <t>NIGHT</t>
        </is>
      </c>
      <c r="T35" s="13">
        <f>U34</f>
        <v/>
      </c>
      <c r="U35" s="13" t="n">
        <v>1328</v>
      </c>
      <c r="V35" s="11">
        <f>U35-T35</f>
        <v/>
      </c>
      <c r="W35" s="128" t="n"/>
      <c r="X35" s="132" t="n"/>
      <c r="Y35" s="128" t="n"/>
      <c r="Z35" s="128" t="n"/>
      <c r="AA35" s="25" t="n"/>
      <c r="AB35" s="25" t="n"/>
      <c r="AC35" s="15" t="n"/>
      <c r="AD35" s="16" t="n"/>
      <c r="AE35" s="14">
        <f>AF34</f>
        <v/>
      </c>
      <c r="AF35" s="13" t="n">
        <v>14595</v>
      </c>
      <c r="AG35" s="7">
        <f>AF35-AE35</f>
        <v/>
      </c>
    </row>
    <row r="36">
      <c r="A36" s="17">
        <f>A35+1</f>
        <v/>
      </c>
      <c r="B36" s="127" t="inlineStr">
        <is>
          <t xml:space="preserve">DAY </t>
        </is>
      </c>
      <c r="C36" s="13">
        <f>D35</f>
        <v/>
      </c>
      <c r="D36" s="13" t="n">
        <v>695</v>
      </c>
      <c r="E36" s="11">
        <f>D36-C36</f>
        <v/>
      </c>
      <c r="F36" s="130" t="n">
        <v>190</v>
      </c>
      <c r="G36" s="131" t="n">
        <v>689</v>
      </c>
      <c r="H36" s="148">
        <f>G36-G34</f>
        <v/>
      </c>
      <c r="I36" s="129">
        <f>F36/H36</f>
        <v/>
      </c>
      <c r="J36" s="18" t="n"/>
      <c r="K36" s="18" t="n"/>
      <c r="L36" s="22" t="n"/>
      <c r="M36" s="23" t="n"/>
      <c r="N36" s="14">
        <f>O35</f>
        <v/>
      </c>
      <c r="O36" s="13" t="n">
        <v>8771</v>
      </c>
      <c r="P36" s="7">
        <f>O36-N36</f>
        <v/>
      </c>
      <c r="R36" s="17">
        <f>R35+1</f>
        <v/>
      </c>
      <c r="S36" s="127" t="inlineStr">
        <is>
          <t xml:space="preserve">DAY </t>
        </is>
      </c>
      <c r="T36" s="13">
        <f>U35</f>
        <v/>
      </c>
      <c r="U36" s="13" t="n">
        <v>1337</v>
      </c>
      <c r="V36" s="11">
        <f>U36-T36</f>
        <v/>
      </c>
      <c r="W36" s="130" t="n">
        <v>200</v>
      </c>
      <c r="X36" s="131" t="n">
        <v>1332</v>
      </c>
      <c r="Y36" s="127">
        <f>X36-X34</f>
        <v/>
      </c>
      <c r="Z36" s="129">
        <f>W36/Y36</f>
        <v/>
      </c>
      <c r="AA36" s="24" t="n"/>
      <c r="AB36" s="24" t="n"/>
      <c r="AC36" s="22" t="n"/>
      <c r="AD36" s="23" t="n"/>
      <c r="AE36" s="14">
        <f>AF35</f>
        <v/>
      </c>
      <c r="AF36" s="13" t="n">
        <v>14719</v>
      </c>
      <c r="AG36" s="7">
        <f>AF36-AE36</f>
        <v/>
      </c>
    </row>
    <row r="37">
      <c r="A37" s="17">
        <f>A36</f>
        <v/>
      </c>
      <c r="B37" s="127" t="inlineStr">
        <is>
          <t>NIGHT</t>
        </is>
      </c>
      <c r="C37" s="13">
        <f>D36</f>
        <v/>
      </c>
      <c r="D37" s="13" t="n">
        <v>704</v>
      </c>
      <c r="E37" s="11">
        <f>D37-C37</f>
        <v/>
      </c>
      <c r="F37" s="128" t="n"/>
      <c r="G37" s="132" t="n"/>
      <c r="H37" s="128" t="n"/>
      <c r="I37" s="128" t="n"/>
      <c r="J37" s="18" t="n"/>
      <c r="K37" s="18" t="n"/>
      <c r="L37" s="22" t="n"/>
      <c r="M37" s="23" t="n"/>
      <c r="N37" s="14">
        <f>O36</f>
        <v/>
      </c>
      <c r="O37" s="13" t="n">
        <v>8919</v>
      </c>
      <c r="P37" s="7">
        <f>O37-N37</f>
        <v/>
      </c>
      <c r="R37" s="17">
        <f>R36</f>
        <v/>
      </c>
      <c r="S37" s="127" t="inlineStr">
        <is>
          <t>NIGHT</t>
        </is>
      </c>
      <c r="T37" s="13">
        <f>U36</f>
        <v/>
      </c>
      <c r="U37" s="13" t="n">
        <v>1346</v>
      </c>
      <c r="V37" s="11">
        <f>U37-T37</f>
        <v/>
      </c>
      <c r="W37" s="128" t="n"/>
      <c r="X37" s="132" t="n"/>
      <c r="Y37" s="128" t="n"/>
      <c r="Z37" s="128" t="n"/>
      <c r="AA37" s="25" t="n"/>
      <c r="AB37" s="25" t="n"/>
      <c r="AC37" s="15" t="n"/>
      <c r="AD37" s="16" t="n"/>
      <c r="AE37" s="14">
        <f>AF36</f>
        <v/>
      </c>
      <c r="AF37" s="7" t="n">
        <v>14838</v>
      </c>
      <c r="AG37" s="7">
        <f>AF37-AE37</f>
        <v/>
      </c>
    </row>
    <row r="38">
      <c r="A38" s="17">
        <f>A37+1</f>
        <v/>
      </c>
      <c r="B38" s="148" t="inlineStr">
        <is>
          <t xml:space="preserve">DAY </t>
        </is>
      </c>
      <c r="C38" s="13">
        <f>D37</f>
        <v/>
      </c>
      <c r="D38" s="8" t="n">
        <v>714</v>
      </c>
      <c r="E38" s="21">
        <f>D38-C38</f>
        <v/>
      </c>
      <c r="F38" s="131" t="n">
        <v>200</v>
      </c>
      <c r="G38" s="131" t="n">
        <v>707</v>
      </c>
      <c r="H38" s="148">
        <f>G38-G36</f>
        <v/>
      </c>
      <c r="I38" s="129">
        <f>F38/H38</f>
        <v/>
      </c>
      <c r="J38" s="18" t="n"/>
      <c r="K38" s="18" t="n"/>
      <c r="L38" s="22" t="n"/>
      <c r="M38" s="23" t="n"/>
      <c r="N38" s="14">
        <f>O37</f>
        <v/>
      </c>
      <c r="O38" s="26" t="n">
        <v>9098</v>
      </c>
      <c r="P38" s="26">
        <f>O38-N38</f>
        <v/>
      </c>
      <c r="R38" s="17">
        <f>R37+1</f>
        <v/>
      </c>
      <c r="S38" s="148" t="inlineStr">
        <is>
          <t xml:space="preserve">DAY </t>
        </is>
      </c>
      <c r="T38" s="13">
        <f>U37</f>
        <v/>
      </c>
      <c r="U38" s="8" t="n">
        <v>1355</v>
      </c>
      <c r="V38" s="21">
        <f>U38-T38</f>
        <v/>
      </c>
      <c r="W38" s="130" t="n">
        <v>210</v>
      </c>
      <c r="X38" s="131" t="n">
        <v>1349</v>
      </c>
      <c r="Y38" s="127">
        <f>X38-X36</f>
        <v/>
      </c>
      <c r="Z38" s="129">
        <f>W38/Y38</f>
        <v/>
      </c>
      <c r="AA38" s="25" t="n"/>
      <c r="AB38" s="25" t="n"/>
      <c r="AC38" s="22" t="n"/>
      <c r="AD38" s="23" t="n"/>
      <c r="AE38" s="14">
        <f>AF37</f>
        <v/>
      </c>
      <c r="AF38" s="26" t="n">
        <v>14955</v>
      </c>
      <c r="AG38" s="26">
        <f>AF38-AE38</f>
        <v/>
      </c>
    </row>
    <row r="39">
      <c r="A39" s="17">
        <f>A38</f>
        <v/>
      </c>
      <c r="B39" s="148" t="inlineStr">
        <is>
          <t>NIGHT</t>
        </is>
      </c>
      <c r="C39" s="13">
        <f>D38</f>
        <v/>
      </c>
      <c r="D39" s="8" t="n">
        <v>721</v>
      </c>
      <c r="E39" s="21">
        <f>D39-C39</f>
        <v/>
      </c>
      <c r="F39" s="132" t="n"/>
      <c r="G39" s="132" t="n"/>
      <c r="H39" s="128" t="n"/>
      <c r="I39" s="128" t="n"/>
      <c r="J39" s="18" t="n"/>
      <c r="K39" s="18" t="n"/>
      <c r="L39" s="22" t="n"/>
      <c r="M39" s="23" t="n"/>
      <c r="N39" s="14">
        <f>O38</f>
        <v/>
      </c>
      <c r="O39" s="26" t="n">
        <v>9188</v>
      </c>
      <c r="P39" s="26">
        <f>O39-N39</f>
        <v/>
      </c>
      <c r="R39" s="17">
        <f>R38</f>
        <v/>
      </c>
      <c r="S39" s="148" t="inlineStr">
        <is>
          <t>NIGHT</t>
        </is>
      </c>
      <c r="T39" s="13">
        <f>U38</f>
        <v/>
      </c>
      <c r="U39" s="8" t="n">
        <v>1361</v>
      </c>
      <c r="V39" s="21">
        <f>U39-T39</f>
        <v/>
      </c>
      <c r="W39" s="128" t="n"/>
      <c r="X39" s="132" t="n"/>
      <c r="Y39" s="128" t="n"/>
      <c r="Z39" s="128" t="n"/>
      <c r="AA39" s="25" t="n"/>
      <c r="AB39" s="25" t="n"/>
      <c r="AC39" s="15" t="n"/>
      <c r="AD39" s="16" t="n"/>
      <c r="AE39" s="14">
        <f>AF38</f>
        <v/>
      </c>
      <c r="AF39" s="26" t="n">
        <v>15034</v>
      </c>
      <c r="AG39" s="26">
        <f>AF39-AE39</f>
        <v/>
      </c>
    </row>
    <row r="40">
      <c r="A40" s="17">
        <f>A39+1</f>
        <v/>
      </c>
      <c r="B40" s="148" t="inlineStr">
        <is>
          <t xml:space="preserve">DAY </t>
        </is>
      </c>
      <c r="C40" s="13">
        <f>D39</f>
        <v/>
      </c>
      <c r="D40" s="8" t="n">
        <v>729</v>
      </c>
      <c r="E40" s="21">
        <f>D40-C40</f>
        <v/>
      </c>
      <c r="F40" s="130" t="n">
        <v>168</v>
      </c>
      <c r="G40" s="133" t="n">
        <v>722</v>
      </c>
      <c r="H40" s="148">
        <f>G40-G38</f>
        <v/>
      </c>
      <c r="I40" s="129">
        <f>F40/H40</f>
        <v/>
      </c>
      <c r="J40" s="18" t="n"/>
      <c r="K40" s="18" t="n"/>
      <c r="L40" s="22" t="n"/>
      <c r="M40" s="23" t="n"/>
      <c r="N40" s="14">
        <f>O39</f>
        <v/>
      </c>
      <c r="O40" s="26" t="n">
        <v>9309</v>
      </c>
      <c r="P40" s="26">
        <f>O40-N40</f>
        <v/>
      </c>
      <c r="R40" s="17">
        <f>R39+1</f>
        <v/>
      </c>
      <c r="S40" s="148" t="inlineStr">
        <is>
          <t xml:space="preserve">DAY </t>
        </is>
      </c>
      <c r="T40" s="13">
        <f>U39</f>
        <v/>
      </c>
      <c r="U40" s="8" t="n">
        <v>1371</v>
      </c>
      <c r="V40" s="21">
        <f>U40-T40</f>
        <v/>
      </c>
      <c r="W40" s="130" t="n">
        <v>150</v>
      </c>
      <c r="X40" s="133" t="n">
        <v>1362</v>
      </c>
      <c r="Y40" s="127">
        <f>X40-X38</f>
        <v/>
      </c>
      <c r="Z40" s="129">
        <f>W40/Y40</f>
        <v/>
      </c>
      <c r="AA40" s="25" t="n"/>
      <c r="AB40" s="25" t="n"/>
      <c r="AC40" s="22" t="n"/>
      <c r="AD40" s="23" t="n"/>
      <c r="AE40" s="14">
        <f>AF39</f>
        <v/>
      </c>
      <c r="AF40" s="26" t="n">
        <v>15208</v>
      </c>
      <c r="AG40" s="26">
        <f>AF40-AE40</f>
        <v/>
      </c>
    </row>
    <row r="41">
      <c r="A41" s="17">
        <f>A40</f>
        <v/>
      </c>
      <c r="B41" s="148" t="inlineStr">
        <is>
          <t>NIGHT</t>
        </is>
      </c>
      <c r="C41" s="13">
        <f>D40</f>
        <v/>
      </c>
      <c r="D41" s="8" t="n">
        <v>737</v>
      </c>
      <c r="E41" s="21">
        <f>D41-C41</f>
        <v/>
      </c>
      <c r="F41" s="128" t="n"/>
      <c r="G41" s="132" t="n"/>
      <c r="H41" s="128" t="n"/>
      <c r="I41" s="128" t="n"/>
      <c r="J41" s="18" t="n"/>
      <c r="K41" s="18" t="n"/>
      <c r="L41" s="22" t="n"/>
      <c r="M41" s="23" t="n"/>
      <c r="N41" s="14">
        <f>O40</f>
        <v/>
      </c>
      <c r="O41" s="26" t="n">
        <v>9405</v>
      </c>
      <c r="P41" s="26">
        <f>O41-N41</f>
        <v/>
      </c>
      <c r="R41" s="17">
        <f>R40</f>
        <v/>
      </c>
      <c r="S41" s="148" t="inlineStr">
        <is>
          <t>NIGHT</t>
        </is>
      </c>
      <c r="T41" s="13">
        <f>U40</f>
        <v/>
      </c>
      <c r="U41" s="8" t="n">
        <v>1380</v>
      </c>
      <c r="V41" s="21">
        <f>U41-T41</f>
        <v/>
      </c>
      <c r="W41" s="128" t="n"/>
      <c r="X41" s="132" t="n"/>
      <c r="Y41" s="128" t="n"/>
      <c r="Z41" s="128" t="n"/>
      <c r="AA41" s="28" t="n"/>
      <c r="AB41" s="28" t="n"/>
      <c r="AC41" s="22" t="n"/>
      <c r="AD41" s="23" t="n"/>
      <c r="AE41" s="14">
        <f>AF40</f>
        <v/>
      </c>
      <c r="AF41" s="26" t="n">
        <v>15303</v>
      </c>
      <c r="AG41" s="26">
        <f>AF41-AE41</f>
        <v/>
      </c>
    </row>
    <row r="42">
      <c r="A42" s="17">
        <f>A41+1</f>
        <v/>
      </c>
      <c r="B42" s="148" t="inlineStr">
        <is>
          <t xml:space="preserve">DAY </t>
        </is>
      </c>
      <c r="C42" s="13">
        <f>D41</f>
        <v/>
      </c>
      <c r="D42" s="8" t="n">
        <v>746</v>
      </c>
      <c r="E42" s="21">
        <f>D42-C42</f>
        <v/>
      </c>
      <c r="F42" s="130" t="n">
        <v>220</v>
      </c>
      <c r="G42" s="133" t="n">
        <v>739</v>
      </c>
      <c r="H42" s="148">
        <f>G42-G40</f>
        <v/>
      </c>
      <c r="I42" s="129">
        <f>F42/H42</f>
        <v/>
      </c>
      <c r="J42" s="18" t="n"/>
      <c r="K42" s="18" t="n"/>
      <c r="L42" s="22" t="n"/>
      <c r="M42" s="23" t="n"/>
      <c r="N42" s="14">
        <f>O41</f>
        <v/>
      </c>
      <c r="O42" s="26" t="n">
        <v>9584</v>
      </c>
      <c r="P42" s="26">
        <f>O42-N42</f>
        <v/>
      </c>
      <c r="R42" s="17">
        <f>R41+1</f>
        <v/>
      </c>
      <c r="S42" s="148" t="inlineStr">
        <is>
          <t xml:space="preserve">DAY </t>
        </is>
      </c>
      <c r="T42" s="13">
        <f>U41</f>
        <v/>
      </c>
      <c r="U42" s="8" t="n">
        <v>1389</v>
      </c>
      <c r="V42" s="21">
        <f>U42-T42</f>
        <v/>
      </c>
      <c r="W42" s="130" t="n">
        <v>260</v>
      </c>
      <c r="X42" s="133" t="n">
        <v>1382</v>
      </c>
      <c r="Y42" s="127">
        <f>X42-X40</f>
        <v/>
      </c>
      <c r="Z42" s="129">
        <f>W42/Y42</f>
        <v/>
      </c>
      <c r="AA42" s="28" t="n"/>
      <c r="AB42" s="28" t="n"/>
      <c r="AC42" s="22" t="n"/>
      <c r="AD42" s="23" t="n"/>
      <c r="AE42" s="14">
        <f>AF41</f>
        <v/>
      </c>
      <c r="AF42" s="26" t="n">
        <v>15348</v>
      </c>
      <c r="AG42" s="26">
        <f>AF42-AE42</f>
        <v/>
      </c>
    </row>
    <row r="43">
      <c r="A43" s="17">
        <f>A42</f>
        <v/>
      </c>
      <c r="B43" s="148" t="inlineStr">
        <is>
          <t>NIGHT</t>
        </is>
      </c>
      <c r="C43" s="13">
        <f>D42</f>
        <v/>
      </c>
      <c r="D43" s="8" t="n">
        <v>752</v>
      </c>
      <c r="E43" s="21">
        <f>D43-C43</f>
        <v/>
      </c>
      <c r="F43" s="128" t="n"/>
      <c r="G43" s="132" t="n"/>
      <c r="H43" s="128" t="n"/>
      <c r="I43" s="128" t="n"/>
      <c r="J43" s="18" t="n"/>
      <c r="K43" s="18" t="n"/>
      <c r="L43" s="22" t="n"/>
      <c r="M43" s="23" t="n"/>
      <c r="N43" s="14">
        <f>O42</f>
        <v/>
      </c>
      <c r="O43" s="26" t="n">
        <v>9634</v>
      </c>
      <c r="P43" s="26">
        <f>O43-N43</f>
        <v/>
      </c>
      <c r="R43" s="17">
        <f>R42</f>
        <v/>
      </c>
      <c r="S43" s="148" t="inlineStr">
        <is>
          <t>NIGHT</t>
        </is>
      </c>
      <c r="T43" s="13">
        <f>U42</f>
        <v/>
      </c>
      <c r="U43" s="8" t="n">
        <v>1395</v>
      </c>
      <c r="V43" s="21">
        <f>U43-T43</f>
        <v/>
      </c>
      <c r="W43" s="128" t="n"/>
      <c r="X43" s="132" t="n"/>
      <c r="Y43" s="128" t="n"/>
      <c r="Z43" s="128" t="n"/>
      <c r="AA43" s="28" t="n"/>
      <c r="AB43" s="28" t="n"/>
      <c r="AC43" s="22" t="n"/>
      <c r="AD43" s="23" t="n"/>
      <c r="AE43" s="14">
        <f>AF42</f>
        <v/>
      </c>
      <c r="AF43" s="26" t="n">
        <v>15501</v>
      </c>
      <c r="AG43" s="26">
        <f>AF43-AE43</f>
        <v/>
      </c>
    </row>
    <row r="44">
      <c r="A44" s="17">
        <f>A43+1</f>
        <v/>
      </c>
      <c r="B44" s="148" t="inlineStr">
        <is>
          <t xml:space="preserve">DAY </t>
        </is>
      </c>
      <c r="C44" s="13">
        <f>D43</f>
        <v/>
      </c>
      <c r="D44" s="8" t="n">
        <v>758</v>
      </c>
      <c r="E44" s="21">
        <f>D44-C44</f>
        <v/>
      </c>
      <c r="F44" s="130" t="n">
        <v>200</v>
      </c>
      <c r="G44" s="133" t="n">
        <v>753</v>
      </c>
      <c r="H44" s="148">
        <f>G44-G42</f>
        <v/>
      </c>
      <c r="I44" s="129">
        <f>F44/H44</f>
        <v/>
      </c>
      <c r="J44" s="18" t="n"/>
      <c r="K44" s="18" t="n"/>
      <c r="L44" s="22" t="n"/>
      <c r="M44" s="23" t="n"/>
      <c r="N44" s="14">
        <f>O43</f>
        <v/>
      </c>
      <c r="O44" s="31" t="n">
        <v>9736</v>
      </c>
      <c r="P44" s="26">
        <f>O44-N44</f>
        <v/>
      </c>
      <c r="R44" s="17">
        <f>R43+1</f>
        <v/>
      </c>
      <c r="S44" s="148" t="inlineStr">
        <is>
          <t xml:space="preserve">DAY </t>
        </is>
      </c>
      <c r="T44" s="13">
        <f>U43</f>
        <v/>
      </c>
      <c r="U44" s="8" t="n">
        <v>1401</v>
      </c>
      <c r="V44" s="21">
        <f>U44-T44</f>
        <v/>
      </c>
      <c r="W44" s="130" t="n">
        <v>180</v>
      </c>
      <c r="X44" s="133" t="n">
        <v>1396</v>
      </c>
      <c r="Y44" s="127">
        <f>X44-X42</f>
        <v/>
      </c>
      <c r="Z44" s="129">
        <f>W44/Y44</f>
        <v/>
      </c>
      <c r="AA44" s="28" t="n"/>
      <c r="AB44" s="28" t="n"/>
      <c r="AC44" s="22" t="n"/>
      <c r="AD44" s="23" t="n"/>
      <c r="AE44" s="14">
        <f>AF43</f>
        <v/>
      </c>
      <c r="AF44" s="31" t="n">
        <v>15613</v>
      </c>
      <c r="AG44" s="26">
        <f>AF44-AE44</f>
        <v/>
      </c>
    </row>
    <row r="45">
      <c r="A45" s="17">
        <f>A44</f>
        <v/>
      </c>
      <c r="B45" s="148" t="inlineStr">
        <is>
          <t>NIGHT</t>
        </is>
      </c>
      <c r="C45" s="13">
        <f>D44</f>
        <v/>
      </c>
      <c r="D45" s="8" t="n">
        <v>762</v>
      </c>
      <c r="E45" s="21">
        <f>D45-C45</f>
        <v/>
      </c>
      <c r="F45" s="128" t="n"/>
      <c r="G45" s="132" t="n"/>
      <c r="H45" s="128" t="n"/>
      <c r="I45" s="128" t="n"/>
      <c r="J45" s="18" t="n"/>
      <c r="K45" s="18" t="n"/>
      <c r="L45" s="22" t="n"/>
      <c r="M45" s="23" t="n"/>
      <c r="N45" s="14">
        <f>O44</f>
        <v/>
      </c>
      <c r="O45" s="31" t="n">
        <v>9768</v>
      </c>
      <c r="P45" s="26">
        <f>O45-N45</f>
        <v/>
      </c>
      <c r="R45" s="17">
        <f>R44</f>
        <v/>
      </c>
      <c r="S45" s="148" t="inlineStr">
        <is>
          <t>NIGHT</t>
        </is>
      </c>
      <c r="T45" s="13">
        <f>U44</f>
        <v/>
      </c>
      <c r="U45" s="8" t="n">
        <v>1409</v>
      </c>
      <c r="V45" s="21">
        <f>U45-T45</f>
        <v/>
      </c>
      <c r="W45" s="128" t="n"/>
      <c r="X45" s="132" t="n"/>
      <c r="Y45" s="128" t="n"/>
      <c r="Z45" s="128" t="n"/>
      <c r="AA45" s="28" t="n"/>
      <c r="AB45" s="28" t="n"/>
      <c r="AC45" s="22" t="n"/>
      <c r="AD45" s="23" t="n"/>
      <c r="AE45" s="14">
        <f>AF44</f>
        <v/>
      </c>
      <c r="AF45" s="31" t="n">
        <v>15690</v>
      </c>
      <c r="AG45" s="26">
        <f>AF45-AE45</f>
        <v/>
      </c>
    </row>
    <row r="46">
      <c r="A46" s="17">
        <f>A45+1</f>
        <v/>
      </c>
      <c r="B46" s="148" t="inlineStr">
        <is>
          <t xml:space="preserve">DAY </t>
        </is>
      </c>
      <c r="C46" s="13">
        <f>D45</f>
        <v/>
      </c>
      <c r="D46" s="8" t="n">
        <v>766</v>
      </c>
      <c r="E46" s="21">
        <f>D46-C46</f>
        <v/>
      </c>
      <c r="F46" s="130" t="n">
        <v>130</v>
      </c>
      <c r="G46" s="133" t="n">
        <v>763</v>
      </c>
      <c r="H46" s="148">
        <f>G46-G44</f>
        <v/>
      </c>
      <c r="I46" s="129">
        <f>F46/H46</f>
        <v/>
      </c>
      <c r="J46" s="18" t="n"/>
      <c r="K46" s="18" t="n"/>
      <c r="L46" s="22" t="n"/>
      <c r="M46" s="23" t="n"/>
      <c r="N46" s="14">
        <f>O45</f>
        <v/>
      </c>
      <c r="O46" s="31" t="n">
        <v>9828</v>
      </c>
      <c r="P46" s="26">
        <f>O46-N46</f>
        <v/>
      </c>
      <c r="R46" s="17">
        <f>R45+1</f>
        <v/>
      </c>
      <c r="S46" s="148" t="inlineStr">
        <is>
          <t xml:space="preserve">DAY </t>
        </is>
      </c>
      <c r="T46" s="13">
        <f>U45</f>
        <v/>
      </c>
      <c r="U46" s="8" t="n">
        <v>1414</v>
      </c>
      <c r="V46" s="21">
        <f>U46-T46</f>
        <v/>
      </c>
      <c r="W46" s="130" t="n">
        <v>101</v>
      </c>
      <c r="X46" s="133" t="n">
        <v>1409</v>
      </c>
      <c r="Y46" s="127">
        <f>X46-X44</f>
        <v/>
      </c>
      <c r="Z46" s="129">
        <f>W46/Y46</f>
        <v/>
      </c>
      <c r="AA46" s="28" t="n"/>
      <c r="AB46" s="28" t="n"/>
      <c r="AC46" s="22" t="n"/>
      <c r="AD46" s="23" t="n"/>
      <c r="AE46" s="14">
        <f>AF45</f>
        <v/>
      </c>
      <c r="AF46" s="31" t="n">
        <v>15768</v>
      </c>
      <c r="AG46" s="26">
        <f>AF46-AE46</f>
        <v/>
      </c>
    </row>
    <row r="47">
      <c r="A47" s="17">
        <f>A46</f>
        <v/>
      </c>
      <c r="B47" s="148" t="inlineStr">
        <is>
          <t>NIGHT</t>
        </is>
      </c>
      <c r="C47" s="13">
        <f>D46</f>
        <v/>
      </c>
      <c r="D47" s="8" t="n">
        <v>770</v>
      </c>
      <c r="E47" s="21">
        <f>D47-C47</f>
        <v/>
      </c>
      <c r="F47" s="128" t="n"/>
      <c r="G47" s="132" t="n"/>
      <c r="H47" s="128" t="n"/>
      <c r="I47" s="128" t="n"/>
      <c r="J47" s="18" t="n"/>
      <c r="K47" s="18" t="n"/>
      <c r="L47" s="22" t="n"/>
      <c r="M47" s="23" t="n"/>
      <c r="N47" s="14">
        <f>O46</f>
        <v/>
      </c>
      <c r="O47" s="31" t="n">
        <v>9853</v>
      </c>
      <c r="P47" s="26">
        <f>O47-N47</f>
        <v/>
      </c>
      <c r="R47" s="17">
        <f>R46</f>
        <v/>
      </c>
      <c r="S47" s="148" t="inlineStr">
        <is>
          <t>NIGHT</t>
        </is>
      </c>
      <c r="T47" s="13">
        <f>U46</f>
        <v/>
      </c>
      <c r="U47" s="8" t="n">
        <v>1417</v>
      </c>
      <c r="V47" s="21">
        <f>U47-T47</f>
        <v/>
      </c>
      <c r="W47" s="128" t="n"/>
      <c r="X47" s="132" t="n"/>
      <c r="Y47" s="128" t="n"/>
      <c r="Z47" s="128" t="n"/>
      <c r="AA47" s="28" t="n"/>
      <c r="AB47" s="28" t="n"/>
      <c r="AC47" s="22" t="n"/>
      <c r="AD47" s="23" t="n"/>
      <c r="AE47" s="14">
        <f>AF46</f>
        <v/>
      </c>
      <c r="AF47" s="31" t="n">
        <v>15818</v>
      </c>
      <c r="AG47" s="26">
        <f>AF47-AE47</f>
        <v/>
      </c>
    </row>
    <row r="48">
      <c r="A48" s="17">
        <f>A47+1</f>
        <v/>
      </c>
      <c r="B48" s="148" t="inlineStr">
        <is>
          <t xml:space="preserve">DAY </t>
        </is>
      </c>
      <c r="C48" s="13">
        <f>D47</f>
        <v/>
      </c>
      <c r="D48" s="8" t="n">
        <v>776</v>
      </c>
      <c r="E48" s="21">
        <f>D48-C48</f>
        <v/>
      </c>
      <c r="F48" s="130" t="n">
        <v>150</v>
      </c>
      <c r="G48" s="133" t="n">
        <v>772</v>
      </c>
      <c r="H48" s="148">
        <f>G48-G46</f>
        <v/>
      </c>
      <c r="I48" s="129">
        <f>F48/H48</f>
        <v/>
      </c>
      <c r="J48" s="18" t="n"/>
      <c r="K48" s="18" t="n"/>
      <c r="L48" s="22" t="n"/>
      <c r="M48" s="23" t="n"/>
      <c r="N48" s="14">
        <f>O47</f>
        <v/>
      </c>
      <c r="O48" s="31" t="n">
        <v>9897</v>
      </c>
      <c r="P48" s="26">
        <f>O48-N48</f>
        <v/>
      </c>
      <c r="R48" s="17">
        <f>R47+1</f>
        <v/>
      </c>
      <c r="S48" s="148" t="inlineStr">
        <is>
          <t xml:space="preserve">DAY </t>
        </is>
      </c>
      <c r="T48" s="13">
        <f>U47</f>
        <v/>
      </c>
      <c r="U48" s="8" t="n">
        <v>1421</v>
      </c>
      <c r="V48" s="21">
        <f>U48-T48</f>
        <v/>
      </c>
      <c r="W48" s="130" t="n">
        <v>180</v>
      </c>
      <c r="X48" s="133" t="n">
        <v>1419</v>
      </c>
      <c r="Y48" s="127">
        <f>X48-X46</f>
        <v/>
      </c>
      <c r="Z48" s="129">
        <f>W48/Y48</f>
        <v/>
      </c>
      <c r="AA48" s="28" t="n"/>
      <c r="AB48" s="28" t="n"/>
      <c r="AC48" s="22" t="n"/>
      <c r="AD48" s="23" t="n"/>
      <c r="AE48" s="14">
        <f>AF47</f>
        <v/>
      </c>
      <c r="AF48" s="31" t="n">
        <v>15839</v>
      </c>
      <c r="AG48" s="26">
        <f>AF48-AE48</f>
        <v/>
      </c>
    </row>
    <row r="49">
      <c r="A49" s="17">
        <f>A48</f>
        <v/>
      </c>
      <c r="B49" s="148" t="inlineStr">
        <is>
          <t>NIGHT</t>
        </is>
      </c>
      <c r="C49" s="13">
        <f>D48</f>
        <v/>
      </c>
      <c r="D49" s="8" t="n">
        <v>783</v>
      </c>
      <c r="E49" s="21">
        <f>D49-C49</f>
        <v/>
      </c>
      <c r="F49" s="128" t="n"/>
      <c r="G49" s="132" t="n"/>
      <c r="H49" s="128" t="n"/>
      <c r="I49" s="128" t="n"/>
      <c r="J49" s="18" t="n"/>
      <c r="K49" s="18" t="n"/>
      <c r="L49" s="22" t="n"/>
      <c r="M49" s="23" t="n"/>
      <c r="N49" s="14">
        <f>O48</f>
        <v/>
      </c>
      <c r="O49" s="31" t="n">
        <v>9989</v>
      </c>
      <c r="P49" s="26">
        <f>O49-N49</f>
        <v/>
      </c>
      <c r="R49" s="17">
        <f>R48</f>
        <v/>
      </c>
      <c r="S49" s="148" t="inlineStr">
        <is>
          <t>NIGHT</t>
        </is>
      </c>
      <c r="T49" s="13">
        <f>U48</f>
        <v/>
      </c>
      <c r="U49" s="8" t="n">
        <v>1428</v>
      </c>
      <c r="V49" s="21">
        <f>U49-T49</f>
        <v/>
      </c>
      <c r="W49" s="128" t="n"/>
      <c r="X49" s="132" t="n"/>
      <c r="Y49" s="128" t="n"/>
      <c r="Z49" s="128" t="n"/>
      <c r="AA49" s="28" t="n">
        <v>0.1041666666666667</v>
      </c>
      <c r="AB49" s="28" t="n">
        <v>0.25</v>
      </c>
      <c r="AC49" s="22">
        <f>AB49-AA49</f>
        <v/>
      </c>
      <c r="AD49" s="23" t="inlineStr">
        <is>
          <t>Oil service</t>
        </is>
      </c>
      <c r="AE49" s="14">
        <f>AF48</f>
        <v/>
      </c>
      <c r="AF49" s="31" t="n">
        <v>15898</v>
      </c>
      <c r="AG49" s="26">
        <f>AF49-AE49</f>
        <v/>
      </c>
    </row>
    <row r="50">
      <c r="A50" s="17">
        <f>A49+1</f>
        <v/>
      </c>
      <c r="B50" s="148" t="inlineStr">
        <is>
          <t xml:space="preserve">DAY </t>
        </is>
      </c>
      <c r="C50" s="13">
        <f>D49</f>
        <v/>
      </c>
      <c r="D50" s="8" t="n">
        <v>793</v>
      </c>
      <c r="E50" s="21">
        <f>D50-C50</f>
        <v/>
      </c>
      <c r="F50" s="130" t="n">
        <v>100</v>
      </c>
      <c r="G50" s="133" t="n">
        <v>783</v>
      </c>
      <c r="H50" s="148">
        <f>G50-G48</f>
        <v/>
      </c>
      <c r="I50" s="129">
        <f>F50/H50</f>
        <v/>
      </c>
      <c r="J50" s="18" t="n"/>
      <c r="K50" s="18" t="n"/>
      <c r="L50" s="22" t="n"/>
      <c r="M50" s="23" t="n"/>
      <c r="N50" s="14">
        <f>O49</f>
        <v/>
      </c>
      <c r="O50" s="31" t="n">
        <v>10179</v>
      </c>
      <c r="P50" s="26">
        <f>O50-N50</f>
        <v/>
      </c>
      <c r="R50" s="17">
        <f>R49+1</f>
        <v/>
      </c>
      <c r="S50" s="148" t="inlineStr">
        <is>
          <t xml:space="preserve">DAY </t>
        </is>
      </c>
      <c r="T50" s="13">
        <f>U49</f>
        <v/>
      </c>
      <c r="U50" s="8" t="n">
        <v>1439</v>
      </c>
      <c r="V50" s="21">
        <f>U50-T50</f>
        <v/>
      </c>
      <c r="W50" s="130" t="n">
        <v>100</v>
      </c>
      <c r="X50" s="133" t="n">
        <v>1429</v>
      </c>
      <c r="Y50" s="127">
        <f>X50-X48</f>
        <v/>
      </c>
      <c r="Z50" s="129">
        <f>W50/Y50</f>
        <v/>
      </c>
      <c r="AA50" s="28" t="n"/>
      <c r="AB50" s="28" t="n"/>
      <c r="AC50" s="22" t="n"/>
      <c r="AD50" s="23" t="n"/>
      <c r="AE50" s="14">
        <f>AF49</f>
        <v/>
      </c>
      <c r="AF50" s="31" t="n">
        <v>16068</v>
      </c>
      <c r="AG50" s="26">
        <f>AF50-AE50</f>
        <v/>
      </c>
    </row>
    <row r="51">
      <c r="A51" s="17">
        <f>A50</f>
        <v/>
      </c>
      <c r="B51" s="148" t="inlineStr">
        <is>
          <t>NIGHT</t>
        </is>
      </c>
      <c r="C51" s="13">
        <f>D50</f>
        <v/>
      </c>
      <c r="D51" s="8" t="n">
        <v>801</v>
      </c>
      <c r="E51" s="21">
        <f>D51-C51</f>
        <v/>
      </c>
      <c r="F51" s="128" t="n"/>
      <c r="G51" s="132" t="n"/>
      <c r="H51" s="128" t="n"/>
      <c r="I51" s="128" t="n"/>
      <c r="J51" s="18" t="n"/>
      <c r="K51" s="18" t="n"/>
      <c r="L51" s="22" t="n"/>
      <c r="M51" s="23" t="n"/>
      <c r="N51" s="14">
        <f>O50</f>
        <v/>
      </c>
      <c r="O51" s="31" t="n">
        <v>10295</v>
      </c>
      <c r="P51" s="26">
        <f>O51-N51</f>
        <v/>
      </c>
      <c r="R51" s="17">
        <f>R50</f>
        <v/>
      </c>
      <c r="S51" s="148" t="inlineStr">
        <is>
          <t>NIGHT</t>
        </is>
      </c>
      <c r="T51" s="13">
        <f>U50</f>
        <v/>
      </c>
      <c r="U51" s="8" t="n">
        <v>1448</v>
      </c>
      <c r="V51" s="21">
        <f>U51-T51</f>
        <v/>
      </c>
      <c r="W51" s="128" t="n"/>
      <c r="X51" s="132" t="n"/>
      <c r="Y51" s="128" t="n"/>
      <c r="Z51" s="128" t="n"/>
      <c r="AA51" s="28" t="n"/>
      <c r="AB51" s="28" t="n"/>
      <c r="AC51" s="22" t="n"/>
      <c r="AD51" s="23" t="n"/>
      <c r="AE51" s="14">
        <f>AF50</f>
        <v/>
      </c>
      <c r="AF51" s="31" t="n">
        <v>16206</v>
      </c>
      <c r="AG51" s="26">
        <f>AF51-AE51</f>
        <v/>
      </c>
    </row>
    <row r="52">
      <c r="A52" s="17">
        <f>A51+1</f>
        <v/>
      </c>
      <c r="B52" s="148" t="inlineStr">
        <is>
          <t xml:space="preserve">DAY </t>
        </is>
      </c>
      <c r="C52" s="13">
        <f>D51</f>
        <v/>
      </c>
      <c r="D52" s="8" t="n">
        <v>808</v>
      </c>
      <c r="E52" s="21">
        <f>D52-C52</f>
        <v/>
      </c>
      <c r="F52" s="130" t="n">
        <v>290</v>
      </c>
      <c r="G52" s="133" t="n">
        <v>803</v>
      </c>
      <c r="H52" s="148">
        <f>G52-G50</f>
        <v/>
      </c>
      <c r="I52" s="129">
        <f>F52/H52</f>
        <v/>
      </c>
      <c r="J52" s="28" t="n"/>
      <c r="K52" s="28" t="n"/>
      <c r="L52" s="22" t="n"/>
      <c r="M52" s="23" t="n"/>
      <c r="N52" s="14">
        <f>O51</f>
        <v/>
      </c>
      <c r="O52" s="31" t="n">
        <v>10441</v>
      </c>
      <c r="P52" s="26">
        <f>O52-N52</f>
        <v/>
      </c>
      <c r="R52" s="17">
        <f>R51+1</f>
        <v/>
      </c>
      <c r="S52" s="148" t="inlineStr">
        <is>
          <t xml:space="preserve">DAY </t>
        </is>
      </c>
      <c r="T52" s="13">
        <f>U51</f>
        <v/>
      </c>
      <c r="U52" s="8" t="n">
        <v>1458</v>
      </c>
      <c r="V52" s="21">
        <f>U52-T52</f>
        <v/>
      </c>
      <c r="W52" s="130" t="n">
        <v>300</v>
      </c>
      <c r="X52" s="133" t="n">
        <v>1453</v>
      </c>
      <c r="Y52" s="127">
        <f>X52-X50</f>
        <v/>
      </c>
      <c r="Z52" s="129">
        <f>W52/Y52</f>
        <v/>
      </c>
      <c r="AA52" s="28" t="n"/>
      <c r="AB52" s="28" t="n"/>
      <c r="AC52" s="22" t="n"/>
      <c r="AD52" s="23" t="n"/>
      <c r="AE52" s="14">
        <f>AF51</f>
        <v/>
      </c>
      <c r="AF52" s="31" t="n">
        <v>16351</v>
      </c>
      <c r="AG52" s="26">
        <f>AF52-AE52</f>
        <v/>
      </c>
    </row>
    <row r="53">
      <c r="A53" s="17">
        <f>A52</f>
        <v/>
      </c>
      <c r="B53" s="148" t="inlineStr">
        <is>
          <t>NIGHT</t>
        </is>
      </c>
      <c r="C53" s="13">
        <f>D52</f>
        <v/>
      </c>
      <c r="D53" s="8" t="n">
        <v>819</v>
      </c>
      <c r="E53" s="21">
        <f>D53-C53</f>
        <v/>
      </c>
      <c r="F53" s="128" t="n"/>
      <c r="G53" s="132" t="n"/>
      <c r="H53" s="128" t="n"/>
      <c r="I53" s="128" t="n"/>
      <c r="J53" s="28" t="n"/>
      <c r="K53" s="28" t="n"/>
      <c r="L53" s="22" t="n"/>
      <c r="M53" s="23" t="n"/>
      <c r="N53" s="14">
        <f>O52</f>
        <v/>
      </c>
      <c r="O53" s="31" t="n">
        <v>10606</v>
      </c>
      <c r="P53" s="26">
        <f>O53-N53</f>
        <v/>
      </c>
      <c r="R53" s="17">
        <f>R52</f>
        <v/>
      </c>
      <c r="S53" s="148" t="inlineStr">
        <is>
          <t>NIGHT</t>
        </is>
      </c>
      <c r="T53" s="13">
        <f>U52</f>
        <v/>
      </c>
      <c r="U53" s="8" t="n">
        <v>1466</v>
      </c>
      <c r="V53" s="21">
        <f>U53-T53</f>
        <v/>
      </c>
      <c r="W53" s="128" t="n"/>
      <c r="X53" s="132" t="n"/>
      <c r="Y53" s="128" t="n"/>
      <c r="Z53" s="128" t="n"/>
      <c r="AA53" s="28" t="n"/>
      <c r="AB53" s="28" t="n"/>
      <c r="AC53" s="22" t="n"/>
      <c r="AD53" s="23" t="n"/>
      <c r="AE53" s="14">
        <f>AF52</f>
        <v/>
      </c>
      <c r="AF53" s="31" t="n">
        <v>16515</v>
      </c>
      <c r="AG53" s="26">
        <f>AF53-AE53</f>
        <v/>
      </c>
    </row>
    <row r="54">
      <c r="A54" s="17">
        <f>A53+1</f>
        <v/>
      </c>
      <c r="B54" s="148" t="inlineStr">
        <is>
          <t xml:space="preserve">DAY </t>
        </is>
      </c>
      <c r="C54" s="13">
        <f>D53</f>
        <v/>
      </c>
      <c r="D54" s="8" t="n">
        <v>829</v>
      </c>
      <c r="E54" s="21">
        <f>D54-C54</f>
        <v/>
      </c>
      <c r="F54" s="130" t="n">
        <v>220</v>
      </c>
      <c r="G54" s="133" t="n">
        <v>820</v>
      </c>
      <c r="H54" s="148">
        <f>G54-G52</f>
        <v/>
      </c>
      <c r="I54" s="129">
        <f>F54/H54</f>
        <v/>
      </c>
      <c r="J54" s="28" t="n"/>
      <c r="K54" s="28" t="n"/>
      <c r="L54" s="22" t="n"/>
      <c r="M54" s="23" t="n"/>
      <c r="N54" s="14">
        <f>O53</f>
        <v/>
      </c>
      <c r="O54" s="31" t="n">
        <v>10788</v>
      </c>
      <c r="P54" s="26">
        <f>O54-N54</f>
        <v/>
      </c>
      <c r="R54" s="17">
        <f>R53+1</f>
        <v/>
      </c>
      <c r="S54" s="148" t="inlineStr">
        <is>
          <t xml:space="preserve">DAY </t>
        </is>
      </c>
      <c r="T54" s="13">
        <f>U53</f>
        <v/>
      </c>
      <c r="U54" s="8" t="n">
        <v>1477</v>
      </c>
      <c r="V54" s="21">
        <f>U54-T54</f>
        <v/>
      </c>
      <c r="W54" s="130" t="n">
        <v>180</v>
      </c>
      <c r="X54" s="133" t="n">
        <v>1468</v>
      </c>
      <c r="Y54" s="127">
        <f>X54-X52</f>
        <v/>
      </c>
      <c r="Z54" s="129">
        <f>W54/Y54</f>
        <v/>
      </c>
      <c r="AA54" s="28" t="n"/>
      <c r="AB54" s="28" t="n"/>
      <c r="AC54" s="22" t="n"/>
      <c r="AD54" s="23" t="n"/>
      <c r="AE54" s="14">
        <f>AF53</f>
        <v/>
      </c>
      <c r="AF54" s="31" t="n">
        <v>16637</v>
      </c>
      <c r="AG54" s="26">
        <f>AF54-AE54</f>
        <v/>
      </c>
    </row>
    <row r="55">
      <c r="A55" s="17">
        <f>A54</f>
        <v/>
      </c>
      <c r="B55" s="148" t="inlineStr">
        <is>
          <t>NIGHT</t>
        </is>
      </c>
      <c r="C55" s="13">
        <f>D54</f>
        <v/>
      </c>
      <c r="D55" s="8" t="n">
        <v>840</v>
      </c>
      <c r="E55" s="21">
        <f>D55-C55</f>
        <v/>
      </c>
      <c r="F55" s="128" t="n"/>
      <c r="G55" s="132" t="n"/>
      <c r="H55" s="128" t="n"/>
      <c r="I55" s="128" t="n"/>
      <c r="J55" s="28" t="n"/>
      <c r="K55" s="28" t="n"/>
      <c r="L55" s="22" t="n"/>
      <c r="M55" s="23" t="n"/>
      <c r="N55" s="14">
        <f>O54</f>
        <v/>
      </c>
      <c r="O55" s="31" t="n">
        <v>11003</v>
      </c>
      <c r="P55" s="26">
        <f>O55-N55</f>
        <v/>
      </c>
      <c r="R55" s="17">
        <f>R54</f>
        <v/>
      </c>
      <c r="S55" s="148" t="inlineStr">
        <is>
          <t>NIGHT</t>
        </is>
      </c>
      <c r="T55" s="13">
        <f>U54</f>
        <v/>
      </c>
      <c r="U55" s="8" t="n">
        <v>1488</v>
      </c>
      <c r="V55" s="21">
        <f>U55-T55</f>
        <v/>
      </c>
      <c r="W55" s="128" t="n"/>
      <c r="X55" s="132" t="n"/>
      <c r="Y55" s="128" t="n"/>
      <c r="Z55" s="128" t="n"/>
      <c r="AA55" s="28" t="n"/>
      <c r="AB55" s="28" t="n"/>
      <c r="AC55" s="22" t="n"/>
      <c r="AD55" s="23" t="n"/>
      <c r="AE55" s="14">
        <f>AF54</f>
        <v/>
      </c>
      <c r="AF55" s="31" t="n">
        <v>16845</v>
      </c>
      <c r="AG55" s="26">
        <f>AF55-AE55</f>
        <v/>
      </c>
    </row>
    <row r="56">
      <c r="A56" s="17">
        <f>A55+1</f>
        <v/>
      </c>
      <c r="B56" s="148" t="inlineStr">
        <is>
          <t xml:space="preserve">DAY </t>
        </is>
      </c>
      <c r="C56" s="13">
        <f>D55</f>
        <v/>
      </c>
      <c r="D56" s="8" t="n">
        <v>848</v>
      </c>
      <c r="E56" s="21">
        <f>D56-C56</f>
        <v/>
      </c>
      <c r="F56" s="130" t="n">
        <v>330</v>
      </c>
      <c r="G56" s="133" t="n">
        <v>843</v>
      </c>
      <c r="H56" s="148">
        <f>G56-G54</f>
        <v/>
      </c>
      <c r="I56" s="129">
        <f>F56/H56</f>
        <v/>
      </c>
      <c r="J56" s="28" t="n"/>
      <c r="K56" s="28" t="n"/>
      <c r="L56" s="22" t="n"/>
      <c r="M56" s="23" t="n"/>
      <c r="N56" s="14">
        <f>O55</f>
        <v/>
      </c>
      <c r="O56" s="31" t="n">
        <v>11130</v>
      </c>
      <c r="P56" s="26">
        <f>O56-N56</f>
        <v/>
      </c>
      <c r="R56" s="17">
        <f>R55+1</f>
        <v/>
      </c>
      <c r="S56" s="148" t="inlineStr">
        <is>
          <t xml:space="preserve">DAY </t>
        </is>
      </c>
      <c r="T56" s="13">
        <f>U55</f>
        <v/>
      </c>
      <c r="U56" s="8" t="n">
        <v>1497</v>
      </c>
      <c r="V56" s="21">
        <f>U56-T56</f>
        <v/>
      </c>
      <c r="W56" s="130" t="n">
        <v>360</v>
      </c>
      <c r="X56" s="133" t="n">
        <v>1492</v>
      </c>
      <c r="Y56" s="127">
        <f>X56-X54</f>
        <v/>
      </c>
      <c r="Z56" s="129">
        <f>W56/Y56</f>
        <v/>
      </c>
      <c r="AA56" s="28" t="n"/>
      <c r="AB56" s="28" t="n"/>
      <c r="AC56" s="22" t="n"/>
      <c r="AD56" s="23" t="n"/>
      <c r="AE56" s="14">
        <f>AF55</f>
        <v/>
      </c>
      <c r="AF56" s="31" t="n">
        <v>16980</v>
      </c>
      <c r="AG56" s="26">
        <f>AF56-AE56</f>
        <v/>
      </c>
    </row>
    <row r="57">
      <c r="A57" s="17">
        <f>A56</f>
        <v/>
      </c>
      <c r="B57" s="148" t="inlineStr">
        <is>
          <t>NIGHT</t>
        </is>
      </c>
      <c r="C57" s="13">
        <f>D56</f>
        <v/>
      </c>
      <c r="D57" s="8" t="n">
        <v>855</v>
      </c>
      <c r="E57" s="21">
        <f>D57-C57</f>
        <v/>
      </c>
      <c r="F57" s="128" t="n"/>
      <c r="G57" s="132" t="n"/>
      <c r="H57" s="128" t="n"/>
      <c r="I57" s="128" t="n"/>
      <c r="J57" s="28" t="n"/>
      <c r="K57" s="28" t="n"/>
      <c r="L57" s="22" t="n"/>
      <c r="M57" s="23" t="n"/>
      <c r="N57" s="14">
        <f>O56</f>
        <v/>
      </c>
      <c r="O57" s="31" t="n">
        <v>11222</v>
      </c>
      <c r="P57" s="26">
        <f>O57-N57</f>
        <v/>
      </c>
      <c r="R57" s="17">
        <f>R56</f>
        <v/>
      </c>
      <c r="S57" s="148" t="inlineStr">
        <is>
          <t>NIGHT</t>
        </is>
      </c>
      <c r="T57" s="13">
        <f>U56</f>
        <v/>
      </c>
      <c r="U57" s="8" t="n">
        <v>1503</v>
      </c>
      <c r="V57" s="21">
        <f>U57-T57</f>
        <v/>
      </c>
      <c r="W57" s="128" t="n"/>
      <c r="X57" s="132" t="n"/>
      <c r="Y57" s="128" t="n"/>
      <c r="Z57" s="128" t="n"/>
      <c r="AA57" s="28" t="n"/>
      <c r="AB57" s="28" t="n"/>
      <c r="AC57" s="22" t="n"/>
      <c r="AD57" s="23" t="n"/>
      <c r="AE57" s="14">
        <f>AF56</f>
        <v/>
      </c>
      <c r="AF57" s="31" t="n">
        <v>17041</v>
      </c>
      <c r="AG57" s="26">
        <f>AF57-AE57</f>
        <v/>
      </c>
    </row>
    <row r="58">
      <c r="A58" s="17">
        <f>A57+1</f>
        <v/>
      </c>
      <c r="B58" s="148" t="inlineStr">
        <is>
          <t xml:space="preserve">DAY </t>
        </is>
      </c>
      <c r="C58" s="13">
        <f>D57</f>
        <v/>
      </c>
      <c r="D58" s="8" t="n">
        <v>863</v>
      </c>
      <c r="E58" s="21">
        <f>D58-C58</f>
        <v/>
      </c>
      <c r="F58" s="130" t="n">
        <v>201</v>
      </c>
      <c r="G58" s="133" t="n">
        <v>860</v>
      </c>
      <c r="H58" s="148">
        <f>G58-G56</f>
        <v/>
      </c>
      <c r="I58" s="129">
        <f>F58/H58</f>
        <v/>
      </c>
      <c r="J58" s="28" t="n"/>
      <c r="K58" s="28" t="n"/>
      <c r="L58" s="22" t="n"/>
      <c r="M58" s="23" t="n"/>
      <c r="N58" s="14">
        <f>O57</f>
        <v/>
      </c>
      <c r="O58" s="31" t="n">
        <v>11319</v>
      </c>
      <c r="P58" s="26">
        <f>O58-N58</f>
        <v/>
      </c>
      <c r="R58" s="17">
        <f>R57+1</f>
        <v/>
      </c>
      <c r="S58" s="148" t="inlineStr">
        <is>
          <t xml:space="preserve">DAY </t>
        </is>
      </c>
      <c r="T58" s="13">
        <f>U57</f>
        <v/>
      </c>
      <c r="U58" s="8" t="n">
        <v>1510</v>
      </c>
      <c r="V58" s="21">
        <f>U58-T58</f>
        <v/>
      </c>
      <c r="W58" s="130" t="n">
        <v>200</v>
      </c>
      <c r="X58" s="133" t="n">
        <v>1509</v>
      </c>
      <c r="Y58" s="127">
        <f>X58-X56</f>
        <v/>
      </c>
      <c r="Z58" s="129">
        <f>W58/Y58</f>
        <v/>
      </c>
      <c r="AA58" s="28" t="n"/>
      <c r="AB58" s="28" t="n"/>
      <c r="AC58" s="22" t="n"/>
      <c r="AD58" s="23" t="n"/>
      <c r="AE58" s="14">
        <f>AF57</f>
        <v/>
      </c>
      <c r="AF58" s="31" t="n">
        <v>17168</v>
      </c>
      <c r="AG58" s="26">
        <f>AF58-AE58</f>
        <v/>
      </c>
    </row>
    <row r="59">
      <c r="A59" s="17">
        <f>A58</f>
        <v/>
      </c>
      <c r="B59" s="148" t="inlineStr">
        <is>
          <t>NIGHT</t>
        </is>
      </c>
      <c r="C59" s="13">
        <f>D58</f>
        <v/>
      </c>
      <c r="D59" s="8" t="n">
        <v>869</v>
      </c>
      <c r="E59" s="21">
        <f>D59-C59</f>
        <v/>
      </c>
      <c r="F59" s="128" t="n"/>
      <c r="G59" s="132" t="n"/>
      <c r="H59" s="128" t="n"/>
      <c r="I59" s="128" t="n"/>
      <c r="J59" s="28" t="n"/>
      <c r="K59" s="28" t="n"/>
      <c r="L59" s="22" t="n"/>
      <c r="M59" s="23" t="n"/>
      <c r="N59" s="14">
        <f>O58</f>
        <v/>
      </c>
      <c r="O59" s="31" t="n">
        <v>11431</v>
      </c>
      <c r="P59" s="26">
        <f>O59-N59</f>
        <v/>
      </c>
      <c r="R59" s="17">
        <f>R58</f>
        <v/>
      </c>
      <c r="S59" s="148" t="inlineStr">
        <is>
          <t>NIGHT</t>
        </is>
      </c>
      <c r="T59" s="13">
        <f>U58</f>
        <v/>
      </c>
      <c r="U59" s="8" t="n">
        <v>1517</v>
      </c>
      <c r="V59" s="21">
        <f>U59-T59</f>
        <v/>
      </c>
      <c r="W59" s="128" t="n"/>
      <c r="X59" s="132" t="n"/>
      <c r="Y59" s="128" t="n"/>
      <c r="Z59" s="128" t="n"/>
      <c r="AA59" s="28" t="n"/>
      <c r="AB59" s="28" t="n"/>
      <c r="AC59" s="22" t="n"/>
      <c r="AD59" s="23" t="n"/>
      <c r="AE59" s="14">
        <f>AF58</f>
        <v/>
      </c>
      <c r="AF59" s="31" t="n">
        <v>17273</v>
      </c>
      <c r="AG59" s="26">
        <f>AF59-AE59</f>
        <v/>
      </c>
    </row>
    <row r="60">
      <c r="A60" s="17">
        <f>A59+1</f>
        <v/>
      </c>
      <c r="B60" s="148" t="inlineStr">
        <is>
          <t xml:space="preserve">DAY </t>
        </is>
      </c>
      <c r="C60" s="13">
        <f>D59</f>
        <v/>
      </c>
      <c r="D60" s="8" t="n">
        <v>880</v>
      </c>
      <c r="E60" s="21">
        <f>D60-C60</f>
        <v/>
      </c>
      <c r="F60" s="130" t="n">
        <v>240</v>
      </c>
      <c r="G60" s="133" t="n">
        <v>872</v>
      </c>
      <c r="H60" s="148">
        <f>G60-G58</f>
        <v/>
      </c>
      <c r="I60" s="129">
        <f>F60/H60</f>
        <v/>
      </c>
      <c r="J60" s="28" t="n"/>
      <c r="K60" s="28" t="n"/>
      <c r="L60" s="22" t="n"/>
      <c r="M60" s="23" t="n"/>
      <c r="N60" s="14">
        <f>O59</f>
        <v/>
      </c>
      <c r="O60" s="31" t="n">
        <v>11546</v>
      </c>
      <c r="P60" s="26">
        <f>O60-N60</f>
        <v/>
      </c>
      <c r="R60" s="17">
        <f>R59+1</f>
        <v/>
      </c>
      <c r="S60" s="148" t="inlineStr">
        <is>
          <t xml:space="preserve">DAY </t>
        </is>
      </c>
      <c r="T60" s="13">
        <f>U59</f>
        <v/>
      </c>
      <c r="U60" s="8" t="n">
        <v>1527</v>
      </c>
      <c r="V60" s="21">
        <f>U60-T60</f>
        <v/>
      </c>
      <c r="W60" s="130" t="n">
        <v>200</v>
      </c>
      <c r="X60" s="133" t="n">
        <v>1523</v>
      </c>
      <c r="Y60" s="127">
        <f>X60-X58</f>
        <v/>
      </c>
      <c r="Z60" s="129">
        <f>W60/Y60</f>
        <v/>
      </c>
      <c r="AA60" s="28" t="n"/>
      <c r="AB60" s="28" t="n"/>
      <c r="AC60" s="22" t="n"/>
      <c r="AD60" s="23" t="n"/>
      <c r="AE60" s="14">
        <f>AF59</f>
        <v/>
      </c>
      <c r="AF60" s="31" t="n">
        <v>17423</v>
      </c>
      <c r="AG60" s="26">
        <f>AF60-AE60</f>
        <v/>
      </c>
    </row>
    <row r="61">
      <c r="A61" s="17">
        <f>A60</f>
        <v/>
      </c>
      <c r="B61" s="148" t="inlineStr">
        <is>
          <t>NIGHT</t>
        </is>
      </c>
      <c r="C61" s="13">
        <f>D60</f>
        <v/>
      </c>
      <c r="D61" s="8" t="n">
        <v>887</v>
      </c>
      <c r="E61" s="21">
        <f>D61-C61</f>
        <v/>
      </c>
      <c r="F61" s="128" t="n"/>
      <c r="G61" s="132" t="n"/>
      <c r="H61" s="128" t="n"/>
      <c r="I61" s="128" t="n"/>
      <c r="J61" s="28" t="n"/>
      <c r="K61" s="28" t="n"/>
      <c r="L61" s="22" t="n"/>
      <c r="M61" s="23" t="n"/>
      <c r="N61" s="14">
        <f>O60</f>
        <v/>
      </c>
      <c r="O61" s="31" t="n">
        <v>11620</v>
      </c>
      <c r="P61" s="26">
        <f>O61-N61</f>
        <v/>
      </c>
      <c r="R61" s="17">
        <f>R60</f>
        <v/>
      </c>
      <c r="S61" s="148" t="inlineStr">
        <is>
          <t>NIGHT</t>
        </is>
      </c>
      <c r="T61" s="13">
        <f>U60</f>
        <v/>
      </c>
      <c r="U61" s="8" t="n">
        <v>1534</v>
      </c>
      <c r="V61" s="21">
        <f>U61-T61</f>
        <v/>
      </c>
      <c r="W61" s="128" t="n"/>
      <c r="X61" s="132" t="n"/>
      <c r="Y61" s="128" t="n"/>
      <c r="Z61" s="128" t="n"/>
      <c r="AA61" s="28" t="n"/>
      <c r="AB61" s="28" t="n"/>
      <c r="AC61" s="22" t="n"/>
      <c r="AD61" s="23" t="n"/>
      <c r="AE61" s="14">
        <f>AF60</f>
        <v/>
      </c>
      <c r="AF61" s="31" t="n">
        <v>17523</v>
      </c>
      <c r="AG61" s="26">
        <f>AF61-AE61</f>
        <v/>
      </c>
    </row>
    <row r="62">
      <c r="A62" s="17">
        <f>A61+1</f>
        <v/>
      </c>
      <c r="B62" s="148" t="inlineStr">
        <is>
          <t xml:space="preserve">DAY </t>
        </is>
      </c>
      <c r="C62" s="13">
        <f>D61</f>
        <v/>
      </c>
      <c r="D62" s="8" t="n">
        <v>897</v>
      </c>
      <c r="E62" s="21">
        <f>D62-C62</f>
        <v/>
      </c>
      <c r="F62" s="130" t="n">
        <v>250</v>
      </c>
      <c r="G62" s="133" t="n">
        <v>893</v>
      </c>
      <c r="H62" s="148">
        <f>G62-G60</f>
        <v/>
      </c>
      <c r="I62" s="129">
        <f>F62/H62</f>
        <v/>
      </c>
      <c r="J62" s="18" t="n"/>
      <c r="K62" s="18" t="n"/>
      <c r="L62" s="22" t="n"/>
      <c r="M62" s="23" t="n"/>
      <c r="N62" s="14">
        <f>O61</f>
        <v/>
      </c>
      <c r="O62" s="31" t="n">
        <v>11752</v>
      </c>
      <c r="P62" s="26">
        <f>O62-N62</f>
        <v/>
      </c>
      <c r="R62" s="17">
        <f>R61+1</f>
        <v/>
      </c>
      <c r="S62" s="148" t="inlineStr">
        <is>
          <t xml:space="preserve">DAY </t>
        </is>
      </c>
      <c r="T62" s="13">
        <f>U61</f>
        <v/>
      </c>
      <c r="U62" s="8" t="n">
        <v>1543</v>
      </c>
      <c r="V62" s="21">
        <f>U62-T62</f>
        <v/>
      </c>
      <c r="W62" s="130" t="n">
        <v>150</v>
      </c>
      <c r="X62" s="133" t="n">
        <v>1537</v>
      </c>
      <c r="Y62" s="127">
        <f>X62-X60</f>
        <v/>
      </c>
      <c r="Z62" s="129">
        <f>W62/Y62</f>
        <v/>
      </c>
      <c r="AA62" s="28" t="n"/>
      <c r="AB62" s="28" t="n"/>
      <c r="AC62" s="22" t="n"/>
      <c r="AD62" s="23" t="n"/>
      <c r="AE62" s="14">
        <f>AF61</f>
        <v/>
      </c>
      <c r="AF62" s="31" t="n">
        <v>17647</v>
      </c>
      <c r="AG62" s="26">
        <f>AF62-AE62</f>
        <v/>
      </c>
    </row>
    <row r="63">
      <c r="A63" s="17">
        <f>A62</f>
        <v/>
      </c>
      <c r="B63" s="148" t="inlineStr">
        <is>
          <t>NIGHT</t>
        </is>
      </c>
      <c r="C63" s="13">
        <f>D62</f>
        <v/>
      </c>
      <c r="D63" s="8" t="n">
        <v>904</v>
      </c>
      <c r="E63" s="21">
        <f>D63-C63</f>
        <v/>
      </c>
      <c r="F63" s="128" t="n"/>
      <c r="G63" s="132" t="n"/>
      <c r="H63" s="128" t="n"/>
      <c r="I63" s="128" t="n"/>
      <c r="J63" s="18" t="n"/>
      <c r="K63" s="18" t="n"/>
      <c r="L63" s="67" t="n"/>
      <c r="M63" s="68" t="n"/>
      <c r="N63" s="14">
        <f>O62</f>
        <v/>
      </c>
      <c r="O63" s="69" t="n">
        <v>11862</v>
      </c>
      <c r="P63" s="65">
        <f>O63-N63</f>
        <v/>
      </c>
      <c r="R63" s="17">
        <f>R62</f>
        <v/>
      </c>
      <c r="S63" s="148" t="inlineStr">
        <is>
          <t>NIGHT</t>
        </is>
      </c>
      <c r="T63" s="13">
        <f>U62</f>
        <v/>
      </c>
      <c r="U63" s="8" t="n">
        <v>1550</v>
      </c>
      <c r="V63" s="21">
        <f>U63-T63</f>
        <v/>
      </c>
      <c r="W63" s="128" t="n"/>
      <c r="X63" s="132" t="n"/>
      <c r="Y63" s="128" t="n"/>
      <c r="Z63" s="128" t="n"/>
      <c r="AA63" s="28" t="n"/>
      <c r="AB63" s="28" t="n"/>
      <c r="AC63" s="22" t="n"/>
      <c r="AD63" s="23" t="n"/>
      <c r="AE63" s="14">
        <f>AF62</f>
        <v/>
      </c>
      <c r="AF63" s="31" t="n">
        <v>17714</v>
      </c>
      <c r="AG63" s="26">
        <f>AF63-AE63</f>
        <v/>
      </c>
    </row>
    <row r="64">
      <c r="A64" s="17">
        <f>A63+1</f>
        <v/>
      </c>
      <c r="B64" s="148" t="inlineStr">
        <is>
          <t xml:space="preserve">DAY </t>
        </is>
      </c>
      <c r="C64" s="13">
        <f>D63</f>
        <v/>
      </c>
      <c r="D64" s="8" t="n">
        <v>912</v>
      </c>
      <c r="E64" s="21">
        <f>D64-C64</f>
        <v/>
      </c>
      <c r="F64" s="130" t="n">
        <v>170</v>
      </c>
      <c r="G64" s="133" t="n">
        <v>906</v>
      </c>
      <c r="H64" s="148">
        <f>G64-G62</f>
        <v/>
      </c>
      <c r="I64" s="129">
        <f>F64/H64</f>
        <v/>
      </c>
      <c r="J64" s="18" t="n"/>
      <c r="K64" s="18" t="n"/>
      <c r="L64" s="22" t="n"/>
      <c r="M64" s="23" t="n"/>
      <c r="N64" s="14">
        <f>O63</f>
        <v/>
      </c>
      <c r="O64" s="31" t="n">
        <v>11984</v>
      </c>
      <c r="P64" s="26">
        <f>O64-N64</f>
        <v/>
      </c>
      <c r="R64" s="17">
        <f>R63+1</f>
        <v/>
      </c>
      <c r="S64" s="148" t="inlineStr">
        <is>
          <t xml:space="preserve">DAY </t>
        </is>
      </c>
      <c r="T64" s="13">
        <f>U63</f>
        <v/>
      </c>
      <c r="U64" s="8" t="n">
        <v>1559</v>
      </c>
      <c r="V64" s="21">
        <f>U64-T64</f>
        <v/>
      </c>
      <c r="W64" s="130" t="n">
        <v>220</v>
      </c>
      <c r="X64" s="133" t="n">
        <v>1553</v>
      </c>
      <c r="Y64" s="127">
        <f>X64-X62</f>
        <v/>
      </c>
      <c r="Z64" s="129">
        <f>W64/Y64</f>
        <v/>
      </c>
      <c r="AA64" s="28" t="n"/>
      <c r="AB64" s="28" t="n"/>
      <c r="AC64" s="22" t="n"/>
      <c r="AD64" s="23" t="n"/>
      <c r="AE64" s="14">
        <f>AF63</f>
        <v/>
      </c>
      <c r="AF64" s="31" t="n">
        <v>17859</v>
      </c>
      <c r="AG64" s="26">
        <f>AF64-AE64</f>
        <v/>
      </c>
    </row>
    <row r="65" ht="15.75" customHeight="1" s="140" thickBot="1">
      <c r="A65" s="17">
        <f>A64</f>
        <v/>
      </c>
      <c r="B65" s="148" t="inlineStr">
        <is>
          <t>NIGHT</t>
        </is>
      </c>
      <c r="C65" s="13">
        <f>D64</f>
        <v/>
      </c>
      <c r="D65" s="8" t="n">
        <v>922</v>
      </c>
      <c r="E65" s="21">
        <f>D65-C65</f>
        <v/>
      </c>
      <c r="F65" s="128" t="n"/>
      <c r="G65" s="132" t="n"/>
      <c r="H65" s="128" t="n"/>
      <c r="I65" s="128" t="n"/>
      <c r="J65" s="66" t="n"/>
      <c r="K65" s="66" t="n"/>
      <c r="L65" s="67" t="n"/>
      <c r="M65" s="68" t="n"/>
      <c r="N65" s="14">
        <f>O64</f>
        <v/>
      </c>
      <c r="O65" s="69" t="n">
        <v>12086</v>
      </c>
      <c r="P65" s="65">
        <f>O65-N65</f>
        <v/>
      </c>
      <c r="R65" s="17">
        <f>R64</f>
        <v/>
      </c>
      <c r="S65" s="148" t="inlineStr">
        <is>
          <t>NIGHT</t>
        </is>
      </c>
      <c r="T65" s="13">
        <f>U64</f>
        <v/>
      </c>
      <c r="U65" s="8" t="n">
        <v>1565</v>
      </c>
      <c r="V65" s="21">
        <f>U65-T65</f>
        <v/>
      </c>
      <c r="W65" s="128" t="n"/>
      <c r="X65" s="132" t="n"/>
      <c r="Y65" s="128" t="n"/>
      <c r="Z65" s="128" t="n"/>
      <c r="AA65" s="28" t="n"/>
      <c r="AB65" s="28" t="n"/>
      <c r="AC65" s="22" t="n"/>
      <c r="AD65" s="23" t="n"/>
      <c r="AE65" s="14">
        <f>AF64</f>
        <v/>
      </c>
      <c r="AF65" s="31" t="n">
        <v>17917</v>
      </c>
      <c r="AG65" s="26">
        <f>AF65-AE65</f>
        <v/>
      </c>
    </row>
    <row r="66" ht="16.5" customHeight="1" s="140" thickBot="1">
      <c r="A66" s="145" t="inlineStr">
        <is>
          <t>TOTAL Running Hours: 486</t>
        </is>
      </c>
      <c r="B66" s="143" t="n"/>
      <c r="C66" s="143" t="n"/>
      <c r="D66" s="146" t="n"/>
      <c r="E66" s="161">
        <f>SUBTOTAL(9,E4:E65)</f>
        <v/>
      </c>
      <c r="F66" s="161">
        <f>SUBTOTAL(9,F4:F65)</f>
        <v/>
      </c>
      <c r="G66" s="71" t="n"/>
      <c r="H66" s="71" t="n"/>
      <c r="I66" s="36">
        <f>F66/E66</f>
        <v/>
      </c>
      <c r="J66" s="135" t="inlineStr">
        <is>
          <t>04:00 HRS</t>
        </is>
      </c>
      <c r="K66" s="136" t="n"/>
      <c r="L66" s="136" t="n"/>
      <c r="M66" s="137" t="n"/>
      <c r="N66" s="135" t="n"/>
      <c r="O66" s="135" t="n"/>
      <c r="P66" s="161">
        <f>SUBTOTAL(9,P4:P65)</f>
        <v/>
      </c>
      <c r="R66" s="145" t="inlineStr">
        <is>
          <t>TOTAL Running Hours: 502</t>
        </is>
      </c>
      <c r="S66" s="143" t="n"/>
      <c r="T66" s="143" t="n"/>
      <c r="U66" s="146" t="n"/>
      <c r="V66" s="161">
        <f>SUBTOTAL(9,V4:V65)</f>
        <v/>
      </c>
      <c r="W66" s="161">
        <f>SUBTOTAL(9,W4:W65)</f>
        <v/>
      </c>
      <c r="X66" s="71" t="n"/>
      <c r="Y66" s="71" t="n"/>
      <c r="Z66" s="36">
        <f>W66/V66</f>
        <v/>
      </c>
      <c r="AA66" s="135" t="inlineStr">
        <is>
          <t>3:30 HRS</t>
        </is>
      </c>
      <c r="AB66" s="136" t="n"/>
      <c r="AC66" s="136" t="n"/>
      <c r="AD66" s="137" t="n"/>
      <c r="AE66" s="161" t="n"/>
      <c r="AF66" s="161" t="n"/>
      <c r="AG66" s="161">
        <f>SUBTOTAL(9,AG4:AG65)</f>
        <v/>
      </c>
    </row>
  </sheetData>
  <mergeCells count="256">
    <mergeCell ref="I54:I55"/>
    <mergeCell ref="F44:F45"/>
    <mergeCell ref="I32:I33"/>
    <mergeCell ref="Y24:Y25"/>
    <mergeCell ref="H26:H27"/>
    <mergeCell ref="Z26:Z27"/>
    <mergeCell ref="G8:G9"/>
    <mergeCell ref="G48:G49"/>
    <mergeCell ref="X16:X17"/>
    <mergeCell ref="H50:H51"/>
    <mergeCell ref="I16:I17"/>
    <mergeCell ref="Y26:Y27"/>
    <mergeCell ref="Z12:Z13"/>
    <mergeCell ref="H34:H35"/>
    <mergeCell ref="I26:I27"/>
    <mergeCell ref="W16:W17"/>
    <mergeCell ref="F30:F31"/>
    <mergeCell ref="Y10:Y11"/>
    <mergeCell ref="F18:F19"/>
    <mergeCell ref="G10:G11"/>
    <mergeCell ref="H52:H53"/>
    <mergeCell ref="I18:I19"/>
    <mergeCell ref="F26:F27"/>
    <mergeCell ref="Y60:Y61"/>
    <mergeCell ref="F42:F43"/>
    <mergeCell ref="H36:H37"/>
    <mergeCell ref="X28:X29"/>
    <mergeCell ref="W50:W51"/>
    <mergeCell ref="G58:G59"/>
    <mergeCell ref="Y50:Y51"/>
    <mergeCell ref="G18:G19"/>
    <mergeCell ref="I58:I59"/>
    <mergeCell ref="F62:F63"/>
    <mergeCell ref="X30:X31"/>
    <mergeCell ref="Y16:Y17"/>
    <mergeCell ref="W52:W53"/>
    <mergeCell ref="I42:I43"/>
    <mergeCell ref="F28:F29"/>
    <mergeCell ref="X14:X15"/>
    <mergeCell ref="I20:I21"/>
    <mergeCell ref="G60:G61"/>
    <mergeCell ref="I60:I61"/>
    <mergeCell ref="H28:H29"/>
    <mergeCell ref="F64:F65"/>
    <mergeCell ref="Y52:Y53"/>
    <mergeCell ref="G40:G41"/>
    <mergeCell ref="W42:W43"/>
    <mergeCell ref="G50:G51"/>
    <mergeCell ref="Y36:Y37"/>
    <mergeCell ref="H24:H25"/>
    <mergeCell ref="I50:I51"/>
    <mergeCell ref="G44:G45"/>
    <mergeCell ref="F48:F49"/>
    <mergeCell ref="I44:I45"/>
    <mergeCell ref="G22:G23"/>
    <mergeCell ref="H48:H49"/>
    <mergeCell ref="Y18:Y19"/>
    <mergeCell ref="H30:H31"/>
    <mergeCell ref="X56:X57"/>
    <mergeCell ref="H8:H9"/>
    <mergeCell ref="G12:G13"/>
    <mergeCell ref="W44:W45"/>
    <mergeCell ref="I6:I7"/>
    <mergeCell ref="Y42:Y43"/>
    <mergeCell ref="X46:X47"/>
    <mergeCell ref="Z46:Z47"/>
    <mergeCell ref="F34:F35"/>
    <mergeCell ref="F16:F17"/>
    <mergeCell ref="W28:W29"/>
    <mergeCell ref="G36:G37"/>
    <mergeCell ref="W6:W7"/>
    <mergeCell ref="H10:H11"/>
    <mergeCell ref="Y62:Y63"/>
    <mergeCell ref="F40:F41"/>
    <mergeCell ref="I30:I31"/>
    <mergeCell ref="X48:X49"/>
    <mergeCell ref="AA66:AD66"/>
    <mergeCell ref="F36:F37"/>
    <mergeCell ref="W30:W31"/>
    <mergeCell ref="W64:W65"/>
    <mergeCell ref="Y30:Y31"/>
    <mergeCell ref="Z32:Z33"/>
    <mergeCell ref="Y64:Y65"/>
    <mergeCell ref="F20:F21"/>
    <mergeCell ref="Z50:Z51"/>
    <mergeCell ref="X34:X35"/>
    <mergeCell ref="W54:W55"/>
    <mergeCell ref="G62:G63"/>
    <mergeCell ref="Y54:Y55"/>
    <mergeCell ref="W32:W33"/>
    <mergeCell ref="I62:I63"/>
    <mergeCell ref="I56:I57"/>
    <mergeCell ref="F22:F23"/>
    <mergeCell ref="Z52:Z53"/>
    <mergeCell ref="H22:H23"/>
    <mergeCell ref="W56:W57"/>
    <mergeCell ref="G64:G65"/>
    <mergeCell ref="Y34:Y35"/>
    <mergeCell ref="Z18:Z19"/>
    <mergeCell ref="X42:X43"/>
    <mergeCell ref="X20:X21"/>
    <mergeCell ref="J1:M1"/>
    <mergeCell ref="Z42:Z43"/>
    <mergeCell ref="Z20:Z21"/>
    <mergeCell ref="Y40:Y41"/>
    <mergeCell ref="Z14:Z15"/>
    <mergeCell ref="I48:I49"/>
    <mergeCell ref="W18:W19"/>
    <mergeCell ref="X4:X5"/>
    <mergeCell ref="X44:X45"/>
    <mergeCell ref="W8:W9"/>
    <mergeCell ref="X22:X23"/>
    <mergeCell ref="I38:I39"/>
    <mergeCell ref="Z4:Z5"/>
    <mergeCell ref="H12:H13"/>
    <mergeCell ref="F46:F47"/>
    <mergeCell ref="R1:Z1"/>
    <mergeCell ref="I34:I35"/>
    <mergeCell ref="Z28:Z29"/>
    <mergeCell ref="H62:H63"/>
    <mergeCell ref="Z6:Z7"/>
    <mergeCell ref="G26:G27"/>
    <mergeCell ref="W58:W59"/>
    <mergeCell ref="W10:W11"/>
    <mergeCell ref="H14:H15"/>
    <mergeCell ref="F4:F5"/>
    <mergeCell ref="H4:H5"/>
    <mergeCell ref="W60:W61"/>
    <mergeCell ref="Y38:Y39"/>
    <mergeCell ref="A1:I1"/>
    <mergeCell ref="F54:F55"/>
    <mergeCell ref="F10:F11"/>
    <mergeCell ref="H54:H55"/>
    <mergeCell ref="F24:F25"/>
    <mergeCell ref="Z54:Z55"/>
    <mergeCell ref="Y58:Y59"/>
    <mergeCell ref="G52:G53"/>
    <mergeCell ref="H38:H39"/>
    <mergeCell ref="Y14:Y15"/>
    <mergeCell ref="G42:G43"/>
    <mergeCell ref="H56:H57"/>
    <mergeCell ref="I36:I37"/>
    <mergeCell ref="Z16:Z17"/>
    <mergeCell ref="Z56:Z57"/>
    <mergeCell ref="X32:X33"/>
    <mergeCell ref="G38:G39"/>
    <mergeCell ref="H58:H59"/>
    <mergeCell ref="H40:H41"/>
    <mergeCell ref="X24:X25"/>
    <mergeCell ref="F8:F9"/>
    <mergeCell ref="G28:G29"/>
    <mergeCell ref="H60:H61"/>
    <mergeCell ref="G6:G7"/>
    <mergeCell ref="Z8:Z9"/>
    <mergeCell ref="G24:G25"/>
    <mergeCell ref="F50:F51"/>
    <mergeCell ref="X58:X59"/>
    <mergeCell ref="I24:I25"/>
    <mergeCell ref="X18:X19"/>
    <mergeCell ref="Z58:Z59"/>
    <mergeCell ref="X10:X11"/>
    <mergeCell ref="W62:W63"/>
    <mergeCell ref="G30:G31"/>
    <mergeCell ref="Z10:Z11"/>
    <mergeCell ref="I8:I9"/>
    <mergeCell ref="H16:H17"/>
    <mergeCell ref="W46:W47"/>
    <mergeCell ref="F52:F53"/>
    <mergeCell ref="X60:X61"/>
    <mergeCell ref="Y46:Y47"/>
    <mergeCell ref="Z60:Z61"/>
    <mergeCell ref="Y28:Y29"/>
    <mergeCell ref="G16:G17"/>
    <mergeCell ref="X50:X51"/>
    <mergeCell ref="I10:I11"/>
    <mergeCell ref="H18:H19"/>
    <mergeCell ref="F14:F15"/>
    <mergeCell ref="W48:W49"/>
    <mergeCell ref="Z44:Z45"/>
    <mergeCell ref="Y48:Y49"/>
    <mergeCell ref="G56:G57"/>
    <mergeCell ref="Y8:Y9"/>
    <mergeCell ref="Z34:Z35"/>
    <mergeCell ref="X12:X13"/>
    <mergeCell ref="H42:H43"/>
    <mergeCell ref="W38:W39"/>
    <mergeCell ref="X52:X53"/>
    <mergeCell ref="H20:H21"/>
    <mergeCell ref="W34:W35"/>
    <mergeCell ref="X36:X37"/>
    <mergeCell ref="F6:F7"/>
    <mergeCell ref="Z36:Z37"/>
    <mergeCell ref="R66:U66"/>
    <mergeCell ref="H44:H45"/>
    <mergeCell ref="W40:W41"/>
    <mergeCell ref="J66:M66"/>
    <mergeCell ref="Z30:Z31"/>
    <mergeCell ref="W36:W37"/>
    <mergeCell ref="F12:F13"/>
    <mergeCell ref="H6:H7"/>
    <mergeCell ref="H64:H65"/>
    <mergeCell ref="W20:W21"/>
    <mergeCell ref="G34:G35"/>
    <mergeCell ref="Y20:Y21"/>
    <mergeCell ref="Z22:Z23"/>
    <mergeCell ref="X62:X63"/>
    <mergeCell ref="F32:F33"/>
    <mergeCell ref="I28:I29"/>
    <mergeCell ref="Z62:Z63"/>
    <mergeCell ref="W26:W27"/>
    <mergeCell ref="I22:I23"/>
    <mergeCell ref="X6:X7"/>
    <mergeCell ref="W24:W25"/>
    <mergeCell ref="H46:H47"/>
    <mergeCell ref="Y44:Y45"/>
    <mergeCell ref="W22:W23"/>
    <mergeCell ref="I52:I53"/>
    <mergeCell ref="Y22:Y23"/>
    <mergeCell ref="I12:I13"/>
    <mergeCell ref="F56:F57"/>
    <mergeCell ref="X64:X65"/>
    <mergeCell ref="Z64:Z65"/>
    <mergeCell ref="W12:W13"/>
    <mergeCell ref="Y6:Y7"/>
    <mergeCell ref="G20:G21"/>
    <mergeCell ref="AA1:AD1"/>
    <mergeCell ref="G14:G15"/>
    <mergeCell ref="X54:X55"/>
    <mergeCell ref="I14:I15"/>
    <mergeCell ref="Z48:Z49"/>
    <mergeCell ref="F38:F39"/>
    <mergeCell ref="G4:G5"/>
    <mergeCell ref="H32:H33"/>
    <mergeCell ref="X38:X39"/>
    <mergeCell ref="W14:W15"/>
    <mergeCell ref="Y12:Y13"/>
    <mergeCell ref="I64:I65"/>
    <mergeCell ref="Z38:Z39"/>
    <mergeCell ref="I4:I5"/>
    <mergeCell ref="G54:G55"/>
    <mergeCell ref="G32:G33"/>
    <mergeCell ref="F58:F59"/>
    <mergeCell ref="A66:D66"/>
    <mergeCell ref="X26:X27"/>
    <mergeCell ref="Y32:Y33"/>
    <mergeCell ref="X40:X41"/>
    <mergeCell ref="Z40:Z41"/>
    <mergeCell ref="W4:W5"/>
    <mergeCell ref="Y4:Y5"/>
    <mergeCell ref="F60:F61"/>
    <mergeCell ref="Y56:Y57"/>
    <mergeCell ref="Z24:Z25"/>
    <mergeCell ref="X8:X9"/>
    <mergeCell ref="G46:G47"/>
    <mergeCell ref="I46:I47"/>
    <mergeCell ref="I40:I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4" sqref="V4"/>
    </sheetView>
  </sheetViews>
  <sheetFormatPr baseColWidth="8" defaultRowHeight="15"/>
  <cols>
    <col width="7.28515625" bestFit="1" customWidth="1" style="140" min="5" max="5"/>
  </cols>
  <sheetData>
    <row r="1" ht="19.5" customHeight="1" s="140" thickBot="1">
      <c r="A1" s="142" t="inlineStr">
        <is>
          <t>NEW MACHINE NO - SANY-8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55" t="inlineStr">
        <is>
          <t>DATE</t>
        </is>
      </c>
      <c r="B2" s="56" t="inlineStr">
        <is>
          <t>SHIFT</t>
        </is>
      </c>
      <c r="C2" s="57" t="inlineStr">
        <is>
          <t>SHIFT START - HMR</t>
        </is>
      </c>
      <c r="D2" s="57" t="inlineStr">
        <is>
          <t>SHIFT END - HMR</t>
        </is>
      </c>
      <c r="E2" s="58" t="inlineStr">
        <is>
          <t>HOURS</t>
        </is>
      </c>
      <c r="F2" s="59" t="inlineStr">
        <is>
          <t>DIESEL</t>
        </is>
      </c>
      <c r="G2" s="56" t="inlineStr">
        <is>
          <t>HMR</t>
        </is>
      </c>
      <c r="H2" s="56" t="inlineStr">
        <is>
          <t>HOURS</t>
        </is>
      </c>
      <c r="I2" s="58" t="inlineStr">
        <is>
          <t>AVERAGE</t>
        </is>
      </c>
      <c r="J2" s="60" t="inlineStr">
        <is>
          <t>START TIME</t>
        </is>
      </c>
      <c r="K2" s="60" t="inlineStr">
        <is>
          <t>END TIME</t>
        </is>
      </c>
      <c r="L2" s="60" t="inlineStr">
        <is>
          <t>TOTAL HRS</t>
        </is>
      </c>
      <c r="M2" s="60" t="inlineStr">
        <is>
          <t>Remarks</t>
        </is>
      </c>
      <c r="N2" s="53" t="inlineStr">
        <is>
          <t>Container Start Count</t>
        </is>
      </c>
      <c r="O2" s="53" t="inlineStr">
        <is>
          <t>Container End Count</t>
        </is>
      </c>
      <c r="P2" s="60" t="inlineStr">
        <is>
          <t>Total</t>
        </is>
      </c>
      <c r="R2" s="37" t="inlineStr">
        <is>
          <t>DATE</t>
        </is>
      </c>
      <c r="S2" s="38" t="inlineStr">
        <is>
          <t>SHIFT</t>
        </is>
      </c>
      <c r="T2" s="40" t="inlineStr">
        <is>
          <t>SHIFT START - HMR</t>
        </is>
      </c>
      <c r="U2" s="40" t="inlineStr">
        <is>
          <t>SHIFT END - HMR</t>
        </is>
      </c>
      <c r="V2" s="39" t="inlineStr">
        <is>
          <t>HOURS</t>
        </is>
      </c>
      <c r="W2" s="41" t="inlineStr">
        <is>
          <t>DIESEL</t>
        </is>
      </c>
      <c r="X2" s="38" t="inlineStr">
        <is>
          <t>HMR</t>
        </is>
      </c>
      <c r="Y2" s="38" t="inlineStr">
        <is>
          <t>HOURS</t>
        </is>
      </c>
      <c r="Z2" s="39" t="inlineStr">
        <is>
          <t>AVERAGE</t>
        </is>
      </c>
      <c r="AA2" s="34" t="inlineStr">
        <is>
          <t>START TIME</t>
        </is>
      </c>
      <c r="AB2" s="34" t="inlineStr">
        <is>
          <t>END TIME</t>
        </is>
      </c>
      <c r="AC2" s="34" t="inlineStr">
        <is>
          <t>TOTAL HRS</t>
        </is>
      </c>
      <c r="AD2" s="34" t="inlineStr">
        <is>
          <t>Remarks</t>
        </is>
      </c>
      <c r="AE2" s="35" t="inlineStr">
        <is>
          <t>Container Start Count</t>
        </is>
      </c>
      <c r="AF2" s="35" t="inlineStr">
        <is>
          <t>Container End Count</t>
        </is>
      </c>
      <c r="AG2" s="34" t="inlineStr">
        <is>
          <t>Total</t>
        </is>
      </c>
    </row>
    <row r="3" ht="15.75" customHeight="1" s="140">
      <c r="A3" s="62" t="n"/>
      <c r="B3" s="62" t="n"/>
      <c r="C3" s="63" t="n"/>
      <c r="D3" s="63" t="n"/>
      <c r="E3" s="62" t="n"/>
      <c r="F3" s="62" t="n"/>
      <c r="G3" s="62" t="n">
        <v>906</v>
      </c>
      <c r="H3" s="62" t="n"/>
      <c r="I3" s="62" t="n"/>
      <c r="J3" s="62" t="n"/>
      <c r="K3" s="62" t="n"/>
      <c r="L3" s="62" t="n"/>
      <c r="M3" s="62" t="n"/>
      <c r="N3" s="64" t="n"/>
      <c r="O3" s="64" t="n"/>
      <c r="P3" s="62" t="n"/>
      <c r="R3" s="48" t="n"/>
      <c r="S3" s="49" t="n"/>
      <c r="T3" s="50" t="n"/>
      <c r="U3" s="50" t="n"/>
      <c r="V3" s="51" t="n"/>
      <c r="W3" s="52" t="n"/>
      <c r="X3" s="49" t="n">
        <v>1553</v>
      </c>
      <c r="Y3" s="49" t="n"/>
      <c r="Z3" s="51" t="n"/>
      <c r="AA3" s="49" t="n"/>
      <c r="AB3" s="49" t="n"/>
      <c r="AC3" s="49" t="n"/>
      <c r="AD3" s="49" t="n"/>
      <c r="AE3" s="53" t="n"/>
      <c r="AF3" s="54" t="n"/>
      <c r="AG3" s="49" t="n"/>
    </row>
    <row r="4">
      <c r="A4" s="6" t="n">
        <v>46235</v>
      </c>
      <c r="B4" s="7" t="inlineStr">
        <is>
          <t xml:space="preserve">DAY </t>
        </is>
      </c>
      <c r="C4" s="8" t="n">
        <v>922</v>
      </c>
      <c r="D4" s="7" t="n">
        <v>930</v>
      </c>
      <c r="E4" s="11">
        <f>D4-C4</f>
        <v/>
      </c>
      <c r="F4" s="144" t="n">
        <v>270</v>
      </c>
      <c r="G4" s="141" t="n">
        <v>927</v>
      </c>
      <c r="H4" s="127">
        <f>G4-G3</f>
        <v/>
      </c>
      <c r="I4" s="129">
        <f>F4/H4</f>
        <v/>
      </c>
      <c r="J4" s="18" t="n"/>
      <c r="K4" s="18" t="n"/>
      <c r="L4" s="22" t="n"/>
      <c r="M4" s="23" t="n"/>
      <c r="N4" s="69" t="n">
        <v>12086</v>
      </c>
      <c r="O4" s="7" t="n">
        <v>12246</v>
      </c>
      <c r="P4" s="7">
        <f>O4-N4</f>
        <v/>
      </c>
      <c r="R4" s="6" t="n">
        <v>46235</v>
      </c>
      <c r="S4" s="7" t="inlineStr">
        <is>
          <t xml:space="preserve">DAY </t>
        </is>
      </c>
      <c r="T4" s="8" t="n">
        <v>1565</v>
      </c>
      <c r="U4" s="7" t="n">
        <v>1574</v>
      </c>
      <c r="V4" s="11">
        <f>U4-T4</f>
        <v/>
      </c>
      <c r="W4" s="144" t="n">
        <v>200</v>
      </c>
      <c r="X4" s="141" t="n">
        <v>1570</v>
      </c>
      <c r="Y4" s="127">
        <f>X4-X3</f>
        <v/>
      </c>
      <c r="Z4" s="129">
        <f>W4/Y4</f>
        <v/>
      </c>
      <c r="AA4" s="9" t="n"/>
      <c r="AB4" s="9" t="n"/>
      <c r="AC4" s="9" t="n"/>
      <c r="AD4" s="10" t="n"/>
      <c r="AE4" s="31" t="n">
        <v>17917</v>
      </c>
      <c r="AF4" s="7" t="n">
        <v>18065</v>
      </c>
      <c r="AG4" s="7">
        <f>AF4-AE4</f>
        <v/>
      </c>
    </row>
    <row r="5">
      <c r="A5" s="6">
        <f>A4</f>
        <v/>
      </c>
      <c r="B5" s="127" t="inlineStr">
        <is>
          <t>NIGHT</t>
        </is>
      </c>
      <c r="C5" s="13">
        <f>D4</f>
        <v/>
      </c>
      <c r="D5" s="127" t="n">
        <v>941</v>
      </c>
      <c r="E5" s="11">
        <f>D5-C5</f>
        <v/>
      </c>
      <c r="F5" s="128" t="n"/>
      <c r="G5" s="128" t="n"/>
      <c r="H5" s="128" t="n"/>
      <c r="I5" s="128" t="n"/>
      <c r="J5" s="18" t="n"/>
      <c r="K5" s="18" t="n"/>
      <c r="L5" s="22" t="n"/>
      <c r="M5" s="23" t="n"/>
      <c r="N5" s="14">
        <f>O4</f>
        <v/>
      </c>
      <c r="O5" s="127" t="n">
        <v>12376</v>
      </c>
      <c r="P5" s="7">
        <f>O5-N5</f>
        <v/>
      </c>
      <c r="R5" s="6">
        <f>R4</f>
        <v/>
      </c>
      <c r="S5" s="127" t="inlineStr">
        <is>
          <t>NIGHT</t>
        </is>
      </c>
      <c r="T5" s="13">
        <f>U4</f>
        <v/>
      </c>
      <c r="U5" s="127" t="n">
        <v>1584</v>
      </c>
      <c r="V5" s="11">
        <f>U5-T5</f>
        <v/>
      </c>
      <c r="W5" s="128" t="n"/>
      <c r="X5" s="128" t="n"/>
      <c r="Y5" s="128" t="n"/>
      <c r="Z5" s="128" t="n"/>
      <c r="AA5" s="15" t="n"/>
      <c r="AB5" s="15" t="n"/>
      <c r="AC5" s="15" t="n"/>
      <c r="AD5" s="16" t="n"/>
      <c r="AE5" s="14">
        <f>AF4</f>
        <v/>
      </c>
      <c r="AF5" s="127" t="n">
        <v>18208</v>
      </c>
      <c r="AG5" s="7">
        <f>AF5-AE5</f>
        <v/>
      </c>
    </row>
    <row r="6">
      <c r="A6" s="17">
        <f>A5+1</f>
        <v/>
      </c>
      <c r="B6" s="148" t="inlineStr">
        <is>
          <t xml:space="preserve">DAY </t>
        </is>
      </c>
      <c r="C6" s="13">
        <f>D5</f>
        <v/>
      </c>
      <c r="D6" s="8" t="n">
        <v>950</v>
      </c>
      <c r="E6" s="11">
        <f>D6-C6</f>
        <v/>
      </c>
      <c r="F6" s="144" t="n">
        <v>240</v>
      </c>
      <c r="G6" s="130" t="n">
        <v>946</v>
      </c>
      <c r="H6" s="127">
        <f>G6-G4</f>
        <v/>
      </c>
      <c r="I6" s="129">
        <f>F6/H6</f>
        <v/>
      </c>
      <c r="J6" s="18" t="n"/>
      <c r="K6" s="18" t="n"/>
      <c r="L6" s="22" t="n"/>
      <c r="M6" s="23" t="n"/>
      <c r="N6" s="14">
        <f>O5</f>
        <v/>
      </c>
      <c r="O6" s="8" t="n">
        <v>12504</v>
      </c>
      <c r="P6" s="7">
        <f>O6-N6</f>
        <v/>
      </c>
      <c r="R6" s="17">
        <f>R5+1</f>
        <v/>
      </c>
      <c r="S6" s="148" t="inlineStr">
        <is>
          <t xml:space="preserve">DAY </t>
        </is>
      </c>
      <c r="T6" s="13">
        <f>U5</f>
        <v/>
      </c>
      <c r="U6" s="8" t="n">
        <v>1594</v>
      </c>
      <c r="V6" s="11">
        <f>U6-T6</f>
        <v/>
      </c>
      <c r="W6" s="130" t="n">
        <v>230</v>
      </c>
      <c r="X6" s="130" t="n">
        <v>1588</v>
      </c>
      <c r="Y6" s="127">
        <f>X6-X4</f>
        <v/>
      </c>
      <c r="Z6" s="129">
        <f>W6/Y6</f>
        <v/>
      </c>
      <c r="AA6" s="18" t="n"/>
      <c r="AB6" s="18" t="n"/>
      <c r="AC6" s="9" t="n"/>
      <c r="AD6" s="10" t="n"/>
      <c r="AE6" s="14">
        <f>AF5</f>
        <v/>
      </c>
      <c r="AF6" s="8" t="n">
        <v>18374</v>
      </c>
      <c r="AG6" s="7">
        <f>AF6-AE6</f>
        <v/>
      </c>
    </row>
    <row r="7">
      <c r="A7" s="17">
        <f>A6</f>
        <v/>
      </c>
      <c r="B7" s="148" t="inlineStr">
        <is>
          <t>NIGHT</t>
        </is>
      </c>
      <c r="C7" s="13">
        <f>D6</f>
        <v/>
      </c>
      <c r="D7" s="8" t="n">
        <v>960</v>
      </c>
      <c r="E7" s="11">
        <f>D7-C7</f>
        <v/>
      </c>
      <c r="F7" s="128" t="n"/>
      <c r="G7" s="128" t="n"/>
      <c r="H7" s="128" t="n"/>
      <c r="I7" s="128" t="n"/>
      <c r="J7" s="18" t="n"/>
      <c r="K7" s="18" t="n"/>
      <c r="L7" s="22" t="n"/>
      <c r="M7" s="23" t="n"/>
      <c r="N7" s="14">
        <f>O6</f>
        <v/>
      </c>
      <c r="O7" s="8" t="n">
        <v>12652</v>
      </c>
      <c r="P7" s="7">
        <f>O7-N7</f>
        <v/>
      </c>
      <c r="R7" s="17">
        <f>R6</f>
        <v/>
      </c>
      <c r="S7" s="148" t="inlineStr">
        <is>
          <t>NIGHT</t>
        </is>
      </c>
      <c r="T7" s="13">
        <f>U6</f>
        <v/>
      </c>
      <c r="U7" s="8" t="n">
        <v>1602</v>
      </c>
      <c r="V7" s="11">
        <f>U7-T7</f>
        <v/>
      </c>
      <c r="W7" s="128" t="n"/>
      <c r="X7" s="128" t="n"/>
      <c r="Y7" s="128" t="n"/>
      <c r="Z7" s="128" t="n"/>
      <c r="AA7" s="18" t="n"/>
      <c r="AB7" s="18" t="n"/>
      <c r="AC7" s="22" t="n"/>
      <c r="AD7" s="23" t="n"/>
      <c r="AE7" s="14">
        <f>AF6</f>
        <v/>
      </c>
      <c r="AF7" s="8" t="n">
        <v>18508</v>
      </c>
      <c r="AG7" s="7">
        <f>AF7-AE7</f>
        <v/>
      </c>
    </row>
    <row r="8">
      <c r="A8" s="17">
        <f>A7+1</f>
        <v/>
      </c>
      <c r="B8" s="127" t="inlineStr">
        <is>
          <t xml:space="preserve">DAY </t>
        </is>
      </c>
      <c r="C8" s="13">
        <f>D7</f>
        <v/>
      </c>
      <c r="D8" s="13" t="n">
        <v>970</v>
      </c>
      <c r="E8" s="11">
        <f>D8-C8</f>
        <v/>
      </c>
      <c r="F8" s="130" t="n">
        <v>230</v>
      </c>
      <c r="G8" s="131" t="n">
        <v>963</v>
      </c>
      <c r="H8" s="127">
        <f>G8-G6</f>
        <v/>
      </c>
      <c r="I8" s="129">
        <f>F8/H8</f>
        <v/>
      </c>
      <c r="J8" s="18" t="n"/>
      <c r="K8" s="18" t="n"/>
      <c r="L8" s="22" t="n"/>
      <c r="M8" s="23" t="n"/>
      <c r="N8" s="14">
        <f>O7</f>
        <v/>
      </c>
      <c r="O8" s="8" t="n">
        <v>12822</v>
      </c>
      <c r="P8" s="7">
        <f>O8-N8</f>
        <v/>
      </c>
      <c r="R8" s="17">
        <f>R7+1</f>
        <v/>
      </c>
      <c r="S8" s="127" t="inlineStr">
        <is>
          <t xml:space="preserve">DAY </t>
        </is>
      </c>
      <c r="T8" s="13">
        <f>U7</f>
        <v/>
      </c>
      <c r="U8" s="13" t="n">
        <v>1613</v>
      </c>
      <c r="V8" s="11">
        <f>U8-T8</f>
        <v/>
      </c>
      <c r="W8" s="130" t="n">
        <v>250</v>
      </c>
      <c r="X8" s="131" t="n">
        <v>1606</v>
      </c>
      <c r="Y8" s="127">
        <f>X8-X6</f>
        <v/>
      </c>
      <c r="Z8" s="129">
        <f>W8/Y8</f>
        <v/>
      </c>
      <c r="AA8" s="18" t="n"/>
      <c r="AB8" s="18" t="n"/>
      <c r="AC8" s="9" t="n"/>
      <c r="AD8" s="10" t="n"/>
      <c r="AE8" s="14">
        <f>AF7</f>
        <v/>
      </c>
      <c r="AF8" s="13" t="n">
        <v>18745</v>
      </c>
      <c r="AG8" s="7">
        <f>AF8-AE8</f>
        <v/>
      </c>
    </row>
    <row r="9">
      <c r="A9" s="17">
        <f>A8</f>
        <v/>
      </c>
      <c r="B9" s="127" t="inlineStr">
        <is>
          <t>NIGHT</t>
        </is>
      </c>
      <c r="C9" s="13">
        <f>D8</f>
        <v/>
      </c>
      <c r="D9" s="13" t="n">
        <v>978</v>
      </c>
      <c r="E9" s="11">
        <f>D9-C9</f>
        <v/>
      </c>
      <c r="F9" s="128" t="n"/>
      <c r="G9" s="132" t="n"/>
      <c r="H9" s="128" t="n"/>
      <c r="I9" s="128" t="n"/>
      <c r="J9" s="18" t="n"/>
      <c r="K9" s="18" t="n"/>
      <c r="L9" s="22" t="n"/>
      <c r="M9" s="23" t="n"/>
      <c r="N9" s="14">
        <f>O8</f>
        <v/>
      </c>
      <c r="O9" s="13" t="n">
        <v>12903</v>
      </c>
      <c r="P9" s="7">
        <f>O9-N9</f>
        <v/>
      </c>
      <c r="R9" s="17">
        <f>R8</f>
        <v/>
      </c>
      <c r="S9" s="127" t="inlineStr">
        <is>
          <t>NIGHT</t>
        </is>
      </c>
      <c r="T9" s="13">
        <f>U8</f>
        <v/>
      </c>
      <c r="U9" s="13" t="n">
        <v>1621</v>
      </c>
      <c r="V9" s="11">
        <f>U9-T9</f>
        <v/>
      </c>
      <c r="W9" s="128" t="n"/>
      <c r="X9" s="132" t="n"/>
      <c r="Y9" s="128" t="n"/>
      <c r="Z9" s="128" t="n"/>
      <c r="AA9" s="25" t="n"/>
      <c r="AB9" s="25" t="n"/>
      <c r="AC9" s="15" t="n"/>
      <c r="AD9" s="16" t="n"/>
      <c r="AE9" s="14">
        <f>AF8</f>
        <v/>
      </c>
      <c r="AF9" s="13" t="n">
        <v>18844</v>
      </c>
      <c r="AG9" s="7">
        <f>AF9-AE9</f>
        <v/>
      </c>
    </row>
    <row r="10">
      <c r="A10" s="17">
        <f>A9+1</f>
        <v/>
      </c>
      <c r="B10" s="148" t="inlineStr">
        <is>
          <t xml:space="preserve">DAY </t>
        </is>
      </c>
      <c r="C10" s="13">
        <f>D9</f>
        <v/>
      </c>
      <c r="D10" s="8" t="n">
        <v>987</v>
      </c>
      <c r="E10" s="11">
        <f>D10-C10</f>
        <v/>
      </c>
      <c r="F10" s="130" t="n">
        <v>230</v>
      </c>
      <c r="G10" s="131" t="n">
        <v>981</v>
      </c>
      <c r="H10" s="127">
        <f>G10-G8</f>
        <v/>
      </c>
      <c r="I10" s="129">
        <f>F10/H10</f>
        <v/>
      </c>
      <c r="J10" s="18" t="n"/>
      <c r="K10" s="18" t="n"/>
      <c r="L10" s="22" t="n"/>
      <c r="M10" s="23" t="n"/>
      <c r="N10" s="14">
        <f>O9</f>
        <v/>
      </c>
      <c r="O10" s="26" t="n">
        <v>13029</v>
      </c>
      <c r="P10" s="7">
        <f>O10-N10</f>
        <v/>
      </c>
      <c r="R10" s="17">
        <f>R9+1</f>
        <v/>
      </c>
      <c r="S10" s="148" t="inlineStr">
        <is>
          <t xml:space="preserve">DAY </t>
        </is>
      </c>
      <c r="T10" s="13">
        <f>U9</f>
        <v/>
      </c>
      <c r="U10" s="8" t="n">
        <v>1630</v>
      </c>
      <c r="V10" s="11">
        <f>U10-T10</f>
        <v/>
      </c>
      <c r="W10" s="130" t="n">
        <v>250</v>
      </c>
      <c r="X10" s="133" t="n">
        <v>1623</v>
      </c>
      <c r="Y10" s="127">
        <f>X10-X8</f>
        <v/>
      </c>
      <c r="Z10" s="129">
        <f>W10/Y10</f>
        <v/>
      </c>
      <c r="AA10" s="18" t="n"/>
      <c r="AB10" s="18" t="n"/>
      <c r="AC10" s="19" t="n"/>
      <c r="AD10" s="27" t="n"/>
      <c r="AE10" s="14">
        <f>AF9</f>
        <v/>
      </c>
      <c r="AF10" s="26" t="n">
        <v>19010</v>
      </c>
      <c r="AG10" s="7">
        <f>AF10-AE10</f>
        <v/>
      </c>
    </row>
    <row r="11">
      <c r="A11" s="17">
        <f>A10</f>
        <v/>
      </c>
      <c r="B11" s="148" t="inlineStr">
        <is>
          <t>NIGHT</t>
        </is>
      </c>
      <c r="C11" s="13">
        <f>D10</f>
        <v/>
      </c>
      <c r="D11" s="8" t="n">
        <v>997</v>
      </c>
      <c r="E11" s="11">
        <f>D11-C11</f>
        <v/>
      </c>
      <c r="F11" s="128" t="n"/>
      <c r="G11" s="132" t="n"/>
      <c r="H11" s="128" t="n"/>
      <c r="I11" s="128" t="n"/>
      <c r="J11" s="18" t="n"/>
      <c r="K11" s="18" t="n"/>
      <c r="L11" s="22" t="n"/>
      <c r="M11" s="23" t="n"/>
      <c r="N11" s="14">
        <f>O10</f>
        <v/>
      </c>
      <c r="O11" s="26" t="n">
        <v>13125</v>
      </c>
      <c r="P11" s="7">
        <f>O11-N11</f>
        <v/>
      </c>
      <c r="R11" s="17">
        <f>R10</f>
        <v/>
      </c>
      <c r="S11" s="148" t="inlineStr">
        <is>
          <t>NIGHT</t>
        </is>
      </c>
      <c r="T11" s="13">
        <f>U10</f>
        <v/>
      </c>
      <c r="U11" s="8" t="n">
        <v>1637</v>
      </c>
      <c r="V11" s="11">
        <f>U11-T11</f>
        <v/>
      </c>
      <c r="W11" s="128" t="n"/>
      <c r="X11" s="132" t="n"/>
      <c r="Y11" s="128" t="n"/>
      <c r="Z11" s="128" t="n"/>
      <c r="AA11" s="28" t="n"/>
      <c r="AB11" s="28" t="n"/>
      <c r="AC11" s="22" t="n"/>
      <c r="AD11" s="27" t="n"/>
      <c r="AE11" s="14">
        <f>AF10</f>
        <v/>
      </c>
      <c r="AF11" s="26" t="n">
        <v>19102</v>
      </c>
      <c r="AG11" s="7">
        <f>AF11-AE11</f>
        <v/>
      </c>
    </row>
    <row r="12">
      <c r="A12" s="17">
        <f>A11+1</f>
        <v/>
      </c>
      <c r="B12" s="148" t="inlineStr">
        <is>
          <t xml:space="preserve">DAY </t>
        </is>
      </c>
      <c r="C12" s="13">
        <f>D11</f>
        <v/>
      </c>
      <c r="D12" s="8" t="n">
        <v>1006</v>
      </c>
      <c r="E12" s="11">
        <f>D12-C12</f>
        <v/>
      </c>
      <c r="F12" s="130" t="n">
        <v>270</v>
      </c>
      <c r="G12" s="133" t="n">
        <v>1000</v>
      </c>
      <c r="H12" s="127">
        <f>G12-G10</f>
        <v/>
      </c>
      <c r="I12" s="129">
        <f>F12/H12</f>
        <v/>
      </c>
      <c r="J12" s="18" t="n"/>
      <c r="K12" s="18" t="n"/>
      <c r="L12" s="22" t="n"/>
      <c r="M12" s="23" t="n"/>
      <c r="N12" s="14">
        <f>O11</f>
        <v/>
      </c>
      <c r="O12" s="8" t="n">
        <v>13276</v>
      </c>
      <c r="P12" s="7">
        <f>O12-N12</f>
        <v/>
      </c>
      <c r="R12" s="17">
        <f>R11+1</f>
        <v/>
      </c>
      <c r="S12" s="148" t="inlineStr">
        <is>
          <t xml:space="preserve">DAY </t>
        </is>
      </c>
      <c r="T12" s="13">
        <f>U11</f>
        <v/>
      </c>
      <c r="U12" s="8" t="n">
        <v>1646</v>
      </c>
      <c r="V12" s="11">
        <f>U12-T12</f>
        <v/>
      </c>
      <c r="W12" s="130" t="n">
        <v>250</v>
      </c>
      <c r="X12" s="133" t="n">
        <v>1640</v>
      </c>
      <c r="Y12" s="127">
        <f>X12-X10</f>
        <v/>
      </c>
      <c r="Z12" s="129">
        <f>W12/Y12</f>
        <v/>
      </c>
      <c r="AA12" s="28" t="n"/>
      <c r="AB12" s="28" t="n"/>
      <c r="AC12" s="22" t="n"/>
      <c r="AD12" s="23" t="n"/>
      <c r="AE12" s="14">
        <f>AF11</f>
        <v/>
      </c>
      <c r="AF12" s="8" t="n">
        <v>19231</v>
      </c>
      <c r="AG12" s="7">
        <f>AF12-AE12</f>
        <v/>
      </c>
    </row>
    <row r="13">
      <c r="A13" s="17">
        <f>A12</f>
        <v/>
      </c>
      <c r="B13" s="148" t="inlineStr">
        <is>
          <t>NIGHT</t>
        </is>
      </c>
      <c r="C13" s="13">
        <f>D12</f>
        <v/>
      </c>
      <c r="D13" s="8" t="n">
        <v>1011</v>
      </c>
      <c r="E13" s="11">
        <f>D13-C13</f>
        <v/>
      </c>
      <c r="F13" s="128" t="n"/>
      <c r="G13" s="132" t="n"/>
      <c r="H13" s="128" t="n"/>
      <c r="I13" s="128" t="n"/>
      <c r="J13" s="18" t="n"/>
      <c r="K13" s="18" t="n"/>
      <c r="L13" s="22" t="n"/>
      <c r="M13" s="23" t="n"/>
      <c r="N13" s="14">
        <f>O12</f>
        <v/>
      </c>
      <c r="O13" s="8" t="n">
        <v>13335</v>
      </c>
      <c r="P13" s="7">
        <f>O13-N13</f>
        <v/>
      </c>
      <c r="R13" s="17">
        <f>R12</f>
        <v/>
      </c>
      <c r="S13" s="148" t="inlineStr">
        <is>
          <t>NIGHT</t>
        </is>
      </c>
      <c r="T13" s="13">
        <f>U12</f>
        <v/>
      </c>
      <c r="U13" s="8" t="n">
        <v>1654</v>
      </c>
      <c r="V13" s="11">
        <f>U13-T13</f>
        <v/>
      </c>
      <c r="W13" s="128" t="n"/>
      <c r="X13" s="132" t="n"/>
      <c r="Y13" s="128" t="n"/>
      <c r="Z13" s="128" t="n"/>
      <c r="AA13" s="29" t="n"/>
      <c r="AB13" s="18" t="n"/>
      <c r="AC13" s="22" t="n"/>
      <c r="AD13" s="23" t="n"/>
      <c r="AE13" s="14">
        <f>AF12</f>
        <v/>
      </c>
      <c r="AF13" s="8" t="n">
        <v>19338</v>
      </c>
      <c r="AG13" s="7">
        <f>AF13-AE13</f>
        <v/>
      </c>
    </row>
    <row r="14">
      <c r="A14" s="17">
        <f>A13+1</f>
        <v/>
      </c>
      <c r="B14" s="148" t="inlineStr">
        <is>
          <t xml:space="preserve">DAY </t>
        </is>
      </c>
      <c r="C14" s="13">
        <f>D13</f>
        <v/>
      </c>
      <c r="D14" s="8" t="n">
        <v>1020</v>
      </c>
      <c r="E14" s="21">
        <f>D14-C14</f>
        <v/>
      </c>
      <c r="F14" s="130" t="n">
        <v>150</v>
      </c>
      <c r="G14" s="133" t="n">
        <v>1014</v>
      </c>
      <c r="H14" s="127">
        <f>G14-G12</f>
        <v/>
      </c>
      <c r="I14" s="129">
        <f>F14/H14</f>
        <v/>
      </c>
      <c r="J14" s="18" t="n"/>
      <c r="K14" s="18" t="n"/>
      <c r="L14" s="22" t="n"/>
      <c r="M14" s="23" t="n"/>
      <c r="N14" s="14">
        <f>O13</f>
        <v/>
      </c>
      <c r="O14" s="8" t="n">
        <v>13493</v>
      </c>
      <c r="P14" s="7">
        <f>O14-N14</f>
        <v/>
      </c>
      <c r="R14" s="17">
        <f>R13+1</f>
        <v/>
      </c>
      <c r="S14" s="148" t="inlineStr">
        <is>
          <t xml:space="preserve">DAY </t>
        </is>
      </c>
      <c r="T14" s="13">
        <f>U13</f>
        <v/>
      </c>
      <c r="U14" s="8" t="n">
        <v>1661</v>
      </c>
      <c r="V14" s="21">
        <f>U14-T14</f>
        <v/>
      </c>
      <c r="W14" s="130" t="n">
        <v>200</v>
      </c>
      <c r="X14" s="133" t="n">
        <v>1657</v>
      </c>
      <c r="Y14" s="127">
        <f>X14-X12</f>
        <v/>
      </c>
      <c r="Z14" s="129">
        <f>W14/Y14</f>
        <v/>
      </c>
      <c r="AA14" s="30" t="n"/>
      <c r="AB14" s="28" t="n"/>
      <c r="AC14" s="22" t="n"/>
      <c r="AD14" s="23" t="n"/>
      <c r="AE14" s="14">
        <f>AF13</f>
        <v/>
      </c>
      <c r="AF14" s="8" t="n">
        <v>19437</v>
      </c>
      <c r="AG14" s="7">
        <f>AF14-AE14</f>
        <v/>
      </c>
    </row>
    <row r="15">
      <c r="A15" s="17">
        <f>A14</f>
        <v/>
      </c>
      <c r="B15" s="148" t="inlineStr">
        <is>
          <t>NIGHT</t>
        </is>
      </c>
      <c r="C15" s="13">
        <f>D14</f>
        <v/>
      </c>
      <c r="D15" s="8" t="n">
        <v>1027</v>
      </c>
      <c r="E15" s="21">
        <f>D15-C15</f>
        <v/>
      </c>
      <c r="F15" s="128" t="n"/>
      <c r="G15" s="132" t="n"/>
      <c r="H15" s="128" t="n"/>
      <c r="I15" s="128" t="n"/>
      <c r="J15" s="18" t="n"/>
      <c r="K15" s="18" t="n"/>
      <c r="L15" s="22" t="n"/>
      <c r="M15" s="23" t="n"/>
      <c r="N15" s="14">
        <f>O14</f>
        <v/>
      </c>
      <c r="O15" s="8" t="n">
        <v>13602</v>
      </c>
      <c r="P15" s="7">
        <f>O15-N15</f>
        <v/>
      </c>
      <c r="R15" s="17">
        <f>R14</f>
        <v/>
      </c>
      <c r="S15" s="148" t="inlineStr">
        <is>
          <t>NIGHT</t>
        </is>
      </c>
      <c r="T15" s="13">
        <f>U14</f>
        <v/>
      </c>
      <c r="U15" s="8" t="n">
        <v>1671</v>
      </c>
      <c r="V15" s="21">
        <f>U15-T15</f>
        <v/>
      </c>
      <c r="W15" s="128" t="n"/>
      <c r="X15" s="132" t="n"/>
      <c r="Y15" s="128" t="n"/>
      <c r="Z15" s="128" t="n"/>
      <c r="AA15" s="29" t="n"/>
      <c r="AB15" s="18" t="n"/>
      <c r="AC15" s="22" t="n"/>
      <c r="AD15" s="23" t="n"/>
      <c r="AE15" s="14">
        <f>AF14</f>
        <v/>
      </c>
      <c r="AF15" s="8" t="n">
        <v>19567</v>
      </c>
      <c r="AG15" s="7">
        <f>AF15-AE15</f>
        <v/>
      </c>
    </row>
    <row r="16">
      <c r="A16" s="17">
        <f>A15+1</f>
        <v/>
      </c>
      <c r="B16" s="148" t="inlineStr">
        <is>
          <t xml:space="preserve">DAY </t>
        </is>
      </c>
      <c r="C16" s="13">
        <f>D15</f>
        <v/>
      </c>
      <c r="D16" s="8" t="n">
        <v>1037</v>
      </c>
      <c r="E16" s="21">
        <f>D16-C16</f>
        <v/>
      </c>
      <c r="F16" s="130" t="n">
        <v>250</v>
      </c>
      <c r="G16" s="133" t="n">
        <v>1031</v>
      </c>
      <c r="H16" s="127">
        <f>G16-G14</f>
        <v/>
      </c>
      <c r="I16" s="129">
        <f>F16/H16</f>
        <v/>
      </c>
      <c r="J16" s="18" t="n"/>
      <c r="K16" s="18" t="n"/>
      <c r="L16" s="22" t="n"/>
      <c r="M16" s="23" t="n"/>
      <c r="N16" s="14">
        <f>O15</f>
        <v/>
      </c>
      <c r="O16" s="8" t="n">
        <v>13723</v>
      </c>
      <c r="P16" s="26">
        <f>O16-N16</f>
        <v/>
      </c>
      <c r="R16" s="17">
        <f>R15+1</f>
        <v/>
      </c>
      <c r="S16" s="148" t="inlineStr">
        <is>
          <t xml:space="preserve">DAY </t>
        </is>
      </c>
      <c r="T16" s="13">
        <f>U15</f>
        <v/>
      </c>
      <c r="U16" s="8" t="n">
        <v>1676</v>
      </c>
      <c r="V16" s="21">
        <f>U16-T16</f>
        <v/>
      </c>
      <c r="W16" s="130" t="n">
        <v>200</v>
      </c>
      <c r="X16" s="133" t="n">
        <v>1673</v>
      </c>
      <c r="Y16" s="127">
        <f>X16-X14</f>
        <v/>
      </c>
      <c r="Z16" s="129">
        <f>W16/Y16</f>
        <v/>
      </c>
      <c r="AA16" s="30" t="n"/>
      <c r="AB16" s="28" t="n"/>
      <c r="AC16" s="22" t="n"/>
      <c r="AD16" s="23" t="n"/>
      <c r="AE16" s="14">
        <f>AF15</f>
        <v/>
      </c>
      <c r="AF16" s="8" t="n">
        <v>19625</v>
      </c>
      <c r="AG16" s="26">
        <f>AF16-AE16</f>
        <v/>
      </c>
    </row>
    <row r="17">
      <c r="A17" s="17">
        <f>A16</f>
        <v/>
      </c>
      <c r="B17" s="148" t="inlineStr">
        <is>
          <t>NIGHT</t>
        </is>
      </c>
      <c r="C17" s="13">
        <f>D16</f>
        <v/>
      </c>
      <c r="D17" s="8" t="n">
        <v>1044</v>
      </c>
      <c r="E17" s="21">
        <f>D17-C17</f>
        <v/>
      </c>
      <c r="F17" s="128" t="n"/>
      <c r="G17" s="132" t="n"/>
      <c r="H17" s="128" t="n"/>
      <c r="I17" s="128" t="n"/>
      <c r="J17" s="18" t="n"/>
      <c r="K17" s="18" t="n"/>
      <c r="L17" s="22" t="n"/>
      <c r="M17" s="23" t="n"/>
      <c r="N17" s="14">
        <f>O16</f>
        <v/>
      </c>
      <c r="O17" s="8" t="n">
        <v>13815</v>
      </c>
      <c r="P17" s="26">
        <f>O17-N17</f>
        <v/>
      </c>
      <c r="R17" s="17">
        <f>R16</f>
        <v/>
      </c>
      <c r="S17" s="148" t="inlineStr">
        <is>
          <t>NIGHT</t>
        </is>
      </c>
      <c r="T17" s="13">
        <f>U16</f>
        <v/>
      </c>
      <c r="U17" s="148" t="n">
        <v>1684</v>
      </c>
      <c r="V17" s="21">
        <f>U17-T17</f>
        <v/>
      </c>
      <c r="W17" s="128" t="n"/>
      <c r="X17" s="132" t="n"/>
      <c r="Y17" s="128" t="n"/>
      <c r="Z17" s="128" t="n"/>
      <c r="AA17" s="28" t="n"/>
      <c r="AB17" s="28" t="n"/>
      <c r="AC17" s="22" t="n"/>
      <c r="AD17" s="23" t="n"/>
      <c r="AE17" s="14">
        <f>AF16</f>
        <v/>
      </c>
      <c r="AF17" s="148" t="n">
        <v>19707</v>
      </c>
      <c r="AG17" s="26">
        <f>AF17-AE17</f>
        <v/>
      </c>
    </row>
    <row r="18">
      <c r="A18" s="17">
        <f>A17+1</f>
        <v/>
      </c>
      <c r="B18" s="148" t="inlineStr">
        <is>
          <t xml:space="preserve">DAY </t>
        </is>
      </c>
      <c r="C18" s="13">
        <f>D17</f>
        <v/>
      </c>
      <c r="D18" s="8" t="n">
        <v>1055</v>
      </c>
      <c r="E18" s="21">
        <f>D18-C18</f>
        <v/>
      </c>
      <c r="F18" s="130" t="n">
        <v>230</v>
      </c>
      <c r="G18" s="133" t="n">
        <v>1048</v>
      </c>
      <c r="H18" s="127">
        <f>G18-G16</f>
        <v/>
      </c>
      <c r="I18" s="129">
        <f>F18/H18</f>
        <v/>
      </c>
      <c r="J18" s="18" t="n"/>
      <c r="K18" s="18" t="n"/>
      <c r="L18" s="22" t="n"/>
      <c r="M18" s="23" t="n"/>
      <c r="N18" s="14">
        <f>O17</f>
        <v/>
      </c>
      <c r="O18" s="8" t="n">
        <v>13940</v>
      </c>
      <c r="P18" s="26">
        <f>O18-N18</f>
        <v/>
      </c>
      <c r="R18" s="17">
        <f>R17+1</f>
        <v/>
      </c>
      <c r="S18" s="148" t="inlineStr">
        <is>
          <t xml:space="preserve">DAY </t>
        </is>
      </c>
      <c r="T18" s="13">
        <f>U17</f>
        <v/>
      </c>
      <c r="U18" s="8" t="n">
        <v>1695</v>
      </c>
      <c r="V18" s="21">
        <f>U18-T18</f>
        <v/>
      </c>
      <c r="W18" s="130" t="n">
        <v>170</v>
      </c>
      <c r="X18" s="133" t="n">
        <v>1687</v>
      </c>
      <c r="Y18" s="127">
        <f>X18-X16</f>
        <v/>
      </c>
      <c r="Z18" s="129">
        <f>W18/Y18</f>
        <v/>
      </c>
      <c r="AA18" s="28" t="n"/>
      <c r="AB18" s="28" t="n"/>
      <c r="AC18" s="22" t="n"/>
      <c r="AD18" s="23" t="n"/>
      <c r="AE18" s="14">
        <f>AF17</f>
        <v/>
      </c>
      <c r="AF18" s="8" t="n">
        <v>19880</v>
      </c>
      <c r="AG18" s="26">
        <f>AF18-AE18</f>
        <v/>
      </c>
    </row>
    <row r="19">
      <c r="A19" s="17">
        <f>A18</f>
        <v/>
      </c>
      <c r="B19" s="148" t="inlineStr">
        <is>
          <t>NIGHT</t>
        </is>
      </c>
      <c r="C19" s="13">
        <f>D18</f>
        <v/>
      </c>
      <c r="D19" s="8" t="n">
        <v>1061</v>
      </c>
      <c r="E19" s="21">
        <f>D19-C19</f>
        <v/>
      </c>
      <c r="F19" s="128" t="n"/>
      <c r="G19" s="132" t="n"/>
      <c r="H19" s="128" t="n"/>
      <c r="I19" s="128" t="n"/>
      <c r="J19" s="18" t="n"/>
      <c r="K19" s="18" t="n"/>
      <c r="L19" s="22" t="n"/>
      <c r="M19" s="23" t="n"/>
      <c r="N19" s="14">
        <f>O18</f>
        <v/>
      </c>
      <c r="O19" s="8" t="n">
        <v>14042</v>
      </c>
      <c r="P19" s="26">
        <f>O19-N19</f>
        <v/>
      </c>
      <c r="R19" s="17">
        <f>R18</f>
        <v/>
      </c>
      <c r="S19" s="148" t="inlineStr">
        <is>
          <t>NIGHT</t>
        </is>
      </c>
      <c r="T19" s="13">
        <f>U18</f>
        <v/>
      </c>
      <c r="U19" s="8" t="n">
        <v>1703</v>
      </c>
      <c r="V19" s="21">
        <f>U19-T19</f>
        <v/>
      </c>
      <c r="W19" s="128" t="n"/>
      <c r="X19" s="132" t="n"/>
      <c r="Y19" s="128" t="n"/>
      <c r="Z19" s="128" t="n"/>
      <c r="AA19" s="28" t="n"/>
      <c r="AB19" s="28" t="n"/>
      <c r="AC19" s="22" t="n"/>
      <c r="AD19" s="23" t="n"/>
      <c r="AE19" s="14">
        <f>AF18</f>
        <v/>
      </c>
      <c r="AF19" s="8" t="n">
        <v>19976</v>
      </c>
      <c r="AG19" s="26">
        <f>AF19-AE19</f>
        <v/>
      </c>
    </row>
    <row r="20">
      <c r="A20" s="17">
        <f>A19+1</f>
        <v/>
      </c>
      <c r="B20" s="148" t="inlineStr">
        <is>
          <t xml:space="preserve">DAY </t>
        </is>
      </c>
      <c r="C20" s="13">
        <f>D19</f>
        <v/>
      </c>
      <c r="D20" s="8" t="n">
        <v>1072</v>
      </c>
      <c r="E20" s="21">
        <f>D20-C20</f>
        <v/>
      </c>
      <c r="F20" s="138" t="n">
        <v>200</v>
      </c>
      <c r="G20" s="131" t="n">
        <v>1064</v>
      </c>
      <c r="H20" s="127">
        <f>G20-G18</f>
        <v/>
      </c>
      <c r="I20" s="129">
        <f>F20/H20</f>
        <v/>
      </c>
      <c r="J20" s="18" t="n"/>
      <c r="K20" s="18" t="n"/>
      <c r="L20" s="22" t="n"/>
      <c r="M20" s="23" t="n"/>
      <c r="N20" s="14">
        <f>O19</f>
        <v/>
      </c>
      <c r="O20" s="13" t="n">
        <v>14184</v>
      </c>
      <c r="P20" s="26">
        <f>O20-N20</f>
        <v/>
      </c>
      <c r="R20" s="17">
        <f>R19+1</f>
        <v/>
      </c>
      <c r="S20" s="148" t="inlineStr">
        <is>
          <t xml:space="preserve">DAY </t>
        </is>
      </c>
      <c r="T20" s="13">
        <f>U19</f>
        <v/>
      </c>
      <c r="U20" s="13" t="n">
        <v>1714</v>
      </c>
      <c r="V20" s="21">
        <f>U20-T20</f>
        <v/>
      </c>
      <c r="W20" s="130" t="n">
        <v>230</v>
      </c>
      <c r="X20" s="131" t="n">
        <v>1706</v>
      </c>
      <c r="Y20" s="127">
        <f>X20-X18</f>
        <v/>
      </c>
      <c r="Z20" s="129">
        <f>W20/Y20</f>
        <v/>
      </c>
      <c r="AA20" s="25" t="n"/>
      <c r="AB20" s="25" t="n"/>
      <c r="AC20" s="15" t="n"/>
      <c r="AD20" s="16" t="n"/>
      <c r="AE20" s="14">
        <f>AF19</f>
        <v/>
      </c>
      <c r="AF20" s="13" t="n">
        <v>20146</v>
      </c>
      <c r="AG20" s="26">
        <f>AF20-AE20</f>
        <v/>
      </c>
    </row>
    <row r="21">
      <c r="A21" s="17">
        <f>A20</f>
        <v/>
      </c>
      <c r="B21" s="148" t="inlineStr">
        <is>
          <t>NIGHT</t>
        </is>
      </c>
      <c r="C21" s="13">
        <f>D20</f>
        <v/>
      </c>
      <c r="D21" s="13" t="n">
        <v>1082</v>
      </c>
      <c r="E21" s="21">
        <f>D21-C21</f>
        <v/>
      </c>
      <c r="F21" s="128" t="n"/>
      <c r="G21" s="132" t="n"/>
      <c r="H21" s="128" t="n"/>
      <c r="I21" s="128" t="n"/>
      <c r="J21" s="18" t="n"/>
      <c r="K21" s="18" t="n"/>
      <c r="L21" s="22" t="n"/>
      <c r="M21" s="23" t="n"/>
      <c r="N21" s="14">
        <f>O20</f>
        <v/>
      </c>
      <c r="O21" s="13" t="n">
        <v>14336</v>
      </c>
      <c r="P21" s="26">
        <f>O21-N21</f>
        <v/>
      </c>
      <c r="R21" s="17">
        <f>R20</f>
        <v/>
      </c>
      <c r="S21" s="148" t="inlineStr">
        <is>
          <t>NIGHT</t>
        </is>
      </c>
      <c r="T21" s="13">
        <f>U20</f>
        <v/>
      </c>
      <c r="U21" s="13" t="n">
        <v>1725</v>
      </c>
      <c r="V21" s="21">
        <f>U21-T21</f>
        <v/>
      </c>
      <c r="W21" s="128" t="n"/>
      <c r="X21" s="132" t="n"/>
      <c r="Y21" s="128" t="n"/>
      <c r="Z21" s="128" t="n"/>
      <c r="AA21" s="25" t="n"/>
      <c r="AB21" s="25" t="n"/>
      <c r="AC21" s="15" t="n"/>
      <c r="AD21" s="16" t="n"/>
      <c r="AE21" s="14">
        <f>AF20</f>
        <v/>
      </c>
      <c r="AF21" s="13" t="n">
        <v>20331</v>
      </c>
      <c r="AG21" s="26">
        <f>AF21-AE21</f>
        <v/>
      </c>
    </row>
    <row r="22">
      <c r="A22" s="17">
        <f>A21+1</f>
        <v/>
      </c>
      <c r="B22" s="148" t="inlineStr">
        <is>
          <t xml:space="preserve">DAY </t>
        </is>
      </c>
      <c r="C22" s="13">
        <f>D21</f>
        <v/>
      </c>
      <c r="D22" s="13" t="n">
        <v>1092</v>
      </c>
      <c r="E22" s="21">
        <f>D22-C22</f>
        <v/>
      </c>
      <c r="F22" s="130" t="n">
        <v>340</v>
      </c>
      <c r="G22" s="133" t="n">
        <v>1087</v>
      </c>
      <c r="H22" s="127">
        <f>G22-G20</f>
        <v/>
      </c>
      <c r="I22" s="129">
        <f>F22/H22</f>
        <v/>
      </c>
      <c r="J22" s="18" t="n"/>
      <c r="K22" s="18" t="n"/>
      <c r="L22" s="22" t="n"/>
      <c r="M22" s="23" t="n"/>
      <c r="N22" s="14">
        <f>O21</f>
        <v/>
      </c>
      <c r="O22" s="13" t="n">
        <v>14493</v>
      </c>
      <c r="P22" s="26">
        <f>O22-N22</f>
        <v/>
      </c>
      <c r="R22" s="17">
        <f>R21+1</f>
        <v/>
      </c>
      <c r="S22" s="148" t="inlineStr">
        <is>
          <t xml:space="preserve">DAY </t>
        </is>
      </c>
      <c r="T22" s="13">
        <f>U21</f>
        <v/>
      </c>
      <c r="U22" s="8" t="n">
        <v>1736</v>
      </c>
      <c r="V22" s="21">
        <f>U22-T22</f>
        <v/>
      </c>
      <c r="W22" s="130" t="n">
        <v>350</v>
      </c>
      <c r="X22" s="133" t="n">
        <v>1731</v>
      </c>
      <c r="Y22" s="127">
        <f>X22-X20</f>
        <v/>
      </c>
      <c r="Z22" s="129">
        <f>W22/Y22</f>
        <v/>
      </c>
      <c r="AA22" s="28" t="n"/>
      <c r="AB22" s="28" t="n"/>
      <c r="AC22" s="22" t="n"/>
      <c r="AD22" s="23" t="n"/>
      <c r="AE22" s="14">
        <f>AF21</f>
        <v/>
      </c>
      <c r="AF22" s="8" t="n">
        <v>20573</v>
      </c>
      <c r="AG22" s="26">
        <f>AF22-AE22</f>
        <v/>
      </c>
    </row>
    <row r="23">
      <c r="A23" s="17">
        <f>A22</f>
        <v/>
      </c>
      <c r="B23" s="148" t="inlineStr">
        <is>
          <t>NIGHT</t>
        </is>
      </c>
      <c r="C23" s="13">
        <f>D22</f>
        <v/>
      </c>
      <c r="D23" s="8" t="n">
        <v>1100</v>
      </c>
      <c r="E23" s="21">
        <f>D23-C23</f>
        <v/>
      </c>
      <c r="F23" s="128" t="n"/>
      <c r="G23" s="132" t="n"/>
      <c r="H23" s="128" t="n"/>
      <c r="I23" s="128" t="n"/>
      <c r="J23" s="18" t="n"/>
      <c r="K23" s="18" t="n"/>
      <c r="L23" s="22" t="n"/>
      <c r="M23" s="23" t="n"/>
      <c r="N23" s="14">
        <f>O22</f>
        <v/>
      </c>
      <c r="O23" s="8" t="n">
        <v>14616</v>
      </c>
      <c r="P23" s="26">
        <f>O23-N23</f>
        <v/>
      </c>
      <c r="R23" s="17">
        <f>R22</f>
        <v/>
      </c>
      <c r="S23" s="148" t="inlineStr">
        <is>
          <t>NIGHT</t>
        </is>
      </c>
      <c r="T23" s="13">
        <f>U22</f>
        <v/>
      </c>
      <c r="U23" s="8" t="n">
        <v>1746</v>
      </c>
      <c r="V23" s="21">
        <f>U23-T23</f>
        <v/>
      </c>
      <c r="W23" s="128" t="n"/>
      <c r="X23" s="132" t="n"/>
      <c r="Y23" s="128" t="n"/>
      <c r="Z23" s="128" t="n"/>
      <c r="AA23" s="28" t="n"/>
      <c r="AB23" s="28" t="n"/>
      <c r="AC23" s="22" t="n"/>
      <c r="AD23" s="23" t="n"/>
      <c r="AE23" s="14">
        <f>AF22</f>
        <v/>
      </c>
      <c r="AF23" s="8" t="n">
        <v>20754</v>
      </c>
      <c r="AG23" s="26">
        <f>AF23-AE23</f>
        <v/>
      </c>
    </row>
    <row r="24">
      <c r="A24" s="17">
        <f>A23+1</f>
        <v/>
      </c>
      <c r="B24" s="148" t="inlineStr">
        <is>
          <t xml:space="preserve">DAY </t>
        </is>
      </c>
      <c r="C24" s="13">
        <f>D23</f>
        <v/>
      </c>
      <c r="D24" s="8" t="n">
        <v>1108</v>
      </c>
      <c r="E24" s="21">
        <f>D24-C24</f>
        <v/>
      </c>
      <c r="F24" s="130" t="n">
        <v>240</v>
      </c>
      <c r="G24" s="133" t="n">
        <v>1104</v>
      </c>
      <c r="H24" s="127">
        <f>G24-G22</f>
        <v/>
      </c>
      <c r="I24" s="129">
        <f>F24/H24</f>
        <v/>
      </c>
      <c r="J24" s="18" t="n"/>
      <c r="K24" s="18" t="n"/>
      <c r="L24" s="22" t="n"/>
      <c r="M24" s="23" t="n"/>
      <c r="N24" s="14">
        <f>O23</f>
        <v/>
      </c>
      <c r="O24" s="8" t="n">
        <v>14770</v>
      </c>
      <c r="P24" s="26">
        <f>O24-N24</f>
        <v/>
      </c>
      <c r="R24" s="17">
        <f>R23+1</f>
        <v/>
      </c>
      <c r="S24" s="148" t="inlineStr">
        <is>
          <t xml:space="preserve">DAY </t>
        </is>
      </c>
      <c r="T24" s="13">
        <f>U23</f>
        <v/>
      </c>
      <c r="U24" s="8" t="n">
        <v>1755</v>
      </c>
      <c r="V24" s="21">
        <f>U24-T24</f>
        <v/>
      </c>
      <c r="W24" s="130" t="n">
        <v>260</v>
      </c>
      <c r="X24" s="133" t="n">
        <v>1752</v>
      </c>
      <c r="Y24" s="127">
        <f>X24-X22</f>
        <v/>
      </c>
      <c r="Z24" s="129">
        <f>W24/Y24</f>
        <v/>
      </c>
      <c r="AA24" s="28" t="n"/>
      <c r="AB24" s="28" t="n"/>
      <c r="AC24" s="22" t="n"/>
      <c r="AD24" s="23" t="n"/>
      <c r="AE24" s="14">
        <f>AF23</f>
        <v/>
      </c>
      <c r="AF24" s="8" t="n">
        <v>20877</v>
      </c>
      <c r="AG24" s="26">
        <f>AF24-AE24</f>
        <v/>
      </c>
    </row>
    <row r="25">
      <c r="A25" s="17">
        <f>A24</f>
        <v/>
      </c>
      <c r="B25" s="148" t="inlineStr">
        <is>
          <t>NIGHT</t>
        </is>
      </c>
      <c r="C25" s="13">
        <f>D24</f>
        <v/>
      </c>
      <c r="D25" s="8" t="n">
        <v>1116</v>
      </c>
      <c r="E25" s="21">
        <f>D25-C25</f>
        <v/>
      </c>
      <c r="F25" s="128" t="n"/>
      <c r="G25" s="132" t="n"/>
      <c r="H25" s="128" t="n"/>
      <c r="I25" s="128" t="n"/>
      <c r="J25" s="18" t="n"/>
      <c r="K25" s="18" t="n"/>
      <c r="L25" s="22" t="n"/>
      <c r="M25" s="23" t="n"/>
      <c r="N25" s="14">
        <f>O24</f>
        <v/>
      </c>
      <c r="O25" s="8" t="n">
        <v>14867</v>
      </c>
      <c r="P25" s="26">
        <f>O25-N25</f>
        <v/>
      </c>
      <c r="R25" s="17">
        <f>R24</f>
        <v/>
      </c>
      <c r="S25" s="148" t="inlineStr">
        <is>
          <t>NIGHT</t>
        </is>
      </c>
      <c r="T25" s="13">
        <f>U24</f>
        <v/>
      </c>
      <c r="U25" s="8" t="n">
        <v>1762</v>
      </c>
      <c r="V25" s="21">
        <f>U25-T25</f>
        <v/>
      </c>
      <c r="W25" s="128" t="n"/>
      <c r="X25" s="132" t="n"/>
      <c r="Y25" s="128" t="n"/>
      <c r="Z25" s="128" t="n"/>
      <c r="AA25" s="28" t="n"/>
      <c r="AB25" s="28" t="n"/>
      <c r="AC25" s="22" t="n"/>
      <c r="AD25" s="23" t="n"/>
      <c r="AE25" s="14">
        <f>AF24</f>
        <v/>
      </c>
      <c r="AF25" s="8" t="n">
        <v>20947</v>
      </c>
      <c r="AG25" s="26">
        <f>AF25-AE25</f>
        <v/>
      </c>
    </row>
    <row r="26">
      <c r="A26" s="17">
        <f>A25+1</f>
        <v/>
      </c>
      <c r="B26" s="148" t="inlineStr">
        <is>
          <t xml:space="preserve">DAY </t>
        </is>
      </c>
      <c r="C26" s="13">
        <f>D25</f>
        <v/>
      </c>
      <c r="D26" s="127" t="n">
        <v>1121</v>
      </c>
      <c r="E26" s="21">
        <f>D26-C26</f>
        <v/>
      </c>
      <c r="F26" s="134" t="n">
        <v>180</v>
      </c>
      <c r="G26" s="131" t="n">
        <v>1118</v>
      </c>
      <c r="H26" s="127">
        <f>G26-G24</f>
        <v/>
      </c>
      <c r="I26" s="129">
        <f>F26/H26</f>
        <v/>
      </c>
      <c r="J26" s="18" t="n"/>
      <c r="K26" s="18" t="n"/>
      <c r="L26" s="22" t="n"/>
      <c r="M26" s="23" t="n"/>
      <c r="N26" s="14">
        <f>O25</f>
        <v/>
      </c>
      <c r="O26" s="127" t="n">
        <v>14963</v>
      </c>
      <c r="P26" s="26">
        <f>O26-N26</f>
        <v/>
      </c>
      <c r="R26" s="17">
        <f>R25+1</f>
        <v/>
      </c>
      <c r="S26" s="148" t="inlineStr">
        <is>
          <t xml:space="preserve">DAY </t>
        </is>
      </c>
      <c r="T26" s="13">
        <f>U25</f>
        <v/>
      </c>
      <c r="U26" s="127" t="n">
        <v>1769</v>
      </c>
      <c r="V26" s="21">
        <f>U26-T26</f>
        <v/>
      </c>
      <c r="W26" s="134" t="n">
        <v>150</v>
      </c>
      <c r="X26" s="131" t="n">
        <v>1764</v>
      </c>
      <c r="Y26" s="127">
        <f>X26-X24</f>
        <v/>
      </c>
      <c r="Z26" s="129">
        <f>W26/Y26</f>
        <v/>
      </c>
      <c r="AA26" s="9" t="n"/>
      <c r="AB26" s="9" t="n"/>
      <c r="AC26" s="15" t="n"/>
      <c r="AD26" s="16" t="n"/>
      <c r="AE26" s="14">
        <f>AF25</f>
        <v/>
      </c>
      <c r="AF26" s="127" t="n">
        <v>21030</v>
      </c>
      <c r="AG26" s="26">
        <f>AF26-AE26</f>
        <v/>
      </c>
    </row>
    <row r="27">
      <c r="A27" s="17">
        <f>A26</f>
        <v/>
      </c>
      <c r="B27" s="148" t="inlineStr">
        <is>
          <t>NIGHT</t>
        </is>
      </c>
      <c r="C27" s="13">
        <f>D26</f>
        <v/>
      </c>
      <c r="D27" s="127" t="n">
        <v>1130</v>
      </c>
      <c r="E27" s="21">
        <f>D27-C27</f>
        <v/>
      </c>
      <c r="F27" s="128" t="n"/>
      <c r="G27" s="132" t="n"/>
      <c r="H27" s="128" t="n"/>
      <c r="I27" s="128" t="n"/>
      <c r="J27" s="18" t="n"/>
      <c r="K27" s="18" t="n"/>
      <c r="L27" s="22" t="n"/>
      <c r="M27" s="23" t="n"/>
      <c r="N27" s="14">
        <f>O26</f>
        <v/>
      </c>
      <c r="O27" s="127" t="n">
        <v>15002</v>
      </c>
      <c r="P27" s="26">
        <f>O27-N27</f>
        <v/>
      </c>
      <c r="R27" s="17">
        <f>R26</f>
        <v/>
      </c>
      <c r="S27" s="148" t="inlineStr">
        <is>
          <t>NIGHT</t>
        </is>
      </c>
      <c r="T27" s="13">
        <f>U26</f>
        <v/>
      </c>
      <c r="U27" s="127" t="n">
        <v>1776</v>
      </c>
      <c r="V27" s="21">
        <f>U27-T27</f>
        <v/>
      </c>
      <c r="W27" s="128" t="n"/>
      <c r="X27" s="132" t="n"/>
      <c r="Y27" s="128" t="n"/>
      <c r="Z27" s="128" t="n"/>
      <c r="AA27" s="9" t="n"/>
      <c r="AB27" s="9" t="n"/>
      <c r="AC27" s="15" t="n"/>
      <c r="AD27" s="16" t="n"/>
      <c r="AE27" s="14">
        <f>AF26</f>
        <v/>
      </c>
      <c r="AF27" s="127" t="n">
        <v>21093</v>
      </c>
      <c r="AG27" s="26">
        <f>AF27-AE27</f>
        <v/>
      </c>
    </row>
    <row r="28">
      <c r="A28" s="17">
        <f>A27+1</f>
        <v/>
      </c>
      <c r="B28" s="148" t="inlineStr">
        <is>
          <t xml:space="preserve">DAY </t>
        </is>
      </c>
      <c r="C28" s="13">
        <f>D27</f>
        <v/>
      </c>
      <c r="D28" s="8" t="n">
        <v>1139</v>
      </c>
      <c r="E28" s="21">
        <f>D28-C28</f>
        <v/>
      </c>
      <c r="F28" s="130" t="n">
        <v>150</v>
      </c>
      <c r="G28" s="133" t="n">
        <v>1132</v>
      </c>
      <c r="H28" s="127">
        <f>G28-G26</f>
        <v/>
      </c>
      <c r="I28" s="129">
        <f>F28/H28</f>
        <v/>
      </c>
      <c r="J28" s="18" t="n"/>
      <c r="K28" s="18" t="n"/>
      <c r="L28" s="22" t="n"/>
      <c r="M28" s="23" t="n"/>
      <c r="N28" s="14">
        <f>O27</f>
        <v/>
      </c>
      <c r="O28" s="8" t="n">
        <v>15199</v>
      </c>
      <c r="P28" s="26">
        <f>O28-N28</f>
        <v/>
      </c>
      <c r="R28" s="17">
        <f>R27+1</f>
        <v/>
      </c>
      <c r="S28" s="148" t="inlineStr">
        <is>
          <t xml:space="preserve">DAY </t>
        </is>
      </c>
      <c r="T28" s="13">
        <f>U27</f>
        <v/>
      </c>
      <c r="U28" s="8" t="n">
        <v>1786</v>
      </c>
      <c r="V28" s="21">
        <f>U28-T28</f>
        <v/>
      </c>
      <c r="W28" s="130" t="n">
        <v>160</v>
      </c>
      <c r="X28" s="133" t="n">
        <v>1779</v>
      </c>
      <c r="Y28" s="127">
        <f>X28-X26</f>
        <v/>
      </c>
      <c r="Z28" s="129">
        <f>W28/Y28</f>
        <v/>
      </c>
      <c r="AA28" s="28" t="n"/>
      <c r="AB28" s="28" t="n"/>
      <c r="AC28" s="22" t="n"/>
      <c r="AD28" s="23" t="n"/>
      <c r="AE28" s="14">
        <f>AF27</f>
        <v/>
      </c>
      <c r="AF28" s="8" t="n">
        <v>21289</v>
      </c>
      <c r="AG28" s="26">
        <f>AF28-AE28</f>
        <v/>
      </c>
    </row>
    <row r="29">
      <c r="A29" s="17">
        <f>A28</f>
        <v/>
      </c>
      <c r="B29" s="148" t="inlineStr">
        <is>
          <t>NIGHT</t>
        </is>
      </c>
      <c r="C29" s="13">
        <f>D28</f>
        <v/>
      </c>
      <c r="D29" s="8" t="n">
        <v>1148</v>
      </c>
      <c r="E29" s="21">
        <f>D29-C29</f>
        <v/>
      </c>
      <c r="F29" s="128" t="n"/>
      <c r="G29" s="132" t="n"/>
      <c r="H29" s="128" t="n"/>
      <c r="I29" s="128" t="n"/>
      <c r="J29" s="18" t="n"/>
      <c r="K29" s="18" t="n"/>
      <c r="L29" s="22" t="n"/>
      <c r="M29" s="23" t="n"/>
      <c r="N29" s="14">
        <f>O28</f>
        <v/>
      </c>
      <c r="O29" s="8" t="n">
        <v>15302</v>
      </c>
      <c r="P29" s="26">
        <f>O29-N29</f>
        <v/>
      </c>
      <c r="R29" s="17">
        <f>R28</f>
        <v/>
      </c>
      <c r="S29" s="148" t="inlineStr">
        <is>
          <t>NIGHT</t>
        </is>
      </c>
      <c r="T29" s="13">
        <f>U28</f>
        <v/>
      </c>
      <c r="U29" s="8" t="n">
        <v>1794</v>
      </c>
      <c r="V29" s="21">
        <f>U29-T29</f>
        <v/>
      </c>
      <c r="W29" s="128" t="n"/>
      <c r="X29" s="132" t="n"/>
      <c r="Y29" s="128" t="n"/>
      <c r="Z29" s="128" t="n"/>
      <c r="AA29" s="18" t="n"/>
      <c r="AB29" s="18" t="n"/>
      <c r="AC29" s="22" t="n"/>
      <c r="AD29" s="23" t="n"/>
      <c r="AE29" s="14">
        <f>AF28</f>
        <v/>
      </c>
      <c r="AF29" s="8" t="n">
        <v>21364</v>
      </c>
      <c r="AG29" s="26">
        <f>AF29-AE29</f>
        <v/>
      </c>
    </row>
    <row r="30">
      <c r="A30" s="17">
        <f>A29+1</f>
        <v/>
      </c>
      <c r="B30" s="148" t="inlineStr">
        <is>
          <t xml:space="preserve">DAY </t>
        </is>
      </c>
      <c r="C30" s="13">
        <f>D29</f>
        <v/>
      </c>
      <c r="D30" s="8" t="n">
        <v>1156</v>
      </c>
      <c r="E30" s="21">
        <f>D30-C30</f>
        <v/>
      </c>
      <c r="F30" s="130" t="n">
        <v>250</v>
      </c>
      <c r="G30" s="133" t="n">
        <v>1157</v>
      </c>
      <c r="H30" s="127">
        <f>G30-G28</f>
        <v/>
      </c>
      <c r="I30" s="129">
        <f>F30/H30</f>
        <v/>
      </c>
      <c r="J30" s="18" t="n"/>
      <c r="K30" s="18" t="n"/>
      <c r="L30" s="22" t="n"/>
      <c r="M30" s="23" t="n"/>
      <c r="N30" s="14">
        <f>O29</f>
        <v/>
      </c>
      <c r="O30" s="8" t="n">
        <v>15426</v>
      </c>
      <c r="P30" s="26">
        <f>O30-N30</f>
        <v/>
      </c>
      <c r="R30" s="17">
        <f>R29+1</f>
        <v/>
      </c>
      <c r="S30" s="148" t="inlineStr">
        <is>
          <t xml:space="preserve">DAY </t>
        </is>
      </c>
      <c r="T30" s="13">
        <f>U29</f>
        <v/>
      </c>
      <c r="U30" s="8" t="n">
        <v>1804</v>
      </c>
      <c r="V30" s="21">
        <f>U30-T30</f>
        <v/>
      </c>
      <c r="W30" s="130" t="n">
        <v>250</v>
      </c>
      <c r="X30" s="133" t="n">
        <v>1798</v>
      </c>
      <c r="Y30" s="127">
        <f>X30-X28</f>
        <v/>
      </c>
      <c r="Z30" s="129">
        <f>W30/Y30</f>
        <v/>
      </c>
      <c r="AA30" s="18" t="n"/>
      <c r="AB30" s="18" t="n"/>
      <c r="AC30" s="22" t="n"/>
      <c r="AD30" s="23" t="n"/>
      <c r="AE30" s="14">
        <f>AF29</f>
        <v/>
      </c>
      <c r="AF30" s="8" t="n">
        <v>21521</v>
      </c>
      <c r="AG30" s="26">
        <f>AF30-AE30</f>
        <v/>
      </c>
    </row>
    <row r="31">
      <c r="A31" s="17">
        <f>A30</f>
        <v/>
      </c>
      <c r="B31" s="148" t="inlineStr">
        <is>
          <t>NIGHT</t>
        </is>
      </c>
      <c r="C31" s="13">
        <f>D30</f>
        <v/>
      </c>
      <c r="D31" s="8" t="n">
        <v>1167</v>
      </c>
      <c r="E31" s="21">
        <f>D31-C31</f>
        <v/>
      </c>
      <c r="F31" s="128" t="n"/>
      <c r="G31" s="132" t="n"/>
      <c r="H31" s="128" t="n"/>
      <c r="I31" s="128" t="n"/>
      <c r="J31" s="18" t="n"/>
      <c r="K31" s="18" t="n"/>
      <c r="L31" s="22" t="n"/>
      <c r="M31" s="23" t="n"/>
      <c r="N31" s="14">
        <f>O30</f>
        <v/>
      </c>
      <c r="O31" s="8" t="n">
        <v>15537</v>
      </c>
      <c r="P31" s="26">
        <f>O31-N31</f>
        <v/>
      </c>
      <c r="R31" s="17">
        <f>R30</f>
        <v/>
      </c>
      <c r="S31" s="148" t="inlineStr">
        <is>
          <t>NIGHT</t>
        </is>
      </c>
      <c r="T31" s="13">
        <f>U30</f>
        <v/>
      </c>
      <c r="U31" s="8" t="n">
        <v>1814</v>
      </c>
      <c r="V31" s="21">
        <f>U31-T31</f>
        <v/>
      </c>
      <c r="W31" s="128" t="n"/>
      <c r="X31" s="132" t="n"/>
      <c r="Y31" s="128" t="n"/>
      <c r="Z31" s="128" t="n"/>
      <c r="AA31" s="18" t="n"/>
      <c r="AB31" s="18" t="n"/>
      <c r="AC31" s="22" t="n"/>
      <c r="AD31" s="23" t="n"/>
      <c r="AE31" s="14">
        <f>AF30</f>
        <v/>
      </c>
      <c r="AF31" s="8" t="n">
        <v>21687</v>
      </c>
      <c r="AG31" s="26">
        <f>AF31-AE31</f>
        <v/>
      </c>
    </row>
    <row r="32">
      <c r="A32" s="17">
        <f>A31+1</f>
        <v/>
      </c>
      <c r="B32" s="127" t="inlineStr">
        <is>
          <t xml:space="preserve">DAY </t>
        </is>
      </c>
      <c r="C32" s="13">
        <f>D31</f>
        <v/>
      </c>
      <c r="D32" s="8" t="n">
        <v>1177</v>
      </c>
      <c r="E32" s="11">
        <f>D32-C32</f>
        <v/>
      </c>
      <c r="F32" s="130" t="n">
        <v>230</v>
      </c>
      <c r="G32" s="133" t="n">
        <v>1171</v>
      </c>
      <c r="H32" s="127">
        <f>G32-G30</f>
        <v/>
      </c>
      <c r="I32" s="129">
        <f>F32/H32</f>
        <v/>
      </c>
      <c r="J32" s="18" t="n"/>
      <c r="K32" s="18" t="n"/>
      <c r="L32" s="22" t="n"/>
      <c r="M32" s="23" t="n"/>
      <c r="N32" s="14">
        <f>O31</f>
        <v/>
      </c>
      <c r="O32" s="13" t="n">
        <v>15699</v>
      </c>
      <c r="P32" s="7">
        <f>O32-N32</f>
        <v/>
      </c>
      <c r="R32" s="17">
        <f>R31+1</f>
        <v/>
      </c>
      <c r="S32" s="127" t="inlineStr">
        <is>
          <t xml:space="preserve">DAY </t>
        </is>
      </c>
      <c r="T32" s="13">
        <f>U31</f>
        <v/>
      </c>
      <c r="U32" s="8" t="n">
        <v>1823</v>
      </c>
      <c r="V32" s="11">
        <f>U32-T32</f>
        <v/>
      </c>
      <c r="W32" s="130" t="n">
        <v>260</v>
      </c>
      <c r="X32" s="133" t="n">
        <v>1818</v>
      </c>
      <c r="Y32" s="127">
        <f>X32-X30</f>
        <v/>
      </c>
      <c r="Z32" s="129">
        <f>W32/Y32</f>
        <v/>
      </c>
      <c r="AA32" s="24" t="n"/>
      <c r="AB32" s="24" t="n"/>
      <c r="AC32" s="22" t="n"/>
      <c r="AD32" s="23" t="n"/>
      <c r="AE32" s="14">
        <f>AF31</f>
        <v/>
      </c>
      <c r="AF32" s="13" t="n">
        <v>21824</v>
      </c>
      <c r="AG32" s="7">
        <f>AF32-AE32</f>
        <v/>
      </c>
    </row>
    <row r="33">
      <c r="A33" s="17">
        <f>A32</f>
        <v/>
      </c>
      <c r="B33" s="127" t="inlineStr">
        <is>
          <t>NIGHT</t>
        </is>
      </c>
      <c r="C33" s="13">
        <f>D32</f>
        <v/>
      </c>
      <c r="D33" s="13" t="n">
        <v>1184</v>
      </c>
      <c r="E33" s="11">
        <f>D33-C33</f>
        <v/>
      </c>
      <c r="F33" s="128" t="n"/>
      <c r="G33" s="132" t="n"/>
      <c r="H33" s="128" t="n"/>
      <c r="I33" s="128" t="n"/>
      <c r="J33" s="18" t="n"/>
      <c r="K33" s="18" t="n"/>
      <c r="L33" s="22" t="n"/>
      <c r="M33" s="23" t="n"/>
      <c r="N33" s="14">
        <f>O32</f>
        <v/>
      </c>
      <c r="O33" s="13" t="n">
        <v>15767</v>
      </c>
      <c r="P33" s="7">
        <f>O33-N33</f>
        <v/>
      </c>
      <c r="R33" s="17">
        <f>R32</f>
        <v/>
      </c>
      <c r="S33" s="127" t="inlineStr">
        <is>
          <t>NIGHT</t>
        </is>
      </c>
      <c r="T33" s="13">
        <f>U32</f>
        <v/>
      </c>
      <c r="U33" s="13" t="n">
        <v>1828</v>
      </c>
      <c r="V33" s="11">
        <f>U33-T33</f>
        <v/>
      </c>
      <c r="W33" s="128" t="n"/>
      <c r="X33" s="132" t="n"/>
      <c r="Y33" s="128" t="n"/>
      <c r="Z33" s="128" t="n"/>
      <c r="AA33" s="25" t="n"/>
      <c r="AB33" s="25" t="n"/>
      <c r="AC33" s="15" t="n"/>
      <c r="AD33" s="16" t="n"/>
      <c r="AE33" s="14">
        <f>AF32</f>
        <v/>
      </c>
      <c r="AF33" s="13" t="n">
        <v>21888</v>
      </c>
      <c r="AG33" s="7">
        <f>AF33-AE33</f>
        <v/>
      </c>
    </row>
    <row r="34">
      <c r="A34" s="17">
        <f>A33+1</f>
        <v/>
      </c>
      <c r="B34" s="127" t="inlineStr">
        <is>
          <t xml:space="preserve">DAY </t>
        </is>
      </c>
      <c r="C34" s="13">
        <f>D33</f>
        <v/>
      </c>
      <c r="D34" s="13" t="n">
        <v>1194</v>
      </c>
      <c r="E34" s="11">
        <f>D34-C34</f>
        <v/>
      </c>
      <c r="F34" s="130" t="n">
        <v>150</v>
      </c>
      <c r="G34" s="131" t="n">
        <v>1187</v>
      </c>
      <c r="H34" s="127">
        <f>G34-G32</f>
        <v/>
      </c>
      <c r="I34" s="129">
        <f>F34/H34</f>
        <v/>
      </c>
      <c r="J34" s="18" t="n"/>
      <c r="K34" s="18" t="n"/>
      <c r="L34" s="22" t="n"/>
      <c r="M34" s="23" t="n"/>
      <c r="N34" s="14">
        <f>O33</f>
        <v/>
      </c>
      <c r="O34" s="13" t="n">
        <v>15903</v>
      </c>
      <c r="P34" s="7">
        <f>O34-N34</f>
        <v/>
      </c>
      <c r="R34" s="17">
        <f>R33+1</f>
        <v/>
      </c>
      <c r="S34" s="127" t="inlineStr">
        <is>
          <t xml:space="preserve">DAY </t>
        </is>
      </c>
      <c r="T34" s="13">
        <f>U33</f>
        <v/>
      </c>
      <c r="U34" s="13" t="n">
        <v>1837</v>
      </c>
      <c r="V34" s="11">
        <f>U34-T34</f>
        <v/>
      </c>
      <c r="W34" s="130" t="n">
        <v>110</v>
      </c>
      <c r="X34" s="131" t="n">
        <v>1831</v>
      </c>
      <c r="Y34" s="127">
        <f>X34-X32</f>
        <v/>
      </c>
      <c r="Z34" s="129">
        <f>W34/Y34</f>
        <v/>
      </c>
      <c r="AA34" s="24" t="n"/>
      <c r="AB34" s="24" t="n"/>
      <c r="AC34" s="22" t="n"/>
      <c r="AD34" s="23" t="n"/>
      <c r="AE34" s="14">
        <f>AF33</f>
        <v/>
      </c>
      <c r="AF34" s="13" t="n">
        <v>22035</v>
      </c>
      <c r="AG34" s="7">
        <f>AF34-AE34</f>
        <v/>
      </c>
    </row>
    <row r="35">
      <c r="A35" s="17">
        <f>A34</f>
        <v/>
      </c>
      <c r="B35" s="127" t="inlineStr">
        <is>
          <t>NIGHT</t>
        </is>
      </c>
      <c r="C35" s="13">
        <f>D34</f>
        <v/>
      </c>
      <c r="D35" s="13" t="n">
        <v>1203</v>
      </c>
      <c r="E35" s="11">
        <f>D35-C35</f>
        <v/>
      </c>
      <c r="F35" s="128" t="n"/>
      <c r="G35" s="132" t="n"/>
      <c r="H35" s="128" t="n"/>
      <c r="I35" s="128" t="n"/>
      <c r="J35" s="18" t="n"/>
      <c r="K35" s="18" t="n"/>
      <c r="L35" s="22" t="n"/>
      <c r="M35" s="23" t="n"/>
      <c r="N35" s="14">
        <f>O34</f>
        <v/>
      </c>
      <c r="O35" s="13" t="n">
        <v>16038</v>
      </c>
      <c r="P35" s="7">
        <f>O35-N35</f>
        <v/>
      </c>
      <c r="R35" s="17">
        <f>R34</f>
        <v/>
      </c>
      <c r="S35" s="127" t="inlineStr">
        <is>
          <t>NIGHT</t>
        </is>
      </c>
      <c r="T35" s="13">
        <f>U34</f>
        <v/>
      </c>
      <c r="U35" s="13" t="n">
        <v>1847</v>
      </c>
      <c r="V35" s="11">
        <f>U35-T35</f>
        <v/>
      </c>
      <c r="W35" s="128" t="n"/>
      <c r="X35" s="132" t="n"/>
      <c r="Y35" s="128" t="n"/>
      <c r="Z35" s="128" t="n"/>
      <c r="AA35" s="25" t="n"/>
      <c r="AB35" s="25" t="n"/>
      <c r="AC35" s="15" t="n"/>
      <c r="AD35" s="16" t="n"/>
      <c r="AE35" s="14">
        <f>AF34</f>
        <v/>
      </c>
      <c r="AF35" s="13" t="n">
        <v>22153</v>
      </c>
      <c r="AG35" s="7">
        <f>AF35-AE35</f>
        <v/>
      </c>
    </row>
    <row r="36">
      <c r="A36" s="17">
        <f>A35+1</f>
        <v/>
      </c>
      <c r="B36" s="127" t="inlineStr">
        <is>
          <t xml:space="preserve">DAY </t>
        </is>
      </c>
      <c r="C36" s="13">
        <f>D35</f>
        <v/>
      </c>
      <c r="D36" s="13" t="n">
        <v>1213</v>
      </c>
      <c r="E36" s="11">
        <f>D36-C36</f>
        <v/>
      </c>
      <c r="F36" s="130" t="n">
        <v>320</v>
      </c>
      <c r="G36" s="131" t="n">
        <v>1209</v>
      </c>
      <c r="H36" s="127">
        <f>G36-G34</f>
        <v/>
      </c>
      <c r="I36" s="129">
        <f>F36/H36</f>
        <v/>
      </c>
      <c r="J36" s="18" t="n"/>
      <c r="K36" s="18" t="n"/>
      <c r="L36" s="22" t="n"/>
      <c r="M36" s="23" t="n"/>
      <c r="N36" s="14">
        <f>O35</f>
        <v/>
      </c>
      <c r="O36" s="13" t="n">
        <v>16217</v>
      </c>
      <c r="P36" s="7">
        <f>O36-N36</f>
        <v/>
      </c>
      <c r="R36" s="17">
        <f>R35+1</f>
        <v/>
      </c>
      <c r="S36" s="127" t="inlineStr">
        <is>
          <t xml:space="preserve">DAY </t>
        </is>
      </c>
      <c r="T36" s="13">
        <f>U35</f>
        <v/>
      </c>
      <c r="U36" s="13" t="n">
        <v>1857</v>
      </c>
      <c r="V36" s="11">
        <f>U36-T36</f>
        <v/>
      </c>
      <c r="W36" s="130" t="n">
        <v>340</v>
      </c>
      <c r="X36" s="131" t="n">
        <v>1853</v>
      </c>
      <c r="Y36" s="127">
        <f>X36-X34</f>
        <v/>
      </c>
      <c r="Z36" s="129">
        <f>W36/Y36</f>
        <v/>
      </c>
      <c r="AA36" s="24" t="n"/>
      <c r="AB36" s="24" t="n"/>
      <c r="AC36" s="22" t="n"/>
      <c r="AD36" s="23" t="n"/>
      <c r="AE36" s="14">
        <f>AF35</f>
        <v/>
      </c>
      <c r="AF36" s="13" t="n">
        <v>22354</v>
      </c>
      <c r="AG36" s="7">
        <f>AF36-AE36</f>
        <v/>
      </c>
    </row>
    <row r="37">
      <c r="A37" s="17">
        <f>A36</f>
        <v/>
      </c>
      <c r="B37" s="127" t="inlineStr">
        <is>
          <t>NIGHT</t>
        </is>
      </c>
      <c r="C37" s="13">
        <f>D36</f>
        <v/>
      </c>
      <c r="D37" s="13" t="n">
        <v>1223</v>
      </c>
      <c r="E37" s="11">
        <f>D37-C37</f>
        <v/>
      </c>
      <c r="F37" s="128" t="n"/>
      <c r="G37" s="132" t="n"/>
      <c r="H37" s="128" t="n"/>
      <c r="I37" s="128" t="n"/>
      <c r="J37" s="18" t="n"/>
      <c r="K37" s="18" t="n"/>
      <c r="L37" s="22" t="n"/>
      <c r="M37" s="23" t="n"/>
      <c r="N37" s="14">
        <f>O36</f>
        <v/>
      </c>
      <c r="O37" s="13" t="n">
        <v>16367</v>
      </c>
      <c r="P37" s="7">
        <f>O37-N37</f>
        <v/>
      </c>
      <c r="R37" s="17">
        <f>R36</f>
        <v/>
      </c>
      <c r="S37" s="127" t="inlineStr">
        <is>
          <t>NIGHT</t>
        </is>
      </c>
      <c r="T37" s="13">
        <f>U36</f>
        <v/>
      </c>
      <c r="U37" s="13" t="n">
        <v>1869</v>
      </c>
      <c r="V37" s="11">
        <f>U37-T37</f>
        <v/>
      </c>
      <c r="W37" s="128" t="n"/>
      <c r="X37" s="132" t="n"/>
      <c r="Y37" s="128" t="n"/>
      <c r="Z37" s="128" t="n"/>
      <c r="AA37" s="25" t="n"/>
      <c r="AB37" s="25" t="n"/>
      <c r="AC37" s="15" t="n"/>
      <c r="AD37" s="16" t="n"/>
      <c r="AE37" s="14">
        <f>AF36</f>
        <v/>
      </c>
      <c r="AF37" s="7" t="n">
        <v>22562</v>
      </c>
      <c r="AG37" s="7">
        <f>AF37-AE37</f>
        <v/>
      </c>
    </row>
    <row r="38">
      <c r="A38" s="17">
        <f>A37+1</f>
        <v/>
      </c>
      <c r="B38" s="148" t="inlineStr">
        <is>
          <t xml:space="preserve">DAY </t>
        </is>
      </c>
      <c r="C38" s="13">
        <f>D37</f>
        <v/>
      </c>
      <c r="D38" s="8" t="n">
        <v>1231</v>
      </c>
      <c r="E38" s="21">
        <f>D38-C38</f>
        <v/>
      </c>
      <c r="F38" s="131" t="n">
        <v>240</v>
      </c>
      <c r="G38" s="131" t="n"/>
      <c r="H38" s="148" t="n"/>
      <c r="I38" s="129" t="n"/>
      <c r="J38" s="18" t="n"/>
      <c r="K38" s="18" t="n"/>
      <c r="L38" s="22" t="n"/>
      <c r="M38" s="23" t="n"/>
      <c r="N38" s="14">
        <f>O37</f>
        <v/>
      </c>
      <c r="O38" s="26" t="n">
        <v>16481</v>
      </c>
      <c r="P38" s="26">
        <f>O38-N38</f>
        <v/>
      </c>
      <c r="R38" s="17">
        <f>R37+1</f>
        <v/>
      </c>
      <c r="S38" s="148" t="inlineStr">
        <is>
          <t xml:space="preserve">DAY </t>
        </is>
      </c>
      <c r="T38" s="13">
        <f>U37</f>
        <v/>
      </c>
      <c r="U38" s="8" t="n">
        <v>1879</v>
      </c>
      <c r="V38" s="21">
        <f>U38-T38</f>
        <v/>
      </c>
      <c r="W38" s="130" t="n">
        <v>270</v>
      </c>
      <c r="X38" s="131" t="n">
        <v>1873</v>
      </c>
      <c r="Y38" s="127">
        <f>X38-X36</f>
        <v/>
      </c>
      <c r="Z38" s="129">
        <f>W38/Y38</f>
        <v/>
      </c>
      <c r="AA38" s="25" t="n"/>
      <c r="AB38" s="25" t="n"/>
      <c r="AC38" s="22" t="n"/>
      <c r="AD38" s="23" t="n"/>
      <c r="AE38" s="14">
        <f>AF37</f>
        <v/>
      </c>
      <c r="AF38" s="26" t="n">
        <v>22720</v>
      </c>
      <c r="AG38" s="26">
        <f>AF38-AE38</f>
        <v/>
      </c>
    </row>
    <row r="39">
      <c r="A39" s="17">
        <f>A38</f>
        <v/>
      </c>
      <c r="B39" s="148" t="inlineStr">
        <is>
          <t>NIGHT</t>
        </is>
      </c>
      <c r="C39" s="13">
        <f>D38</f>
        <v/>
      </c>
      <c r="D39" s="8" t="n">
        <v>1239</v>
      </c>
      <c r="E39" s="21">
        <f>D39-C39</f>
        <v/>
      </c>
      <c r="F39" s="132" t="n"/>
      <c r="G39" s="132" t="n"/>
      <c r="H39" s="128" t="n"/>
      <c r="I39" s="128" t="n"/>
      <c r="J39" s="18" t="n"/>
      <c r="K39" s="18" t="n"/>
      <c r="L39" s="22" t="n"/>
      <c r="M39" s="23" t="n"/>
      <c r="N39" s="14">
        <f>O38</f>
        <v/>
      </c>
      <c r="O39" s="26" t="n">
        <v>16576</v>
      </c>
      <c r="P39" s="26">
        <f>O39-N39</f>
        <v/>
      </c>
      <c r="R39" s="17">
        <f>R38</f>
        <v/>
      </c>
      <c r="S39" s="148" t="inlineStr">
        <is>
          <t>NIGHT</t>
        </is>
      </c>
      <c r="T39" s="13">
        <f>U38</f>
        <v/>
      </c>
      <c r="U39" s="8" t="n">
        <v>1887</v>
      </c>
      <c r="V39" s="21">
        <f>U39-T39</f>
        <v/>
      </c>
      <c r="W39" s="128" t="n"/>
      <c r="X39" s="132" t="n"/>
      <c r="Y39" s="128" t="n"/>
      <c r="Z39" s="128" t="n"/>
      <c r="AA39" s="25" t="n"/>
      <c r="AB39" s="25" t="n"/>
      <c r="AC39" s="15" t="n"/>
      <c r="AD39" s="16" t="n"/>
      <c r="AE39" s="14">
        <f>AF38</f>
        <v/>
      </c>
      <c r="AF39" s="26" t="n">
        <v>22874</v>
      </c>
      <c r="AG39" s="26">
        <f>AF39-AE39</f>
        <v/>
      </c>
    </row>
    <row r="40">
      <c r="A40" s="17">
        <f>A39+1</f>
        <v/>
      </c>
      <c r="B40" s="148" t="inlineStr">
        <is>
          <t xml:space="preserve">DAY </t>
        </is>
      </c>
      <c r="C40" s="13">
        <f>D39</f>
        <v/>
      </c>
      <c r="D40" s="8" t="n">
        <v>1250</v>
      </c>
      <c r="E40" s="21">
        <f>D40-C40</f>
        <v/>
      </c>
      <c r="F40" s="130" t="n">
        <v>300</v>
      </c>
      <c r="G40" s="133" t="n">
        <v>1241</v>
      </c>
      <c r="H40" s="148">
        <f>G40-G36</f>
        <v/>
      </c>
      <c r="I40" s="129">
        <f>F40/H40</f>
        <v/>
      </c>
      <c r="J40" s="18" t="n"/>
      <c r="K40" s="18" t="n"/>
      <c r="L40" s="22" t="n"/>
      <c r="M40" s="23" t="n"/>
      <c r="N40" s="14">
        <f>O39</f>
        <v/>
      </c>
      <c r="O40" s="26" t="n">
        <v>16726</v>
      </c>
      <c r="P40" s="26">
        <f>O40-N40</f>
        <v/>
      </c>
      <c r="R40" s="17">
        <f>R39+1</f>
        <v/>
      </c>
      <c r="S40" s="148" t="inlineStr">
        <is>
          <t xml:space="preserve">DAY </t>
        </is>
      </c>
      <c r="T40" s="13">
        <f>U39</f>
        <v/>
      </c>
      <c r="U40" s="8" t="n">
        <v>1898</v>
      </c>
      <c r="V40" s="21">
        <f>U40-T40</f>
        <v/>
      </c>
      <c r="W40" s="130" t="n">
        <v>240</v>
      </c>
      <c r="X40" s="133" t="n">
        <v>1893</v>
      </c>
      <c r="Y40" s="127">
        <f>X40-X38</f>
        <v/>
      </c>
      <c r="Z40" s="129">
        <f>W40/Y40</f>
        <v/>
      </c>
      <c r="AA40" s="25" t="n"/>
      <c r="AB40" s="25" t="n"/>
      <c r="AC40" s="22" t="n"/>
      <c r="AD40" s="23" t="n"/>
      <c r="AE40" s="14">
        <f>AF39</f>
        <v/>
      </c>
      <c r="AF40" s="26" t="n">
        <v>23053</v>
      </c>
      <c r="AG40" s="26">
        <f>AF40-AE40</f>
        <v/>
      </c>
    </row>
    <row r="41">
      <c r="A41" s="17">
        <f>A40</f>
        <v/>
      </c>
      <c r="B41" s="148" t="inlineStr">
        <is>
          <t>NIGHT</t>
        </is>
      </c>
      <c r="C41" s="13">
        <f>D40</f>
        <v/>
      </c>
      <c r="D41" s="8" t="n">
        <v>1260</v>
      </c>
      <c r="E41" s="21">
        <f>D41-C41</f>
        <v/>
      </c>
      <c r="F41" s="128" t="n"/>
      <c r="G41" s="132" t="n"/>
      <c r="H41" s="128" t="n"/>
      <c r="I41" s="128" t="n"/>
      <c r="J41" s="18" t="n"/>
      <c r="K41" s="18" t="n"/>
      <c r="L41" s="22" t="n"/>
      <c r="M41" s="23" t="n"/>
      <c r="N41" s="14">
        <f>O40</f>
        <v/>
      </c>
      <c r="O41" s="26" t="n">
        <v>16845</v>
      </c>
      <c r="P41" s="26">
        <f>O41-N41</f>
        <v/>
      </c>
      <c r="R41" s="17">
        <f>R40</f>
        <v/>
      </c>
      <c r="S41" s="148" t="inlineStr">
        <is>
          <t>NIGHT</t>
        </is>
      </c>
      <c r="T41" s="13">
        <f>U40</f>
        <v/>
      </c>
      <c r="U41" s="8" t="n">
        <v>1909</v>
      </c>
      <c r="V41" s="21">
        <f>U41-T41</f>
        <v/>
      </c>
      <c r="W41" s="128" t="n"/>
      <c r="X41" s="132" t="n"/>
      <c r="Y41" s="128" t="n"/>
      <c r="Z41" s="128" t="n"/>
      <c r="AA41" s="28" t="n"/>
      <c r="AB41" s="28" t="n"/>
      <c r="AC41" s="22" t="n"/>
      <c r="AD41" s="23" t="n"/>
      <c r="AE41" s="14">
        <f>AF40</f>
        <v/>
      </c>
      <c r="AF41" s="26" t="n">
        <v>23204</v>
      </c>
      <c r="AG41" s="26">
        <f>AF41-AE41</f>
        <v/>
      </c>
    </row>
    <row r="42">
      <c r="A42" s="17">
        <f>A41+1</f>
        <v/>
      </c>
      <c r="B42" s="148" t="inlineStr">
        <is>
          <t xml:space="preserve">DAY </t>
        </is>
      </c>
      <c r="C42" s="13">
        <f>D41</f>
        <v/>
      </c>
      <c r="D42" s="8" t="n">
        <v>1269</v>
      </c>
      <c r="E42" s="21">
        <f>D42-C42</f>
        <v/>
      </c>
      <c r="F42" s="130" t="n">
        <v>200</v>
      </c>
      <c r="G42" s="133" t="n">
        <v>1265</v>
      </c>
      <c r="H42" s="148">
        <f>G42-G40</f>
        <v/>
      </c>
      <c r="I42" s="129">
        <f>F42/H42</f>
        <v/>
      </c>
      <c r="J42" s="18" t="n"/>
      <c r="K42" s="18" t="n"/>
      <c r="L42" s="22" t="n"/>
      <c r="M42" s="23" t="n"/>
      <c r="N42" s="14">
        <f>O41</f>
        <v/>
      </c>
      <c r="O42" s="26" t="n">
        <v>16974</v>
      </c>
      <c r="P42" s="26">
        <f>O42-N42</f>
        <v/>
      </c>
      <c r="Q42" t="inlineStr">
        <is>
          <t>NAZEER</t>
        </is>
      </c>
      <c r="R42" s="17">
        <f>R41+1</f>
        <v/>
      </c>
      <c r="S42" s="148" t="inlineStr">
        <is>
          <t xml:space="preserve">DAY </t>
        </is>
      </c>
      <c r="T42" s="13">
        <f>U41</f>
        <v/>
      </c>
      <c r="U42" s="8" t="n">
        <v>1919</v>
      </c>
      <c r="V42" s="21">
        <f>U42-T42</f>
        <v/>
      </c>
      <c r="W42" s="130" t="n">
        <v>270</v>
      </c>
      <c r="X42" s="133" t="n">
        <v>1915</v>
      </c>
      <c r="Y42" s="127">
        <f>X42-X40</f>
        <v/>
      </c>
      <c r="Z42" s="129">
        <f>W42/Y42</f>
        <v/>
      </c>
      <c r="AA42" s="28" t="n"/>
      <c r="AB42" s="28" t="n"/>
      <c r="AC42" s="22" t="n"/>
      <c r="AD42" s="23" t="n"/>
      <c r="AE42" s="14">
        <f>AF41</f>
        <v/>
      </c>
      <c r="AF42" s="26" t="n">
        <v>23370</v>
      </c>
      <c r="AG42" s="26">
        <f>AF42-AE42</f>
        <v/>
      </c>
    </row>
    <row r="43">
      <c r="A43" s="17">
        <f>A42</f>
        <v/>
      </c>
      <c r="B43" s="148" t="inlineStr">
        <is>
          <t>NIGHT</t>
        </is>
      </c>
      <c r="C43" s="13">
        <f>D42</f>
        <v/>
      </c>
      <c r="D43" s="8" t="n">
        <v>1274</v>
      </c>
      <c r="E43" s="21">
        <f>D43-C43</f>
        <v/>
      </c>
      <c r="F43" s="128" t="n"/>
      <c r="G43" s="132" t="n"/>
      <c r="H43" s="128" t="n"/>
      <c r="I43" s="128" t="n"/>
      <c r="J43" s="18" t="n"/>
      <c r="K43" s="18" t="n"/>
      <c r="L43" s="22" t="n"/>
      <c r="M43" s="23" t="n"/>
      <c r="N43" s="14">
        <f>O42</f>
        <v/>
      </c>
      <c r="O43" s="26" t="n">
        <v>17071</v>
      </c>
      <c r="P43" s="26">
        <f>O43-N43</f>
        <v/>
      </c>
      <c r="Q43" t="inlineStr">
        <is>
          <t>PANKAJ</t>
        </is>
      </c>
      <c r="R43" s="17">
        <f>R42</f>
        <v/>
      </c>
      <c r="S43" s="148" t="inlineStr">
        <is>
          <t>NIGHT</t>
        </is>
      </c>
      <c r="T43" s="13">
        <f>U42</f>
        <v/>
      </c>
      <c r="U43" s="8" t="n">
        <v>1926</v>
      </c>
      <c r="V43" s="21">
        <f>U43-T43</f>
        <v/>
      </c>
      <c r="W43" s="128" t="n"/>
      <c r="X43" s="132" t="n"/>
      <c r="Y43" s="128" t="n"/>
      <c r="Z43" s="128" t="n"/>
      <c r="AA43" s="28" t="n"/>
      <c r="AB43" s="28" t="n"/>
      <c r="AC43" s="22" t="n"/>
      <c r="AD43" s="23" t="n"/>
      <c r="AE43" s="14">
        <f>AF42</f>
        <v/>
      </c>
      <c r="AF43" s="26" t="n">
        <v>23445</v>
      </c>
      <c r="AG43" s="26">
        <f>AF43-AE43</f>
        <v/>
      </c>
    </row>
    <row r="44">
      <c r="A44" s="17">
        <f>A43+1</f>
        <v/>
      </c>
      <c r="B44" s="148" t="inlineStr">
        <is>
          <t xml:space="preserve">DAY </t>
        </is>
      </c>
      <c r="C44" s="13">
        <f>D43</f>
        <v/>
      </c>
      <c r="D44" s="8" t="n">
        <v>1284</v>
      </c>
      <c r="E44" s="21">
        <f>D44-C44</f>
        <v/>
      </c>
      <c r="F44" s="130" t="n">
        <v>250</v>
      </c>
      <c r="G44" s="133" t="n">
        <v>1280</v>
      </c>
      <c r="H44" s="148">
        <f>G44-G42</f>
        <v/>
      </c>
      <c r="I44" s="129">
        <f>F44/H44</f>
        <v/>
      </c>
      <c r="J44" s="18" t="n"/>
      <c r="K44" s="18" t="n"/>
      <c r="L44" s="22" t="n"/>
      <c r="M44" s="23" t="n"/>
      <c r="N44" s="14">
        <f>O43</f>
        <v/>
      </c>
      <c r="O44" s="31" t="n">
        <v>17205</v>
      </c>
      <c r="P44" s="26">
        <f>O44-N44</f>
        <v/>
      </c>
      <c r="Q44" t="inlineStr">
        <is>
          <t>SAIDULLA</t>
        </is>
      </c>
      <c r="R44" s="17">
        <f>R43+1</f>
        <v/>
      </c>
      <c r="S44" s="148" t="inlineStr">
        <is>
          <t xml:space="preserve">DAY </t>
        </is>
      </c>
      <c r="T44" s="13">
        <f>U43</f>
        <v/>
      </c>
      <c r="U44" s="8" t="n">
        <v>1936</v>
      </c>
      <c r="V44" s="21">
        <f>U44-T44</f>
        <v/>
      </c>
      <c r="W44" s="130" t="n">
        <v>200</v>
      </c>
      <c r="X44" s="133" t="n">
        <v>1932</v>
      </c>
      <c r="Y44" s="127">
        <f>X44-X42</f>
        <v/>
      </c>
      <c r="Z44" s="129">
        <f>W44/Y44</f>
        <v/>
      </c>
      <c r="AA44" s="28" t="n"/>
      <c r="AB44" s="28" t="n"/>
      <c r="AC44" s="22" t="n"/>
      <c r="AD44" s="23" t="n"/>
      <c r="AE44" s="14">
        <f>AF43</f>
        <v/>
      </c>
      <c r="AF44" s="31" t="n">
        <v>23586</v>
      </c>
      <c r="AG44" s="26">
        <f>AF44-AE44</f>
        <v/>
      </c>
    </row>
    <row r="45">
      <c r="A45" s="17">
        <f>A44</f>
        <v/>
      </c>
      <c r="B45" s="148" t="inlineStr">
        <is>
          <t>NIGHT</t>
        </is>
      </c>
      <c r="C45" s="13">
        <f>D44</f>
        <v/>
      </c>
      <c r="D45" s="8" t="n">
        <v>1293</v>
      </c>
      <c r="E45" s="21">
        <f>D45-C45</f>
        <v/>
      </c>
      <c r="F45" s="128" t="n"/>
      <c r="G45" s="132" t="n"/>
      <c r="H45" s="128" t="n"/>
      <c r="I45" s="128" t="n"/>
      <c r="J45" s="18" t="n"/>
      <c r="K45" s="18" t="n"/>
      <c r="L45" s="22" t="n"/>
      <c r="M45" s="23" t="n"/>
      <c r="N45" s="14">
        <f>O44</f>
        <v/>
      </c>
      <c r="O45" s="31" t="n">
        <v>17335</v>
      </c>
      <c r="P45" s="26">
        <f>O45-N45</f>
        <v/>
      </c>
      <c r="Q45" t="inlineStr">
        <is>
          <t>PANKAJ</t>
        </is>
      </c>
      <c r="R45" s="17">
        <f>R44</f>
        <v/>
      </c>
      <c r="S45" s="148" t="inlineStr">
        <is>
          <t>NIGHT</t>
        </is>
      </c>
      <c r="T45" s="13">
        <f>U44</f>
        <v/>
      </c>
      <c r="U45" s="8" t="n">
        <v>1945</v>
      </c>
      <c r="V45" s="21">
        <f>U45-T45</f>
        <v/>
      </c>
      <c r="W45" s="128" t="n"/>
      <c r="X45" s="132" t="n"/>
      <c r="Y45" s="128" t="n"/>
      <c r="Z45" s="128" t="n"/>
      <c r="AA45" s="28" t="n"/>
      <c r="AB45" s="28" t="n"/>
      <c r="AC45" s="22" t="n"/>
      <c r="AD45" s="23" t="n"/>
      <c r="AE45" s="14">
        <f>AF44</f>
        <v/>
      </c>
      <c r="AF45" s="31" t="n">
        <v>23697</v>
      </c>
      <c r="AG45" s="26">
        <f>AF45-AE45</f>
        <v/>
      </c>
    </row>
    <row r="46">
      <c r="A46" s="17">
        <f>A45+1</f>
        <v/>
      </c>
      <c r="B46" s="148" t="inlineStr">
        <is>
          <t xml:space="preserve">DAY </t>
        </is>
      </c>
      <c r="C46" s="13">
        <f>D45</f>
        <v/>
      </c>
      <c r="D46" s="8" t="n">
        <v>1304</v>
      </c>
      <c r="E46" s="21">
        <f>D46-C46</f>
        <v/>
      </c>
      <c r="F46" s="130" t="n">
        <v>210</v>
      </c>
      <c r="G46" s="133" t="n">
        <v>1297</v>
      </c>
      <c r="H46" s="148">
        <f>G46-G44</f>
        <v/>
      </c>
      <c r="I46" s="129">
        <f>F46/H46</f>
        <v/>
      </c>
      <c r="J46" s="18" t="n"/>
      <c r="K46" s="18" t="n"/>
      <c r="L46" s="22" t="n"/>
      <c r="M46" s="23" t="n"/>
      <c r="N46" s="14">
        <f>O45</f>
        <v/>
      </c>
      <c r="O46" s="31" t="n">
        <v>17481</v>
      </c>
      <c r="P46" s="26">
        <f>O46-N46</f>
        <v/>
      </c>
      <c r="Q46" t="inlineStr">
        <is>
          <t>SAIDULLA</t>
        </is>
      </c>
      <c r="R46" s="17">
        <f>R45+1</f>
        <v/>
      </c>
      <c r="S46" s="148" t="inlineStr">
        <is>
          <t xml:space="preserve">DAY </t>
        </is>
      </c>
      <c r="T46" s="13">
        <f>U45</f>
        <v/>
      </c>
      <c r="U46" s="8" t="n">
        <v>1956</v>
      </c>
      <c r="V46" s="21">
        <f>U46-T46</f>
        <v/>
      </c>
      <c r="W46" s="130" t="n">
        <v>170</v>
      </c>
      <c r="X46" s="133" t="n">
        <v>1949</v>
      </c>
      <c r="Y46" s="127">
        <f>X46-X44</f>
        <v/>
      </c>
      <c r="Z46" s="129">
        <f>W46/Y46</f>
        <v/>
      </c>
      <c r="AA46" s="28" t="n"/>
      <c r="AB46" s="28" t="n"/>
      <c r="AC46" s="22" t="n"/>
      <c r="AD46" s="23" t="n"/>
      <c r="AE46" s="14">
        <f>AF45</f>
        <v/>
      </c>
      <c r="AF46" s="31" t="n">
        <v>23837</v>
      </c>
      <c r="AG46" s="26">
        <f>AF46-AE46</f>
        <v/>
      </c>
    </row>
    <row r="47">
      <c r="A47" s="17">
        <f>A46</f>
        <v/>
      </c>
      <c r="B47" s="148" t="inlineStr">
        <is>
          <t>NIGHT</t>
        </is>
      </c>
      <c r="C47" s="13">
        <f>D46</f>
        <v/>
      </c>
      <c r="D47" s="8" t="n">
        <v>1314</v>
      </c>
      <c r="E47" s="21">
        <f>D47-C47</f>
        <v/>
      </c>
      <c r="F47" s="128" t="n"/>
      <c r="G47" s="132" t="n"/>
      <c r="H47" s="128" t="n"/>
      <c r="I47" s="128" t="n"/>
      <c r="J47" s="18" t="n"/>
      <c r="K47" s="18" t="n"/>
      <c r="L47" s="22" t="n"/>
      <c r="M47" s="23" t="n"/>
      <c r="N47" s="14">
        <f>O46</f>
        <v/>
      </c>
      <c r="O47" s="31" t="n">
        <v>17621</v>
      </c>
      <c r="P47" s="26">
        <f>O47-N47</f>
        <v/>
      </c>
      <c r="Q47" t="inlineStr">
        <is>
          <t>NAZEER</t>
        </is>
      </c>
      <c r="R47" s="17">
        <f>R46</f>
        <v/>
      </c>
      <c r="S47" s="148" t="inlineStr">
        <is>
          <t>NIGHT</t>
        </is>
      </c>
      <c r="T47" s="13">
        <f>U46</f>
        <v/>
      </c>
      <c r="U47" s="8" t="n">
        <v>1967</v>
      </c>
      <c r="V47" s="21">
        <f>U47-T47</f>
        <v/>
      </c>
      <c r="W47" s="128" t="n"/>
      <c r="X47" s="132" t="n"/>
      <c r="Y47" s="128" t="n"/>
      <c r="Z47" s="128" t="n"/>
      <c r="AA47" s="28" t="n"/>
      <c r="AB47" s="28" t="n"/>
      <c r="AC47" s="22" t="n"/>
      <c r="AD47" s="23" t="n"/>
      <c r="AE47" s="14">
        <f>AF46</f>
        <v/>
      </c>
      <c r="AF47" s="31" t="n">
        <v>24025</v>
      </c>
      <c r="AG47" s="26">
        <f>AF47-AE47</f>
        <v/>
      </c>
    </row>
    <row r="48">
      <c r="A48" s="17">
        <f>A47+1</f>
        <v/>
      </c>
      <c r="B48" s="148" t="inlineStr">
        <is>
          <t xml:space="preserve">DAY </t>
        </is>
      </c>
      <c r="C48" s="13">
        <f>D47</f>
        <v/>
      </c>
      <c r="D48" s="8" t="n">
        <v>1318</v>
      </c>
      <c r="E48" s="21">
        <f>D48-C48</f>
        <v/>
      </c>
      <c r="F48" s="130" t="n">
        <v>200</v>
      </c>
      <c r="G48" s="133" t="n">
        <v>1314</v>
      </c>
      <c r="H48" s="148">
        <f>G48-G46</f>
        <v/>
      </c>
      <c r="I48" s="129">
        <f>F48/H48</f>
        <v/>
      </c>
      <c r="J48" s="18" t="n"/>
      <c r="K48" s="18" t="n"/>
      <c r="L48" s="22" t="n"/>
      <c r="M48" s="23" t="n"/>
      <c r="N48" s="14">
        <f>O47</f>
        <v/>
      </c>
      <c r="O48" s="31" t="n">
        <v>17670</v>
      </c>
      <c r="P48" s="26">
        <f>O48-N48</f>
        <v/>
      </c>
      <c r="Q48" t="inlineStr">
        <is>
          <t>PANKAJ</t>
        </is>
      </c>
      <c r="R48" s="17">
        <f>R47+1</f>
        <v/>
      </c>
      <c r="S48" s="148" t="inlineStr">
        <is>
          <t xml:space="preserve">DAY </t>
        </is>
      </c>
      <c r="T48" s="13">
        <f>U47</f>
        <v/>
      </c>
      <c r="U48" s="8" t="n">
        <v>1974</v>
      </c>
      <c r="V48" s="21">
        <f>U48-T48</f>
        <v/>
      </c>
      <c r="W48" s="130" t="n">
        <v>250</v>
      </c>
      <c r="X48" s="133" t="n">
        <v>1968</v>
      </c>
      <c r="Y48" s="127">
        <f>X48-X46</f>
        <v/>
      </c>
      <c r="Z48" s="129">
        <f>W48/Y48</f>
        <v/>
      </c>
      <c r="AA48" s="28" t="n"/>
      <c r="AB48" s="28" t="n"/>
      <c r="AC48" s="22" t="n"/>
      <c r="AD48" s="23" t="n"/>
      <c r="AE48" s="14">
        <f>AF47</f>
        <v/>
      </c>
      <c r="AF48" s="31" t="n">
        <v>24128</v>
      </c>
      <c r="AG48" s="26">
        <f>AF48-AE48</f>
        <v/>
      </c>
    </row>
    <row r="49">
      <c r="A49" s="17">
        <f>A48</f>
        <v/>
      </c>
      <c r="B49" s="148" t="inlineStr">
        <is>
          <t>NIGHT</t>
        </is>
      </c>
      <c r="C49" s="13">
        <f>D48</f>
        <v/>
      </c>
      <c r="D49" s="8" t="n">
        <v>1328</v>
      </c>
      <c r="E49" s="21">
        <f>D49-C49</f>
        <v/>
      </c>
      <c r="F49" s="128" t="n"/>
      <c r="G49" s="132" t="n"/>
      <c r="H49" s="128" t="n"/>
      <c r="I49" s="128" t="n"/>
      <c r="J49" s="18" t="n"/>
      <c r="K49" s="18" t="n"/>
      <c r="L49" s="22" t="n"/>
      <c r="M49" s="23" t="n"/>
      <c r="N49" s="14">
        <f>O48</f>
        <v/>
      </c>
      <c r="O49" s="31" t="n">
        <v>17782</v>
      </c>
      <c r="P49" s="26">
        <f>O49-N49</f>
        <v/>
      </c>
      <c r="Q49" t="inlineStr">
        <is>
          <t>NAZEER</t>
        </is>
      </c>
      <c r="R49" s="17">
        <f>R48</f>
        <v/>
      </c>
      <c r="S49" s="148" t="inlineStr">
        <is>
          <t>NIGHT</t>
        </is>
      </c>
      <c r="T49" s="13">
        <f>U48</f>
        <v/>
      </c>
      <c r="U49" s="8" t="n">
        <v>1983</v>
      </c>
      <c r="V49" s="21">
        <f>U49-T49</f>
        <v/>
      </c>
      <c r="W49" s="128" t="n"/>
      <c r="X49" s="132" t="n"/>
      <c r="Y49" s="128" t="n"/>
      <c r="Z49" s="128" t="n"/>
      <c r="AA49" s="28" t="n"/>
      <c r="AB49" s="28" t="n"/>
      <c r="AC49" s="22" t="n"/>
      <c r="AD49" s="23" t="n"/>
      <c r="AE49" s="14">
        <f>AF48</f>
        <v/>
      </c>
      <c r="AF49" s="31" t="n">
        <v>24240</v>
      </c>
      <c r="AG49" s="26">
        <f>AF49-AE49</f>
        <v/>
      </c>
    </row>
    <row r="50">
      <c r="A50" s="17">
        <f>A49+1</f>
        <v/>
      </c>
      <c r="B50" s="148" t="inlineStr">
        <is>
          <t xml:space="preserve">DAY </t>
        </is>
      </c>
      <c r="C50" s="13">
        <f>D49</f>
        <v/>
      </c>
      <c r="D50" s="8" t="n">
        <v>1337</v>
      </c>
      <c r="E50" s="21">
        <f>D50-C50</f>
        <v/>
      </c>
      <c r="F50" s="130" t="n">
        <v>250</v>
      </c>
      <c r="G50" s="133" t="n">
        <v>1331</v>
      </c>
      <c r="H50" s="148">
        <f>G50-G48</f>
        <v/>
      </c>
      <c r="I50" s="129">
        <f>F50/H50</f>
        <v/>
      </c>
      <c r="J50" s="18" t="n"/>
      <c r="K50" s="18" t="n"/>
      <c r="L50" s="22" t="n"/>
      <c r="M50" s="23" t="n"/>
      <c r="N50" s="14">
        <f>O49</f>
        <v/>
      </c>
      <c r="O50" s="31" t="n">
        <v>17969</v>
      </c>
      <c r="P50" s="26">
        <f>O50-N50</f>
        <v/>
      </c>
      <c r="Q50" t="inlineStr">
        <is>
          <t>PANKAJ</t>
        </is>
      </c>
      <c r="R50" s="17">
        <f>R49+1</f>
        <v/>
      </c>
      <c r="S50" s="148" t="inlineStr">
        <is>
          <t xml:space="preserve">DAY </t>
        </is>
      </c>
      <c r="T50" s="13">
        <f>U49</f>
        <v/>
      </c>
      <c r="U50" s="8" t="n">
        <v>1993</v>
      </c>
      <c r="V50" s="21">
        <f>U50-T50</f>
        <v/>
      </c>
      <c r="W50" s="130" t="n">
        <v>220</v>
      </c>
      <c r="X50" s="133" t="n">
        <v>1986</v>
      </c>
      <c r="Y50" s="127">
        <f>X50-X48</f>
        <v/>
      </c>
      <c r="Z50" s="129">
        <f>W50/Y50</f>
        <v/>
      </c>
      <c r="AA50" s="28" t="n"/>
      <c r="AB50" s="28" t="n"/>
      <c r="AC50" s="22" t="n"/>
      <c r="AD50" s="23" t="n"/>
      <c r="AE50" s="14">
        <f>AF49</f>
        <v/>
      </c>
      <c r="AF50" s="31" t="n">
        <v>24397</v>
      </c>
      <c r="AG50" s="26">
        <f>AF50-AE50</f>
        <v/>
      </c>
    </row>
    <row r="51">
      <c r="A51" s="17">
        <f>A50</f>
        <v/>
      </c>
      <c r="B51" s="148" t="inlineStr">
        <is>
          <t>NIGHT</t>
        </is>
      </c>
      <c r="C51" s="13">
        <f>D50</f>
        <v/>
      </c>
      <c r="D51" s="8" t="n">
        <v>1347</v>
      </c>
      <c r="E51" s="21">
        <f>D51-C51</f>
        <v/>
      </c>
      <c r="F51" s="128" t="n"/>
      <c r="G51" s="132" t="n"/>
      <c r="H51" s="128" t="n"/>
      <c r="I51" s="128" t="n"/>
      <c r="J51" s="18" t="n"/>
      <c r="K51" s="18" t="n"/>
      <c r="L51" s="22" t="n"/>
      <c r="M51" s="23" t="n"/>
      <c r="N51" s="14">
        <f>O50</f>
        <v/>
      </c>
      <c r="O51" s="31" t="n">
        <v>18079</v>
      </c>
      <c r="P51" s="26">
        <f>O51-N51</f>
        <v/>
      </c>
      <c r="Q51" t="inlineStr">
        <is>
          <t>SAIDULLA</t>
        </is>
      </c>
      <c r="R51" s="17">
        <f>R50</f>
        <v/>
      </c>
      <c r="S51" s="148" t="inlineStr">
        <is>
          <t>NIGHT</t>
        </is>
      </c>
      <c r="T51" s="13">
        <f>U50</f>
        <v/>
      </c>
      <c r="U51" s="8" t="n">
        <v>2003</v>
      </c>
      <c r="V51" s="21">
        <f>U51-T51</f>
        <v/>
      </c>
      <c r="W51" s="128" t="n"/>
      <c r="X51" s="132" t="n"/>
      <c r="Y51" s="128" t="n"/>
      <c r="Z51" s="128" t="n"/>
      <c r="AA51" s="28" t="n"/>
      <c r="AB51" s="28" t="n"/>
      <c r="AC51" s="22" t="n"/>
      <c r="AD51" s="23" t="n"/>
      <c r="AE51" s="14">
        <f>AF50</f>
        <v/>
      </c>
      <c r="AF51" s="31" t="n">
        <v>24520</v>
      </c>
      <c r="AG51" s="26">
        <f>AF51-AE51</f>
        <v/>
      </c>
    </row>
    <row r="52">
      <c r="A52" s="17">
        <f>A51+1</f>
        <v/>
      </c>
      <c r="B52" s="148" t="inlineStr">
        <is>
          <t xml:space="preserve">DAY </t>
        </is>
      </c>
      <c r="C52" s="13" t="n">
        <v>1347</v>
      </c>
      <c r="D52" s="8" t="n">
        <v>1356</v>
      </c>
      <c r="E52" s="21">
        <f>D52-C52</f>
        <v/>
      </c>
      <c r="F52" s="130" t="n">
        <v>260</v>
      </c>
      <c r="G52" s="133" t="n">
        <v>1359</v>
      </c>
      <c r="H52" s="148">
        <f>G52-G50</f>
        <v/>
      </c>
      <c r="I52" s="129">
        <f>F52/H52</f>
        <v/>
      </c>
      <c r="J52" s="28" t="n"/>
      <c r="K52" s="28" t="n"/>
      <c r="L52" s="22" t="n"/>
      <c r="M52" s="23" t="n"/>
      <c r="N52" s="14" t="n">
        <v>18079</v>
      </c>
      <c r="O52" s="31" t="n">
        <v>18195</v>
      </c>
      <c r="P52" s="26">
        <f>O52-N52</f>
        <v/>
      </c>
      <c r="Q52" t="inlineStr">
        <is>
          <t>NAZEER</t>
        </is>
      </c>
      <c r="R52" s="17">
        <f>R51+1</f>
        <v/>
      </c>
      <c r="S52" s="148" t="inlineStr">
        <is>
          <t xml:space="preserve">DAY </t>
        </is>
      </c>
      <c r="T52" s="13" t="n">
        <v>2003</v>
      </c>
      <c r="U52" s="8" t="n">
        <v>2013</v>
      </c>
      <c r="V52" s="21">
        <f>U52-T52</f>
        <v/>
      </c>
      <c r="W52" s="130" t="n">
        <v>270</v>
      </c>
      <c r="X52" s="133" t="n">
        <v>2009</v>
      </c>
      <c r="Y52" s="127">
        <f>X52-X50</f>
        <v/>
      </c>
      <c r="Z52" s="129">
        <f>W52/Y52</f>
        <v/>
      </c>
      <c r="AA52" s="28" t="n"/>
      <c r="AB52" s="28" t="n"/>
      <c r="AC52" s="22" t="n"/>
      <c r="AD52" s="23" t="n"/>
      <c r="AE52" s="14" t="n">
        <v>24520</v>
      </c>
      <c r="AF52" s="31" t="n">
        <v>24640</v>
      </c>
      <c r="AG52" s="26">
        <f>AF52-AE52</f>
        <v/>
      </c>
    </row>
    <row r="53">
      <c r="A53" s="17">
        <f>A52</f>
        <v/>
      </c>
      <c r="B53" s="148" t="inlineStr">
        <is>
          <t>NIGHT</t>
        </is>
      </c>
      <c r="C53" s="13" t="n">
        <v>1356</v>
      </c>
      <c r="D53" s="8" t="n">
        <v>1366</v>
      </c>
      <c r="E53" s="21">
        <f>D53-C53</f>
        <v/>
      </c>
      <c r="F53" s="128" t="n"/>
      <c r="G53" s="132" t="n"/>
      <c r="H53" s="128" t="n"/>
      <c r="I53" s="128" t="n"/>
      <c r="J53" s="28" t="n"/>
      <c r="K53" s="28" t="n"/>
      <c r="L53" s="22" t="n"/>
      <c r="M53" s="23" t="n"/>
      <c r="N53" s="14" t="n">
        <v>18195</v>
      </c>
      <c r="O53" s="31" t="n">
        <v>18295</v>
      </c>
      <c r="P53" s="26">
        <f>O53-N53</f>
        <v/>
      </c>
      <c r="Q53" t="inlineStr">
        <is>
          <t>SAIDULLA</t>
        </is>
      </c>
      <c r="R53" s="17">
        <f>R52</f>
        <v/>
      </c>
      <c r="S53" s="148" t="inlineStr">
        <is>
          <t>NIGHT</t>
        </is>
      </c>
      <c r="T53" s="13" t="n">
        <v>2013</v>
      </c>
      <c r="U53" s="8" t="n">
        <v>2022</v>
      </c>
      <c r="V53" s="21">
        <f>U53-T53</f>
        <v/>
      </c>
      <c r="W53" s="128" t="n"/>
      <c r="X53" s="132" t="n"/>
      <c r="Y53" s="128" t="n"/>
      <c r="Z53" s="128" t="n"/>
      <c r="AA53" s="28" t="n"/>
      <c r="AB53" s="28" t="n"/>
      <c r="AC53" s="22" t="n"/>
      <c r="AD53" s="23" t="n"/>
      <c r="AE53" s="14" t="n">
        <v>24640</v>
      </c>
      <c r="AF53" s="31" t="n">
        <v>24732</v>
      </c>
      <c r="AG53" s="26">
        <f>AF53-AE53</f>
        <v/>
      </c>
    </row>
    <row r="54">
      <c r="A54" s="17">
        <f>A53+1</f>
        <v/>
      </c>
      <c r="B54" s="148" t="inlineStr">
        <is>
          <t xml:space="preserve">DAY </t>
        </is>
      </c>
      <c r="C54" s="13">
        <f>D53</f>
        <v/>
      </c>
      <c r="D54" s="8" t="n">
        <v>1377</v>
      </c>
      <c r="E54" s="21">
        <f>D54-C54</f>
        <v/>
      </c>
      <c r="F54" s="130" t="n">
        <v>140</v>
      </c>
      <c r="G54" s="133" t="n">
        <v>1370</v>
      </c>
      <c r="H54" s="148">
        <f>G54-G52</f>
        <v/>
      </c>
      <c r="I54" s="129">
        <f>F54/H54</f>
        <v/>
      </c>
      <c r="J54" s="28" t="n"/>
      <c r="K54" s="28" t="n"/>
      <c r="L54" s="22" t="n"/>
      <c r="M54" s="23" t="n"/>
      <c r="N54" s="14">
        <f>O53</f>
        <v/>
      </c>
      <c r="O54" s="31" t="n">
        <v>18478</v>
      </c>
      <c r="P54" s="26">
        <f>O54-N54</f>
        <v/>
      </c>
      <c r="Q54" t="inlineStr">
        <is>
          <t>RAJKUMAR</t>
        </is>
      </c>
      <c r="R54" s="17">
        <f>R53+1</f>
        <v/>
      </c>
      <c r="S54" s="148" t="inlineStr">
        <is>
          <t xml:space="preserve">DAY </t>
        </is>
      </c>
      <c r="T54" s="13">
        <f>U53</f>
        <v/>
      </c>
      <c r="U54" s="8" t="n">
        <v>2032</v>
      </c>
      <c r="V54" s="21">
        <f>U54-T54</f>
        <v/>
      </c>
      <c r="W54" s="130" t="n">
        <v>150</v>
      </c>
      <c r="X54" s="133" t="n">
        <v>2026</v>
      </c>
      <c r="Y54" s="127">
        <f>X54-X52</f>
        <v/>
      </c>
      <c r="Z54" s="129">
        <f>W54/Y54</f>
        <v/>
      </c>
      <c r="AA54" s="28" t="n"/>
      <c r="AB54" s="28" t="n"/>
      <c r="AC54" s="22" t="n"/>
      <c r="AD54" s="23" t="n"/>
      <c r="AE54" s="14">
        <f>AF53</f>
        <v/>
      </c>
      <c r="AF54" s="31" t="n">
        <v>24886</v>
      </c>
      <c r="AG54" s="26">
        <f>AF54-AE54</f>
        <v/>
      </c>
    </row>
    <row r="55">
      <c r="A55" s="17">
        <f>A54</f>
        <v/>
      </c>
      <c r="B55" s="148" t="inlineStr">
        <is>
          <t>NIGHT</t>
        </is>
      </c>
      <c r="C55" s="13">
        <f>D54</f>
        <v/>
      </c>
      <c r="D55" s="8" t="n">
        <v>1383</v>
      </c>
      <c r="E55" s="21">
        <f>D55-C55</f>
        <v/>
      </c>
      <c r="F55" s="128" t="n"/>
      <c r="G55" s="132" t="n"/>
      <c r="H55" s="128" t="n"/>
      <c r="I55" s="128" t="n"/>
      <c r="J55" s="28" t="n"/>
      <c r="K55" s="28" t="n"/>
      <c r="L55" s="22" t="n"/>
      <c r="M55" s="23" t="n"/>
      <c r="N55" s="14">
        <f>O54</f>
        <v/>
      </c>
      <c r="O55" s="31" t="n">
        <v>18600</v>
      </c>
      <c r="P55" s="26">
        <f>O55-N55</f>
        <v/>
      </c>
      <c r="Q55" t="inlineStr">
        <is>
          <t>PANKAJ</t>
        </is>
      </c>
      <c r="R55" s="17">
        <f>R54</f>
        <v/>
      </c>
      <c r="S55" s="148" t="inlineStr">
        <is>
          <t>NIGHT</t>
        </is>
      </c>
      <c r="T55" s="13">
        <f>U54</f>
        <v/>
      </c>
      <c r="U55" s="8" t="n">
        <v>2041</v>
      </c>
      <c r="V55" s="21">
        <f>U55-T55</f>
        <v/>
      </c>
      <c r="W55" s="128" t="n"/>
      <c r="X55" s="132" t="n"/>
      <c r="Y55" s="128" t="n"/>
      <c r="Z55" s="128" t="n"/>
      <c r="AA55" s="28" t="n"/>
      <c r="AB55" s="28" t="n"/>
      <c r="AC55" s="22" t="n"/>
      <c r="AD55" s="23" t="n"/>
      <c r="AE55" s="14">
        <f>AF54</f>
        <v/>
      </c>
      <c r="AF55" s="31" t="n">
        <v>24958</v>
      </c>
      <c r="AG55" s="26">
        <f>AF55-AE55</f>
        <v/>
      </c>
    </row>
    <row r="56">
      <c r="A56" s="17">
        <f>A55+1</f>
        <v/>
      </c>
      <c r="B56" s="148" t="inlineStr">
        <is>
          <t xml:space="preserve">DAY </t>
        </is>
      </c>
      <c r="C56" s="13">
        <f>D55</f>
        <v/>
      </c>
      <c r="D56" s="8" t="n">
        <v>1392</v>
      </c>
      <c r="E56" s="21">
        <f>D56-C56</f>
        <v/>
      </c>
      <c r="F56" s="130" t="n">
        <v>300</v>
      </c>
      <c r="G56" s="133" t="n">
        <v>1387</v>
      </c>
      <c r="H56" s="148">
        <f>G56-G54</f>
        <v/>
      </c>
      <c r="I56" s="129">
        <f>F56/H56</f>
        <v/>
      </c>
      <c r="J56" s="28" t="n"/>
      <c r="K56" s="28" t="n"/>
      <c r="L56" s="22" t="n"/>
      <c r="M56" s="23" t="n"/>
      <c r="N56" s="14">
        <f>O55</f>
        <v/>
      </c>
      <c r="O56" s="31" t="n">
        <v>18712</v>
      </c>
      <c r="P56" s="26">
        <f>O56-N56</f>
        <v/>
      </c>
      <c r="Q56" t="inlineStr">
        <is>
          <t>NAZEER</t>
        </is>
      </c>
      <c r="R56" s="17">
        <f>R55+1</f>
        <v/>
      </c>
      <c r="S56" s="148" t="inlineStr">
        <is>
          <t xml:space="preserve">DAY </t>
        </is>
      </c>
      <c r="T56" s="13">
        <f>U55</f>
        <v/>
      </c>
      <c r="U56" s="8" t="n">
        <v>2051</v>
      </c>
      <c r="V56" s="21">
        <f>U56-T56</f>
        <v/>
      </c>
      <c r="W56" s="130" t="n">
        <v>260</v>
      </c>
      <c r="X56" s="133" t="n">
        <v>2046</v>
      </c>
      <c r="Y56" s="127">
        <f>X56-X54</f>
        <v/>
      </c>
      <c r="Z56" s="129">
        <f>W56/Y56</f>
        <v/>
      </c>
      <c r="AA56" s="28" t="n"/>
      <c r="AB56" s="28" t="n"/>
      <c r="AC56" s="22" t="n"/>
      <c r="AD56" s="23" t="n"/>
      <c r="AE56" s="14">
        <f>AF55</f>
        <v/>
      </c>
      <c r="AF56" s="31" t="n">
        <v>25102</v>
      </c>
      <c r="AG56" s="26">
        <f>AF56-AE56</f>
        <v/>
      </c>
    </row>
    <row r="57">
      <c r="A57" s="17">
        <f>A56</f>
        <v/>
      </c>
      <c r="B57" s="148" t="inlineStr">
        <is>
          <t>NIGHT</t>
        </is>
      </c>
      <c r="C57" s="13">
        <f>D56</f>
        <v/>
      </c>
      <c r="D57" s="8" t="n">
        <v>1396</v>
      </c>
      <c r="E57" s="21">
        <f>D57-C57</f>
        <v/>
      </c>
      <c r="F57" s="128" t="n"/>
      <c r="G57" s="132" t="n"/>
      <c r="H57" s="128" t="n"/>
      <c r="I57" s="128" t="n"/>
      <c r="J57" s="28" t="n"/>
      <c r="K57" s="28" t="n"/>
      <c r="L57" s="22" t="n"/>
      <c r="M57" s="23" t="n"/>
      <c r="N57" s="14">
        <f>O56</f>
        <v/>
      </c>
      <c r="O57" s="31" t="n">
        <v>18763</v>
      </c>
      <c r="P57" s="26">
        <f>O57-N57</f>
        <v/>
      </c>
      <c r="Q57" t="inlineStr">
        <is>
          <t>PANKAJ</t>
        </is>
      </c>
      <c r="R57" s="17">
        <f>R56</f>
        <v/>
      </c>
      <c r="S57" s="148" t="inlineStr">
        <is>
          <t>NIGHT</t>
        </is>
      </c>
      <c r="T57" s="13">
        <f>U56</f>
        <v/>
      </c>
      <c r="U57" s="8" t="n">
        <v>2059</v>
      </c>
      <c r="V57" s="21">
        <f>U57-T57</f>
        <v/>
      </c>
      <c r="W57" s="128" t="n"/>
      <c r="X57" s="132" t="n"/>
      <c r="Y57" s="128" t="n"/>
      <c r="Z57" s="128" t="n"/>
      <c r="AA57" s="28" t="n"/>
      <c r="AB57" s="28" t="n"/>
      <c r="AC57" s="22" t="n"/>
      <c r="AD57" s="23" t="n"/>
      <c r="AE57" s="14">
        <f>AF56</f>
        <v/>
      </c>
      <c r="AF57" s="31" t="n">
        <v>25182</v>
      </c>
      <c r="AG57" s="26">
        <f>AF57-AE57</f>
        <v/>
      </c>
    </row>
    <row r="58">
      <c r="A58" s="17">
        <f>A57+1</f>
        <v/>
      </c>
      <c r="B58" s="148" t="inlineStr">
        <is>
          <t xml:space="preserve">DAY </t>
        </is>
      </c>
      <c r="C58" s="13">
        <f>D57</f>
        <v/>
      </c>
      <c r="D58" s="8" t="n">
        <v>1406</v>
      </c>
      <c r="E58" s="21">
        <f>D58-C58</f>
        <v/>
      </c>
      <c r="F58" s="130" t="n">
        <v>200</v>
      </c>
      <c r="G58" s="133" t="n">
        <v>1402</v>
      </c>
      <c r="H58" s="148">
        <f>G58-G56</f>
        <v/>
      </c>
      <c r="I58" s="129">
        <f>F58/H58</f>
        <v/>
      </c>
      <c r="J58" s="28" t="n"/>
      <c r="K58" s="28" t="n"/>
      <c r="L58" s="22" t="n"/>
      <c r="M58" s="23" t="n"/>
      <c r="N58" s="14">
        <f>O57</f>
        <v/>
      </c>
      <c r="O58" s="31" t="n">
        <v>18882</v>
      </c>
      <c r="P58" s="26">
        <f>O58-N58</f>
        <v/>
      </c>
      <c r="Q58" t="inlineStr">
        <is>
          <t>SAIDULLA</t>
        </is>
      </c>
      <c r="R58" s="17">
        <f>R57+1</f>
        <v/>
      </c>
      <c r="S58" s="148" t="inlineStr">
        <is>
          <t xml:space="preserve">DAY </t>
        </is>
      </c>
      <c r="T58" s="13">
        <f>U57</f>
        <v/>
      </c>
      <c r="U58" s="8" t="n">
        <v>2069</v>
      </c>
      <c r="V58" s="21">
        <f>U58-T58</f>
        <v/>
      </c>
      <c r="W58" s="130" t="n">
        <v>220</v>
      </c>
      <c r="X58" s="133" t="n">
        <v>2064</v>
      </c>
      <c r="Y58" s="127">
        <f>X58-X56</f>
        <v/>
      </c>
      <c r="Z58" s="129">
        <f>W58/Y58</f>
        <v/>
      </c>
      <c r="AA58" s="28" t="n"/>
      <c r="AB58" s="28" t="n"/>
      <c r="AC58" s="22" t="n"/>
      <c r="AD58" s="23" t="n"/>
      <c r="AE58" s="14">
        <f>AF57</f>
        <v/>
      </c>
      <c r="AF58" s="31" t="n">
        <v>25266</v>
      </c>
      <c r="AG58" s="26">
        <f>AF58-AE58</f>
        <v/>
      </c>
    </row>
    <row r="59">
      <c r="A59" s="17">
        <f>A58</f>
        <v/>
      </c>
      <c r="B59" s="148" t="inlineStr">
        <is>
          <t>NIGHT</t>
        </is>
      </c>
      <c r="C59" s="13">
        <f>D58</f>
        <v/>
      </c>
      <c r="D59" s="8" t="n">
        <v>1414</v>
      </c>
      <c r="E59" s="21">
        <f>D59-C59</f>
        <v/>
      </c>
      <c r="F59" s="128" t="n"/>
      <c r="G59" s="132" t="n"/>
      <c r="H59" s="128" t="n"/>
      <c r="I59" s="128" t="n"/>
      <c r="J59" s="28" t="n"/>
      <c r="K59" s="28" t="n"/>
      <c r="L59" s="22" t="n"/>
      <c r="M59" s="23" t="n"/>
      <c r="N59" s="14">
        <f>O58</f>
        <v/>
      </c>
      <c r="O59" s="31" t="n">
        <v>18981</v>
      </c>
      <c r="P59" s="26">
        <f>O59-N59</f>
        <v/>
      </c>
      <c r="Q59" t="inlineStr">
        <is>
          <t>NAZEER</t>
        </is>
      </c>
      <c r="R59" s="17">
        <f>R58</f>
        <v/>
      </c>
      <c r="S59" s="148" t="inlineStr">
        <is>
          <t>NIGHT</t>
        </is>
      </c>
      <c r="T59" s="13">
        <f>U58</f>
        <v/>
      </c>
      <c r="U59" s="8" t="n">
        <v>2077</v>
      </c>
      <c r="V59" s="21">
        <f>U59-T59</f>
        <v/>
      </c>
      <c r="W59" s="128" t="n"/>
      <c r="X59" s="132" t="n"/>
      <c r="Y59" s="128" t="n"/>
      <c r="Z59" s="128" t="n"/>
      <c r="AA59" s="28" t="n"/>
      <c r="AB59" s="28" t="n"/>
      <c r="AC59" s="22" t="n"/>
      <c r="AD59" s="23" t="n"/>
      <c r="AE59" s="14">
        <f>AF58</f>
        <v/>
      </c>
      <c r="AF59" s="31" t="n">
        <v>25376</v>
      </c>
      <c r="AG59" s="26">
        <f>AF59-AE59</f>
        <v/>
      </c>
    </row>
    <row r="60">
      <c r="A60" s="17">
        <f>A59+1</f>
        <v/>
      </c>
      <c r="B60" s="148" t="inlineStr">
        <is>
          <t xml:space="preserve">DAY </t>
        </is>
      </c>
      <c r="C60" s="13">
        <f>D59</f>
        <v/>
      </c>
      <c r="D60" s="8" t="n">
        <v>1423</v>
      </c>
      <c r="E60" s="21">
        <f>D60-C60</f>
        <v/>
      </c>
      <c r="F60" s="130" t="n">
        <v>200</v>
      </c>
      <c r="G60" s="133" t="n">
        <v>1418</v>
      </c>
      <c r="H60" s="148">
        <f>G60-G58</f>
        <v/>
      </c>
      <c r="I60" s="129">
        <f>F60/H60</f>
        <v/>
      </c>
      <c r="J60" s="28" t="n"/>
      <c r="K60" s="28" t="n"/>
      <c r="L60" s="22" t="n"/>
      <c r="M60" s="23" t="n"/>
      <c r="N60" s="14">
        <f>O59</f>
        <v/>
      </c>
      <c r="O60" s="31" t="n">
        <v>19136</v>
      </c>
      <c r="P60" s="26">
        <f>O60-N60</f>
        <v/>
      </c>
      <c r="Q60" t="inlineStr">
        <is>
          <t>PANKAJ</t>
        </is>
      </c>
      <c r="R60" s="17">
        <f>R59+1</f>
        <v/>
      </c>
      <c r="S60" s="148" t="inlineStr">
        <is>
          <t xml:space="preserve">DAY </t>
        </is>
      </c>
      <c r="T60" s="13">
        <f>U59</f>
        <v/>
      </c>
      <c r="U60" s="8" t="n">
        <v>2086</v>
      </c>
      <c r="V60" s="21">
        <f>U60-T60</f>
        <v/>
      </c>
      <c r="W60" s="130" t="n">
        <v>180</v>
      </c>
      <c r="X60" s="134" t="n">
        <v>2079</v>
      </c>
      <c r="Y60" s="127">
        <f>X60-X58</f>
        <v/>
      </c>
      <c r="Z60" s="129">
        <f>W60/Y60</f>
        <v/>
      </c>
      <c r="AA60" s="28" t="n"/>
      <c r="AB60" s="28" t="n"/>
      <c r="AC60" s="22" t="n"/>
      <c r="AD60" s="23" t="n"/>
      <c r="AE60" s="14">
        <f>AF59</f>
        <v/>
      </c>
      <c r="AF60" s="31" t="n">
        <v>25531</v>
      </c>
      <c r="AG60" s="26">
        <f>AF60-AE60</f>
        <v/>
      </c>
    </row>
    <row r="61">
      <c r="A61" s="17">
        <f>A60</f>
        <v/>
      </c>
      <c r="B61" s="148" t="inlineStr">
        <is>
          <t>NIGHT</t>
        </is>
      </c>
      <c r="C61" s="13">
        <f>D60</f>
        <v/>
      </c>
      <c r="D61" s="8" t="n">
        <v>1433</v>
      </c>
      <c r="E61" s="21">
        <f>D61-C61</f>
        <v/>
      </c>
      <c r="F61" s="128" t="n"/>
      <c r="G61" s="132" t="n"/>
      <c r="H61" s="128" t="n"/>
      <c r="I61" s="128" t="n"/>
      <c r="J61" s="28" t="n"/>
      <c r="K61" s="28" t="n"/>
      <c r="L61" s="22" t="n"/>
      <c r="M61" s="23" t="n"/>
      <c r="N61" s="14">
        <f>O60</f>
        <v/>
      </c>
      <c r="O61" s="31" t="n">
        <v>19293</v>
      </c>
      <c r="P61" s="26">
        <f>O61-N61</f>
        <v/>
      </c>
      <c r="Q61" t="inlineStr">
        <is>
          <t>KANHAIYA</t>
        </is>
      </c>
      <c r="R61" s="17">
        <f>R60</f>
        <v/>
      </c>
      <c r="S61" s="148" t="inlineStr">
        <is>
          <t>NIGHT</t>
        </is>
      </c>
      <c r="T61" s="13">
        <f>U60</f>
        <v/>
      </c>
      <c r="U61" s="8" t="n">
        <v>2096</v>
      </c>
      <c r="V61" s="21">
        <f>U61-T61</f>
        <v/>
      </c>
      <c r="W61" s="130" t="n">
        <v>180</v>
      </c>
      <c r="X61" s="134" t="n">
        <v>2096</v>
      </c>
      <c r="Y61" s="127">
        <f>X61-X60</f>
        <v/>
      </c>
      <c r="Z61" s="156">
        <f>W61/Y61</f>
        <v/>
      </c>
      <c r="AA61" s="28" t="n"/>
      <c r="AB61" s="28" t="n"/>
      <c r="AC61" s="22" t="n"/>
      <c r="AD61" s="23" t="n"/>
      <c r="AE61" s="14">
        <f>AF60</f>
        <v/>
      </c>
      <c r="AF61" s="31" t="n">
        <v>25679</v>
      </c>
      <c r="AG61" s="26">
        <f>AF61-AE61</f>
        <v/>
      </c>
    </row>
    <row r="62">
      <c r="A62" s="17">
        <f>A61+1</f>
        <v/>
      </c>
      <c r="B62" s="148" t="inlineStr">
        <is>
          <t xml:space="preserve">DAY </t>
        </is>
      </c>
      <c r="C62" s="13">
        <f>D61</f>
        <v/>
      </c>
      <c r="D62" s="8" t="n">
        <v>1443</v>
      </c>
      <c r="E62" s="21">
        <f>D62-C62</f>
        <v/>
      </c>
      <c r="F62" s="130" t="n">
        <v>160</v>
      </c>
      <c r="G62" s="133" t="n">
        <v>1433</v>
      </c>
      <c r="H62" s="148">
        <f>G62-G60</f>
        <v/>
      </c>
      <c r="I62" s="129">
        <f>F62/H62</f>
        <v/>
      </c>
      <c r="J62" s="18" t="n"/>
      <c r="K62" s="18" t="n"/>
      <c r="L62" s="22" t="n"/>
      <c r="M62" s="23" t="n"/>
      <c r="N62" s="14">
        <f>O61</f>
        <v/>
      </c>
      <c r="O62" s="31" t="n">
        <v>19505</v>
      </c>
      <c r="P62" s="26">
        <f>O62-N62</f>
        <v/>
      </c>
      <c r="Q62" t="inlineStr">
        <is>
          <t>PANKAJ</t>
        </is>
      </c>
      <c r="R62" s="17">
        <f>R61+1</f>
        <v/>
      </c>
      <c r="S62" s="148" t="inlineStr">
        <is>
          <t xml:space="preserve">DAY </t>
        </is>
      </c>
      <c r="T62" s="13">
        <f>U61</f>
        <v/>
      </c>
      <c r="U62" s="8" t="n">
        <v>2107</v>
      </c>
      <c r="V62" s="21">
        <f>U62-T62</f>
        <v/>
      </c>
      <c r="W62" s="130" t="n"/>
      <c r="X62" s="133" t="n"/>
      <c r="Y62" s="127" t="n"/>
      <c r="Z62" s="129" t="n"/>
      <c r="AA62" s="28" t="n"/>
      <c r="AB62" s="28" t="n"/>
      <c r="AC62" s="22" t="n"/>
      <c r="AD62" s="23" t="n"/>
      <c r="AE62" s="14">
        <f>AF61</f>
        <v/>
      </c>
      <c r="AF62" s="31" t="n">
        <v>25861</v>
      </c>
      <c r="AG62" s="26">
        <f>AF62-AE62</f>
        <v/>
      </c>
    </row>
    <row r="63">
      <c r="A63" s="17">
        <f>A62</f>
        <v/>
      </c>
      <c r="B63" s="148" t="inlineStr">
        <is>
          <t>NIGHT</t>
        </is>
      </c>
      <c r="C63" s="13">
        <f>D62</f>
        <v/>
      </c>
      <c r="D63" s="8" t="n">
        <v>1453</v>
      </c>
      <c r="E63" s="21">
        <f>D63-C63</f>
        <v/>
      </c>
      <c r="F63" s="128" t="n"/>
      <c r="G63" s="132" t="n"/>
      <c r="H63" s="128" t="n"/>
      <c r="I63" s="128" t="n"/>
      <c r="J63" s="18" t="n"/>
      <c r="K63" s="18" t="n"/>
      <c r="L63" s="67" t="n"/>
      <c r="M63" s="68" t="n"/>
      <c r="N63" s="14">
        <f>O62</f>
        <v/>
      </c>
      <c r="O63" s="69" t="n">
        <v>19638</v>
      </c>
      <c r="P63" s="65">
        <f>O63-N63</f>
        <v/>
      </c>
      <c r="Q63" t="inlineStr">
        <is>
          <t>SAIDULLA</t>
        </is>
      </c>
      <c r="R63" s="17">
        <f>R62</f>
        <v/>
      </c>
      <c r="S63" s="148" t="inlineStr">
        <is>
          <t>NIGHT</t>
        </is>
      </c>
      <c r="T63" s="13">
        <f>U62</f>
        <v/>
      </c>
      <c r="U63" s="8" t="n">
        <v>2118</v>
      </c>
      <c r="V63" s="21">
        <f>U63-T63</f>
        <v/>
      </c>
      <c r="W63" s="128" t="n"/>
      <c r="X63" s="132" t="n"/>
      <c r="Y63" s="128" t="n"/>
      <c r="Z63" s="128" t="n"/>
      <c r="AA63" s="28" t="n"/>
      <c r="AB63" s="28" t="n"/>
      <c r="AC63" s="22" t="n"/>
      <c r="AD63" s="23" t="n"/>
      <c r="AE63" s="14">
        <f>AF62</f>
        <v/>
      </c>
      <c r="AF63" s="31" t="n">
        <v>26063</v>
      </c>
      <c r="AG63" s="26">
        <f>AF63-AE63</f>
        <v/>
      </c>
    </row>
    <row r="64">
      <c r="A64" s="17">
        <f>A63+1</f>
        <v/>
      </c>
      <c r="B64" s="148" t="inlineStr">
        <is>
          <t xml:space="preserve">DAY </t>
        </is>
      </c>
      <c r="C64" s="13">
        <f>D63</f>
        <v/>
      </c>
      <c r="D64" s="8" t="n">
        <v>1462</v>
      </c>
      <c r="E64" s="21">
        <f>D64-C64</f>
        <v/>
      </c>
      <c r="F64" s="130" t="n">
        <v>370</v>
      </c>
      <c r="G64" s="133" t="n">
        <v>1456</v>
      </c>
      <c r="H64" s="148">
        <f>G64-G62</f>
        <v/>
      </c>
      <c r="I64" s="129">
        <f>F64/H64</f>
        <v/>
      </c>
      <c r="J64" s="18" t="n"/>
      <c r="K64" s="18" t="n"/>
      <c r="L64" s="22" t="n"/>
      <c r="M64" s="23" t="n"/>
      <c r="N64" s="14">
        <f>O63</f>
        <v/>
      </c>
      <c r="O64" s="31" t="n">
        <v>19777</v>
      </c>
      <c r="P64" s="26">
        <f>O64-N64</f>
        <v/>
      </c>
      <c r="Q64" t="inlineStr">
        <is>
          <t>PANKAJ</t>
        </is>
      </c>
      <c r="R64" s="17">
        <f>R63+1</f>
        <v/>
      </c>
      <c r="S64" s="148" t="inlineStr">
        <is>
          <t xml:space="preserve">DAY </t>
        </is>
      </c>
      <c r="T64" s="13">
        <f>U63</f>
        <v/>
      </c>
      <c r="U64" s="8" t="n">
        <v>2127</v>
      </c>
      <c r="V64" s="21">
        <f>U64-T64</f>
        <v/>
      </c>
      <c r="W64" s="130" t="n">
        <v>380</v>
      </c>
      <c r="X64" s="133" t="n">
        <v>2121</v>
      </c>
      <c r="Y64" s="127">
        <f>X64-X61</f>
        <v/>
      </c>
      <c r="Z64" s="129">
        <f>W64/Y64</f>
        <v/>
      </c>
      <c r="AA64" s="28" t="n"/>
      <c r="AB64" s="28" t="n"/>
      <c r="AC64" s="22" t="n"/>
      <c r="AD64" s="23" t="n"/>
      <c r="AE64" s="14">
        <f>AF63</f>
        <v/>
      </c>
      <c r="AF64" s="31" t="n">
        <v>26270</v>
      </c>
      <c r="AG64" s="26">
        <f>AF64-AE64</f>
        <v/>
      </c>
      <c r="AH64" t="inlineStr">
        <is>
          <t>RAJKUMAR</t>
        </is>
      </c>
    </row>
    <row r="65" ht="15.75" customHeight="1" s="140" thickBot="1">
      <c r="A65" s="17">
        <f>A64</f>
        <v/>
      </c>
      <c r="B65" s="148" t="inlineStr">
        <is>
          <t>NIGHT</t>
        </is>
      </c>
      <c r="C65" s="13">
        <f>D64</f>
        <v/>
      </c>
      <c r="D65" s="8" t="n">
        <v>1471</v>
      </c>
      <c r="E65" s="21">
        <f>D65-C65</f>
        <v/>
      </c>
      <c r="F65" s="128" t="n"/>
      <c r="G65" s="132" t="n"/>
      <c r="H65" s="128" t="n"/>
      <c r="I65" s="128" t="n"/>
      <c r="J65" s="66" t="n"/>
      <c r="K65" s="66" t="n"/>
      <c r="L65" s="67" t="n"/>
      <c r="M65" s="68" t="n"/>
      <c r="N65" s="14">
        <f>O64</f>
        <v/>
      </c>
      <c r="O65" s="69" t="n">
        <v>19882</v>
      </c>
      <c r="P65" s="65">
        <f>O65-N65</f>
        <v/>
      </c>
      <c r="Q65" t="inlineStr">
        <is>
          <t>SAIDULLA</t>
        </is>
      </c>
      <c r="R65" s="17">
        <f>R64</f>
        <v/>
      </c>
      <c r="S65" s="148" t="inlineStr">
        <is>
          <t>NIGHT</t>
        </is>
      </c>
      <c r="T65" s="13">
        <f>U64</f>
        <v/>
      </c>
      <c r="U65" s="8" t="n">
        <v>2137</v>
      </c>
      <c r="V65" s="21">
        <f>U65-T65</f>
        <v/>
      </c>
      <c r="W65" s="128" t="n"/>
      <c r="X65" s="132" t="n"/>
      <c r="Y65" s="128" t="n"/>
      <c r="Z65" s="128" t="n"/>
      <c r="AA65" s="28" t="n"/>
      <c r="AB65" s="28" t="n"/>
      <c r="AC65" s="22" t="n"/>
      <c r="AD65" s="23" t="n"/>
      <c r="AE65" s="14">
        <f>AF64</f>
        <v/>
      </c>
      <c r="AF65" s="31" t="n">
        <v>26442</v>
      </c>
      <c r="AG65" s="26">
        <f>AF65-AE65</f>
        <v/>
      </c>
      <c r="AH65" t="inlineStr">
        <is>
          <t>KANHAIYA</t>
        </is>
      </c>
    </row>
    <row r="66" ht="16.5" customHeight="1" s="140" thickBot="1">
      <c r="A66" s="145" t="inlineStr">
        <is>
          <t>TOTAL Running Hours:</t>
        </is>
      </c>
      <c r="B66" s="143" t="n"/>
      <c r="C66" s="143" t="n"/>
      <c r="D66" s="146" t="n"/>
      <c r="E66" s="161">
        <f>SUBTOTAL(9,E4:E65)</f>
        <v/>
      </c>
      <c r="F66" s="161">
        <f>SUBTOTAL(9,F4:F65)</f>
        <v/>
      </c>
      <c r="G66" s="71" t="n"/>
      <c r="H66" s="71" t="n"/>
      <c r="I66" s="36">
        <f>F66/E66</f>
        <v/>
      </c>
      <c r="J66" s="135" t="n"/>
      <c r="K66" s="136" t="n"/>
      <c r="L66" s="136" t="n"/>
      <c r="M66" s="137" t="n"/>
      <c r="N66" s="135" t="n"/>
      <c r="O66" s="135" t="n"/>
      <c r="P66" s="161">
        <f>SUBTOTAL(9,P4:P65)</f>
        <v/>
      </c>
      <c r="R66" s="145" t="inlineStr">
        <is>
          <t xml:space="preserve">TOTAL Running Hours: </t>
        </is>
      </c>
      <c r="S66" s="143" t="n"/>
      <c r="T66" s="143" t="n"/>
      <c r="U66" s="146" t="n"/>
      <c r="V66" s="161">
        <f>SUBTOTAL(9,V4:V65)</f>
        <v/>
      </c>
      <c r="W66" s="161">
        <f>SUBTOTAL(9,W4:W65)</f>
        <v/>
      </c>
      <c r="X66" s="71" t="n"/>
      <c r="Y66" s="71" t="n"/>
      <c r="Z66" s="36">
        <f>W66/V66</f>
        <v/>
      </c>
      <c r="AA66" s="135" t="n"/>
      <c r="AB66" s="136" t="n"/>
      <c r="AC66" s="136" t="n"/>
      <c r="AD66" s="137" t="n"/>
      <c r="AE66" s="161" t="n"/>
      <c r="AF66" s="161" t="n"/>
      <c r="AG66" s="161">
        <f>SUBTOTAL(9,AG4:AG65)</f>
        <v/>
      </c>
    </row>
    <row r="67">
      <c r="C67" t="inlineStr">
        <is>
          <t>Maximum Running</t>
        </is>
      </c>
      <c r="E67" s="87" t="n">
        <v>540</v>
      </c>
      <c r="T67" t="inlineStr">
        <is>
          <t>Maximum Running</t>
        </is>
      </c>
      <c r="V67" s="87" t="n">
        <v>540</v>
      </c>
    </row>
    <row r="68">
      <c r="C68" t="inlineStr">
        <is>
          <t>Extra Running</t>
        </is>
      </c>
      <c r="E68" s="88">
        <f>E66-E67</f>
        <v/>
      </c>
      <c r="T68" t="inlineStr">
        <is>
          <t>Extra Running</t>
        </is>
      </c>
      <c r="V68" s="88">
        <f>V66-V67</f>
        <v/>
      </c>
    </row>
    <row r="70">
      <c r="C70" t="inlineStr">
        <is>
          <t>Raise tax invoice with full hiring charges</t>
        </is>
      </c>
      <c r="R70" t="inlineStr">
        <is>
          <t>Raise tax invoice with full hiring charges</t>
        </is>
      </c>
    </row>
    <row r="71">
      <c r="C71" t="inlineStr">
        <is>
          <t>Poonam Goswami</t>
        </is>
      </c>
      <c r="R71" t="inlineStr">
        <is>
          <t>Poonam Goswami</t>
        </is>
      </c>
    </row>
    <row r="72">
      <c r="C72" s="123" t="n">
        <v>46280</v>
      </c>
      <c r="R72" s="123" t="n">
        <v>46280</v>
      </c>
    </row>
    <row r="73">
      <c r="C73" t="inlineStr">
        <is>
          <t>No excessive running hours Bill raised as per Amit ji and Vikas Sir</t>
        </is>
      </c>
      <c r="R73" t="inlineStr">
        <is>
          <t>No excessive running hours Bill raised as per Amit ji and Vikas Sir</t>
        </is>
      </c>
    </row>
  </sheetData>
  <mergeCells count="252">
    <mergeCell ref="Y24:Y25"/>
    <mergeCell ref="H26:H27"/>
    <mergeCell ref="I32:I33"/>
    <mergeCell ref="F44:F45"/>
    <mergeCell ref="Z26:Z27"/>
    <mergeCell ref="I54:I55"/>
    <mergeCell ref="G8:G9"/>
    <mergeCell ref="G48:G49"/>
    <mergeCell ref="X16:X17"/>
    <mergeCell ref="H50:H51"/>
    <mergeCell ref="I16:I17"/>
    <mergeCell ref="Y26:Y27"/>
    <mergeCell ref="Z12:Z13"/>
    <mergeCell ref="G10:G11"/>
    <mergeCell ref="I26:I27"/>
    <mergeCell ref="W16:W17"/>
    <mergeCell ref="Y10:Y11"/>
    <mergeCell ref="F30:F31"/>
    <mergeCell ref="F18:F19"/>
    <mergeCell ref="H34:H35"/>
    <mergeCell ref="H52:H53"/>
    <mergeCell ref="I18:I19"/>
    <mergeCell ref="F26:F27"/>
    <mergeCell ref="F42:F43"/>
    <mergeCell ref="X28:X29"/>
    <mergeCell ref="H36:H37"/>
    <mergeCell ref="W50:W51"/>
    <mergeCell ref="G18:G19"/>
    <mergeCell ref="Y50:Y51"/>
    <mergeCell ref="G58:G59"/>
    <mergeCell ref="I58:I59"/>
    <mergeCell ref="F62:F63"/>
    <mergeCell ref="X30:X31"/>
    <mergeCell ref="Y16:Y17"/>
    <mergeCell ref="W52:W53"/>
    <mergeCell ref="I42:I43"/>
    <mergeCell ref="G60:G61"/>
    <mergeCell ref="Y52:Y53"/>
    <mergeCell ref="X14:X15"/>
    <mergeCell ref="H28:H29"/>
    <mergeCell ref="I20:I21"/>
    <mergeCell ref="F28:F29"/>
    <mergeCell ref="F64:F65"/>
    <mergeCell ref="I60:I61"/>
    <mergeCell ref="W42:W43"/>
    <mergeCell ref="H24:H25"/>
    <mergeCell ref="Y36:Y37"/>
    <mergeCell ref="Y18:Y19"/>
    <mergeCell ref="G44:G45"/>
    <mergeCell ref="G50:G51"/>
    <mergeCell ref="G22:G23"/>
    <mergeCell ref="I44:I45"/>
    <mergeCell ref="I50:I51"/>
    <mergeCell ref="F48:F49"/>
    <mergeCell ref="H48:H49"/>
    <mergeCell ref="H30:H31"/>
    <mergeCell ref="X56:X57"/>
    <mergeCell ref="H8:H9"/>
    <mergeCell ref="G12:G13"/>
    <mergeCell ref="Y42:Y43"/>
    <mergeCell ref="I6:I7"/>
    <mergeCell ref="X46:X47"/>
    <mergeCell ref="W44:W45"/>
    <mergeCell ref="Z46:Z47"/>
    <mergeCell ref="F34:F35"/>
    <mergeCell ref="W28:W29"/>
    <mergeCell ref="F16:F17"/>
    <mergeCell ref="H10:H11"/>
    <mergeCell ref="W6:W7"/>
    <mergeCell ref="G36:G37"/>
    <mergeCell ref="Y62:Y63"/>
    <mergeCell ref="I30:I31"/>
    <mergeCell ref="F40:F41"/>
    <mergeCell ref="X48:X49"/>
    <mergeCell ref="AA66:AD66"/>
    <mergeCell ref="F36:F37"/>
    <mergeCell ref="W30:W31"/>
    <mergeCell ref="Y30:Y31"/>
    <mergeCell ref="W64:W65"/>
    <mergeCell ref="Z32:Z33"/>
    <mergeCell ref="Y64:Y65"/>
    <mergeCell ref="F20:F21"/>
    <mergeCell ref="X34:X35"/>
    <mergeCell ref="Z50:Z51"/>
    <mergeCell ref="W54:W55"/>
    <mergeCell ref="W32:W33"/>
    <mergeCell ref="Y54:Y55"/>
    <mergeCell ref="G62:G63"/>
    <mergeCell ref="I62:I63"/>
    <mergeCell ref="I56:I57"/>
    <mergeCell ref="F22:F23"/>
    <mergeCell ref="H22:H23"/>
    <mergeCell ref="Z52:Z53"/>
    <mergeCell ref="W56:W57"/>
    <mergeCell ref="G64:G65"/>
    <mergeCell ref="Y34:Y35"/>
    <mergeCell ref="Z18:Z19"/>
    <mergeCell ref="X42:X43"/>
    <mergeCell ref="X20:X21"/>
    <mergeCell ref="J1:M1"/>
    <mergeCell ref="Z42:Z43"/>
    <mergeCell ref="Z20:Z21"/>
    <mergeCell ref="Z14:Z15"/>
    <mergeCell ref="Y40:Y41"/>
    <mergeCell ref="I48:I49"/>
    <mergeCell ref="W18:W19"/>
    <mergeCell ref="X4:X5"/>
    <mergeCell ref="W8:W9"/>
    <mergeCell ref="Z4:Z5"/>
    <mergeCell ref="X22:X23"/>
    <mergeCell ref="I38:I39"/>
    <mergeCell ref="X44:X45"/>
    <mergeCell ref="H12:H13"/>
    <mergeCell ref="F46:F47"/>
    <mergeCell ref="R1:Z1"/>
    <mergeCell ref="I34:I35"/>
    <mergeCell ref="Z28:Z29"/>
    <mergeCell ref="W58:W59"/>
    <mergeCell ref="Z6:Z7"/>
    <mergeCell ref="G26:G27"/>
    <mergeCell ref="H62:H63"/>
    <mergeCell ref="W10:W11"/>
    <mergeCell ref="H14:H15"/>
    <mergeCell ref="F4:F5"/>
    <mergeCell ref="H4:H5"/>
    <mergeCell ref="A1:I1"/>
    <mergeCell ref="Y38:Y39"/>
    <mergeCell ref="F10:F11"/>
    <mergeCell ref="F54:F55"/>
    <mergeCell ref="F24:F25"/>
    <mergeCell ref="H54:H55"/>
    <mergeCell ref="Z54:Z55"/>
    <mergeCell ref="G52:G53"/>
    <mergeCell ref="Y58:Y59"/>
    <mergeCell ref="H38:H39"/>
    <mergeCell ref="Y14:Y15"/>
    <mergeCell ref="G42:G43"/>
    <mergeCell ref="I36:I37"/>
    <mergeCell ref="Z16:Z17"/>
    <mergeCell ref="H56:H57"/>
    <mergeCell ref="Z56:Z57"/>
    <mergeCell ref="I46:I47"/>
    <mergeCell ref="X32:X33"/>
    <mergeCell ref="G38:G39"/>
    <mergeCell ref="H58:H59"/>
    <mergeCell ref="H40:H41"/>
    <mergeCell ref="X24:X25"/>
    <mergeCell ref="F8:F9"/>
    <mergeCell ref="Z8:Z9"/>
    <mergeCell ref="G28:G29"/>
    <mergeCell ref="G6:G7"/>
    <mergeCell ref="H60:H61"/>
    <mergeCell ref="G24:G25"/>
    <mergeCell ref="F50:F51"/>
    <mergeCell ref="X58:X59"/>
    <mergeCell ref="X18:X19"/>
    <mergeCell ref="I24:I25"/>
    <mergeCell ref="Z58:Z59"/>
    <mergeCell ref="X10:X11"/>
    <mergeCell ref="W62:W63"/>
    <mergeCell ref="Z10:Z11"/>
    <mergeCell ref="G30:G31"/>
    <mergeCell ref="I8:I9"/>
    <mergeCell ref="H16:H17"/>
    <mergeCell ref="W46:W47"/>
    <mergeCell ref="F52:F53"/>
    <mergeCell ref="Y46:Y47"/>
    <mergeCell ref="Y28:Y29"/>
    <mergeCell ref="G16:G17"/>
    <mergeCell ref="I10:I11"/>
    <mergeCell ref="X50:X51"/>
    <mergeCell ref="H18:H19"/>
    <mergeCell ref="F14:F15"/>
    <mergeCell ref="W48:W49"/>
    <mergeCell ref="Z44:Z45"/>
    <mergeCell ref="Y48:Y49"/>
    <mergeCell ref="G56:G57"/>
    <mergeCell ref="Y8:Y9"/>
    <mergeCell ref="Z34:Z35"/>
    <mergeCell ref="X12:X13"/>
    <mergeCell ref="W38:W39"/>
    <mergeCell ref="H20:H21"/>
    <mergeCell ref="H42:H43"/>
    <mergeCell ref="X52:X53"/>
    <mergeCell ref="W34:W35"/>
    <mergeCell ref="X36:X37"/>
    <mergeCell ref="F6:F7"/>
    <mergeCell ref="Z36:Z37"/>
    <mergeCell ref="Z30:Z31"/>
    <mergeCell ref="W40:W41"/>
    <mergeCell ref="H44:H45"/>
    <mergeCell ref="J66:M66"/>
    <mergeCell ref="R66:U66"/>
    <mergeCell ref="W36:W37"/>
    <mergeCell ref="F12:F13"/>
    <mergeCell ref="H6:H7"/>
    <mergeCell ref="H64:H65"/>
    <mergeCell ref="W20:W21"/>
    <mergeCell ref="Y20:Y21"/>
    <mergeCell ref="G34:G35"/>
    <mergeCell ref="X6:X7"/>
    <mergeCell ref="I22:I23"/>
    <mergeCell ref="Z22:Z23"/>
    <mergeCell ref="W26:W27"/>
    <mergeCell ref="I28:I29"/>
    <mergeCell ref="F32:F33"/>
    <mergeCell ref="X62:X63"/>
    <mergeCell ref="Z62:Z63"/>
    <mergeCell ref="W24:W25"/>
    <mergeCell ref="W22:W23"/>
    <mergeCell ref="I12:I13"/>
    <mergeCell ref="Y44:Y45"/>
    <mergeCell ref="Y22:Y23"/>
    <mergeCell ref="H46:H47"/>
    <mergeCell ref="I52:I53"/>
    <mergeCell ref="F56:F57"/>
    <mergeCell ref="X64:X65"/>
    <mergeCell ref="Z64:Z65"/>
    <mergeCell ref="W12:W13"/>
    <mergeCell ref="G20:G21"/>
    <mergeCell ref="Y6:Y7"/>
    <mergeCell ref="AA1:AD1"/>
    <mergeCell ref="G14:G15"/>
    <mergeCell ref="I14:I15"/>
    <mergeCell ref="X54:X55"/>
    <mergeCell ref="Z48:Z49"/>
    <mergeCell ref="F38:F39"/>
    <mergeCell ref="G4:G5"/>
    <mergeCell ref="H32:H33"/>
    <mergeCell ref="Y12:Y13"/>
    <mergeCell ref="I4:I5"/>
    <mergeCell ref="W14:W15"/>
    <mergeCell ref="X38:X39"/>
    <mergeCell ref="Z38:Z39"/>
    <mergeCell ref="I64:I65"/>
    <mergeCell ref="G54:G55"/>
    <mergeCell ref="G32:G33"/>
    <mergeCell ref="F58:F59"/>
    <mergeCell ref="A66:D66"/>
    <mergeCell ref="X26:X27"/>
    <mergeCell ref="Y32:Y33"/>
    <mergeCell ref="X40:X41"/>
    <mergeCell ref="Z40:Z41"/>
    <mergeCell ref="W4:W5"/>
    <mergeCell ref="Y4:Y5"/>
    <mergeCell ref="X8:X9"/>
    <mergeCell ref="Z24:Z25"/>
    <mergeCell ref="Y56:Y57"/>
    <mergeCell ref="F60:F61"/>
    <mergeCell ref="G46:G47"/>
    <mergeCell ref="G40:G41"/>
    <mergeCell ref="I40:I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6"/>
  <sheetViews>
    <sheetView tabSelected="1" zoomScaleNormal="100" workbookViewId="0">
      <pane xSplit="2" ySplit="3" topLeftCell="G4" activePane="bottomRight" state="frozen"/>
      <selection activeCell="F64" sqref="F64:F65"/>
      <selection pane="topRight" activeCell="F64" sqref="F64:F65"/>
      <selection pane="bottomLeft" activeCell="F64" sqref="F64:F65"/>
      <selection pane="bottomRight" activeCell="Q3" sqref="Q3"/>
    </sheetView>
  </sheetViews>
  <sheetFormatPr baseColWidth="8" defaultRowHeight="15"/>
  <cols>
    <col width="23.28515625" bestFit="1" customWidth="1" style="140" min="1" max="1"/>
    <col width="6.5703125" bestFit="1" customWidth="1" style="140" min="2" max="2"/>
    <col width="9" bestFit="1" customWidth="1" style="140" min="3" max="4"/>
    <col width="10.140625" bestFit="1" customWidth="1" style="140" min="5" max="5"/>
    <col width="17" bestFit="1" customWidth="1" style="140" min="6" max="6"/>
    <col width="16.7109375" bestFit="1" customWidth="1" style="140" min="7" max="7"/>
    <col width="7.28515625" bestFit="1" customWidth="1" style="140" min="8" max="8"/>
    <col width="30.85546875" bestFit="1" customWidth="1" style="140" min="9" max="9"/>
    <col width="14.7109375" bestFit="1" customWidth="1" style="140" min="10" max="10"/>
    <col width="13.85546875" bestFit="1" customWidth="1" style="140" min="11" max="11"/>
    <col width="10.42578125" bestFit="1" customWidth="1" style="140" min="12" max="12"/>
    <col width="8.5703125" bestFit="1" customWidth="1" style="140" min="13" max="15"/>
    <col width="6.7109375" bestFit="1" customWidth="1" style="140" min="16" max="16"/>
    <col width="10.7109375" bestFit="1" customWidth="1" style="140" min="17" max="18"/>
    <col width="6.5703125" bestFit="1" customWidth="1" style="140" min="19" max="19"/>
    <col width="9" bestFit="1" customWidth="1" style="140" min="20" max="21"/>
    <col width="10.140625" bestFit="1" customWidth="1" style="140" min="22" max="22"/>
    <col width="17" bestFit="1" customWidth="1" style="140" min="23" max="23"/>
    <col width="16.7109375" bestFit="1" customWidth="1" style="140" min="24" max="24"/>
    <col width="7.28515625" bestFit="1" customWidth="1" style="140" min="25" max="25"/>
    <col width="30.85546875" bestFit="1" customWidth="1" style="140" min="26" max="26"/>
    <col width="14.7109375" bestFit="1" customWidth="1" style="140" min="27" max="27"/>
    <col width="13.85546875" bestFit="1" customWidth="1" style="140" min="28" max="28"/>
    <col width="10.42578125" bestFit="1" customWidth="1" style="140" min="29" max="29"/>
    <col width="8.5703125" bestFit="1" customWidth="1" style="140" min="30" max="32"/>
    <col width="6.7109375" bestFit="1" customWidth="1" style="140" min="33" max="33"/>
    <col width="10.7109375" bestFit="1" customWidth="1" style="140" min="34" max="34"/>
  </cols>
  <sheetData>
    <row r="1" ht="19.5" customHeight="1" s="140" thickBot="1">
      <c r="A1" s="142" t="inlineStr">
        <is>
          <t>NEW MACHINE NO - SANY-8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39" t="inlineStr">
        <is>
          <t>BREAKDOWN TIME/Cooling</t>
        </is>
      </c>
      <c r="N1" s="43" t="n"/>
      <c r="O1" s="43" t="n"/>
      <c r="P1" s="44" t="n"/>
      <c r="R1" s="142" t="inlineStr">
        <is>
          <t>NEW MACHINE NO - SANY-9</t>
        </is>
      </c>
      <c r="S1" s="143" t="n"/>
      <c r="T1" s="143" t="n"/>
      <c r="U1" s="143" t="n"/>
      <c r="V1" s="143" t="n"/>
      <c r="W1" s="143" t="n"/>
      <c r="X1" s="143" t="n"/>
      <c r="Y1" s="143" t="n"/>
      <c r="Z1" s="143" t="n"/>
      <c r="AA1" s="139" t="inlineStr">
        <is>
          <t>BREAKDOWN TIME/Cooling</t>
        </is>
      </c>
      <c r="AE1" s="43" t="n"/>
      <c r="AF1" s="43" t="n"/>
      <c r="AG1" s="44" t="n"/>
    </row>
    <row r="2" ht="48" customHeight="1" s="140" thickBot="1">
      <c r="A2" s="55" t="inlineStr">
        <is>
          <t>Date</t>
        </is>
      </c>
      <c r="B2" s="56" t="inlineStr">
        <is>
          <t>Shift</t>
        </is>
      </c>
      <c r="C2" s="57" t="inlineStr">
        <is>
          <t>Starting HMR</t>
        </is>
      </c>
      <c r="D2" s="57" t="inlineStr">
        <is>
          <t>Closing HMR</t>
        </is>
      </c>
      <c r="E2" s="58" t="inlineStr">
        <is>
          <t>HOURS</t>
        </is>
      </c>
      <c r="F2" s="59" t="inlineStr">
        <is>
          <t>Diesel Issued (Ltr)</t>
        </is>
      </c>
      <c r="G2" s="56" t="inlineStr">
        <is>
          <t>HMR at Diesel Fill</t>
        </is>
      </c>
      <c r="H2" s="56" t="inlineStr">
        <is>
          <t>HOURS</t>
        </is>
      </c>
      <c r="I2" s="58" t="inlineStr">
        <is>
          <t>Avg. Diesel Consumption (Ltr/Hr)</t>
        </is>
      </c>
      <c r="J2" s="60" t="inlineStr">
        <is>
          <t>Shift Start Time</t>
        </is>
      </c>
      <c r="K2" s="60" t="inlineStr">
        <is>
          <t>Shift End Time</t>
        </is>
      </c>
      <c r="L2" s="60" t="inlineStr">
        <is>
          <t>TOTAL HRS</t>
        </is>
      </c>
      <c r="M2" s="60" t="inlineStr">
        <is>
          <t>Remarks</t>
        </is>
      </c>
      <c r="N2" s="53" t="inlineStr">
        <is>
          <t>Container Start Count</t>
        </is>
      </c>
      <c r="O2" s="53" t="inlineStr">
        <is>
          <t>Container End Count</t>
        </is>
      </c>
      <c r="P2" s="60" t="inlineStr">
        <is>
          <t>Total</t>
        </is>
      </c>
      <c r="Q2" t="inlineStr">
        <is>
          <t>Remark</t>
        </is>
      </c>
      <c r="R2" s="37" t="inlineStr">
        <is>
          <t>Date</t>
        </is>
      </c>
      <c r="S2" s="38" t="inlineStr">
        <is>
          <t>Shift</t>
        </is>
      </c>
      <c r="T2" s="57" t="inlineStr">
        <is>
          <t>Starting HMR</t>
        </is>
      </c>
      <c r="U2" s="57" t="inlineStr">
        <is>
          <t>Closing HMR</t>
        </is>
      </c>
      <c r="V2" s="58" t="inlineStr">
        <is>
          <t>HOURS</t>
        </is>
      </c>
      <c r="W2" s="59" t="inlineStr">
        <is>
          <t>Diesel Issued (Ltr)</t>
        </is>
      </c>
      <c r="X2" s="56" t="inlineStr">
        <is>
          <t>HMR at Diesel Fill</t>
        </is>
      </c>
      <c r="Y2" s="56" t="inlineStr">
        <is>
          <t>HOURS</t>
        </is>
      </c>
      <c r="Z2" s="58" t="inlineStr">
        <is>
          <t>Avg. Diesel Consumption (Ltr/Hr)</t>
        </is>
      </c>
      <c r="AA2" s="60" t="inlineStr">
        <is>
          <t>Shift Start Time</t>
        </is>
      </c>
      <c r="AB2" s="60" t="inlineStr">
        <is>
          <t>Shift End Time</t>
        </is>
      </c>
      <c r="AC2" s="60" t="inlineStr">
        <is>
          <t>TOTAL HRS</t>
        </is>
      </c>
      <c r="AD2" s="60" t="inlineStr">
        <is>
          <t>Remarks</t>
        </is>
      </c>
      <c r="AE2" s="53" t="inlineStr">
        <is>
          <t>Container Start Count</t>
        </is>
      </c>
      <c r="AF2" s="53" t="inlineStr">
        <is>
          <t>Container End Count</t>
        </is>
      </c>
      <c r="AG2" s="60" t="inlineStr">
        <is>
          <t>Total</t>
        </is>
      </c>
      <c r="AH2" t="inlineStr">
        <is>
          <t>Remark</t>
        </is>
      </c>
    </row>
    <row r="3" ht="15.75" customHeight="1" s="140">
      <c r="A3" s="62" t="n"/>
      <c r="B3" s="62" t="n"/>
      <c r="C3" s="63" t="n"/>
      <c r="D3" s="63" t="n"/>
      <c r="E3" s="62" t="n"/>
      <c r="F3" s="62" t="n"/>
      <c r="G3" s="62" t="n">
        <v>1456</v>
      </c>
      <c r="H3" s="62" t="n"/>
      <c r="I3" s="62" t="n"/>
      <c r="J3" s="62" t="n"/>
      <c r="K3" s="62" t="n"/>
      <c r="L3" s="62" t="n"/>
      <c r="M3" s="62" t="n"/>
      <c r="N3" s="64" t="n"/>
      <c r="O3" s="64" t="n"/>
      <c r="P3" s="62" t="n"/>
      <c r="R3" s="48" t="n"/>
      <c r="S3" s="49" t="n"/>
      <c r="T3" s="50" t="n"/>
      <c r="U3" s="50" t="n"/>
      <c r="V3" s="51" t="n"/>
      <c r="W3" s="52" t="n"/>
      <c r="X3" s="49" t="n">
        <v>2121</v>
      </c>
      <c r="Y3" s="49" t="n"/>
      <c r="Z3" s="51" t="n"/>
      <c r="AA3" s="49" t="n"/>
      <c r="AB3" s="49" t="n"/>
      <c r="AC3" s="49" t="n"/>
      <c r="AD3" s="49" t="n"/>
      <c r="AE3" s="53" t="n"/>
      <c r="AF3" s="54" t="n"/>
      <c r="AG3" s="49" t="n"/>
    </row>
    <row r="4">
      <c r="A4" s="6" t="n">
        <v>46266</v>
      </c>
      <c r="B4" s="7" t="inlineStr">
        <is>
          <t xml:space="preserve">DAY </t>
        </is>
      </c>
      <c r="C4" s="8">
        <f>'Aug-26'!D65</f>
        <v/>
      </c>
      <c r="D4" s="7" t="n">
        <v>1481</v>
      </c>
      <c r="E4" s="11">
        <f>IF(OR(C4="",D4=""),0,D4-C4)</f>
        <v/>
      </c>
      <c r="F4" s="144" t="n">
        <v>240</v>
      </c>
      <c r="G4" s="141" t="n">
        <v>1476</v>
      </c>
      <c r="H4" s="127">
        <f>IF(OR(G3="",G4=""),"",G4-G3)</f>
        <v/>
      </c>
      <c r="I4" s="129">
        <f>IFERROR(F4/H4,0)</f>
        <v/>
      </c>
      <c r="J4" s="18" t="n"/>
      <c r="K4" s="18" t="n"/>
      <c r="L4" s="22" t="n"/>
      <c r="M4" s="23" t="n"/>
      <c r="N4" s="69" t="n">
        <v>19882</v>
      </c>
      <c r="O4" s="7" t="n">
        <v>20010</v>
      </c>
      <c r="P4" s="11">
        <f>IF(OR(N4="",O4=""),0,O4-N4)</f>
        <v/>
      </c>
      <c r="Q4" t="inlineStr">
        <is>
          <t>NAZEER</t>
        </is>
      </c>
      <c r="R4" s="6" t="n">
        <v>46266</v>
      </c>
      <c r="S4" s="7" t="inlineStr">
        <is>
          <t xml:space="preserve">DAY </t>
        </is>
      </c>
      <c r="T4" s="8" t="n">
        <v>2137</v>
      </c>
      <c r="U4" s="7" t="n">
        <v>2147</v>
      </c>
      <c r="V4" s="11">
        <f>IF(OR(T4="",U4=""),0,U4-T4)</f>
        <v/>
      </c>
      <c r="W4" s="144" t="n">
        <v>250</v>
      </c>
      <c r="X4" s="141" t="n">
        <v>2143</v>
      </c>
      <c r="Y4" s="127">
        <f>IF(OR(X3="",X4=""),"",X4-X3)</f>
        <v/>
      </c>
      <c r="Z4" s="129">
        <f>IFERROR(W4/Y4,0)</f>
        <v/>
      </c>
      <c r="AA4" s="9" t="n"/>
      <c r="AB4" s="9" t="n"/>
      <c r="AC4" s="9" t="n"/>
      <c r="AD4" s="10" t="n"/>
      <c r="AE4" s="31" t="n">
        <v>26442</v>
      </c>
      <c r="AF4" s="7" t="n">
        <v>26601</v>
      </c>
      <c r="AG4" s="11">
        <f>IF(OR(AE4="",AF4=""),0,AF4-AE4)</f>
        <v/>
      </c>
      <c r="AH4" t="inlineStr">
        <is>
          <t>AMAN</t>
        </is>
      </c>
    </row>
    <row r="5">
      <c r="A5" s="6" t="n">
        <v>46266</v>
      </c>
      <c r="B5" s="127" t="inlineStr">
        <is>
          <t>NIGHT</t>
        </is>
      </c>
      <c r="C5" s="13">
        <f>D4</f>
        <v/>
      </c>
      <c r="D5" s="127" t="n">
        <v>1486</v>
      </c>
      <c r="E5" s="11">
        <f>IF(OR(C5="",D5=""),0,D5-C5)</f>
        <v/>
      </c>
      <c r="F5" s="128" t="n"/>
      <c r="G5" s="128" t="n"/>
      <c r="H5" s="128" t="n"/>
      <c r="I5" s="128" t="n"/>
      <c r="J5" s="18" t="n"/>
      <c r="K5" s="18" t="n"/>
      <c r="L5" s="22" t="n"/>
      <c r="M5" s="23" t="n"/>
      <c r="N5" s="14">
        <f>O4</f>
        <v/>
      </c>
      <c r="O5" s="127" t="n">
        <v>20081</v>
      </c>
      <c r="P5" s="11">
        <f>IF(OR(N5="",O5=""),0,O5-N5)</f>
        <v/>
      </c>
      <c r="Q5" t="inlineStr">
        <is>
          <t>PANKAJ</t>
        </is>
      </c>
      <c r="R5" s="6" t="n">
        <v>46266</v>
      </c>
      <c r="S5" s="127" t="inlineStr">
        <is>
          <t>NIGHT</t>
        </is>
      </c>
      <c r="T5" s="13">
        <f>U4</f>
        <v/>
      </c>
      <c r="U5" s="127" t="n">
        <v>2154</v>
      </c>
      <c r="V5" s="11">
        <f>IF(OR(T5="",U5=""),0,U5-T5)</f>
        <v/>
      </c>
      <c r="W5" s="128" t="n"/>
      <c r="X5" s="128" t="n"/>
      <c r="Y5" s="128" t="n"/>
      <c r="Z5" s="128" t="n"/>
      <c r="AA5" s="15" t="n"/>
      <c r="AB5" s="15" t="n"/>
      <c r="AC5" s="15" t="n"/>
      <c r="AD5" s="16" t="n"/>
      <c r="AE5" s="14">
        <f>AF4</f>
        <v/>
      </c>
      <c r="AF5" s="127" t="n">
        <v>26739</v>
      </c>
      <c r="AG5" s="11">
        <f>IF(OR(AE5="",AF5=""),0,AF5-AE5)</f>
        <v/>
      </c>
      <c r="AH5" t="inlineStr">
        <is>
          <t>RAJKUMAR</t>
        </is>
      </c>
    </row>
    <row r="6">
      <c r="A6" s="17" t="n">
        <v>46267</v>
      </c>
      <c r="B6" s="148" t="inlineStr">
        <is>
          <t xml:space="preserve">DAY </t>
        </is>
      </c>
      <c r="C6" s="13">
        <f>D5</f>
        <v/>
      </c>
      <c r="D6" s="8" t="n">
        <v>1496</v>
      </c>
      <c r="E6" s="11">
        <f>IF(OR(C6="",D6=""),0,D6-C6)</f>
        <v/>
      </c>
      <c r="F6" s="144" t="n">
        <v>150</v>
      </c>
      <c r="G6" s="130" t="n">
        <v>1488</v>
      </c>
      <c r="H6" s="127">
        <f>IF(OR(G4="",G6=""),"",G6-G4)</f>
        <v/>
      </c>
      <c r="I6" s="129">
        <f>IFERROR(F6/H6,0)</f>
        <v/>
      </c>
      <c r="J6" s="18" t="n"/>
      <c r="K6" s="18" t="n"/>
      <c r="L6" s="22" t="n"/>
      <c r="M6" s="23" t="n"/>
      <c r="N6" s="14">
        <f>O5</f>
        <v/>
      </c>
      <c r="O6" s="8" t="n">
        <v>20174</v>
      </c>
      <c r="P6" s="11">
        <f>IF(OR(N6="",O6=""),0,O6-N6)</f>
        <v/>
      </c>
      <c r="Q6" t="inlineStr">
        <is>
          <t>SAIDULLA</t>
        </is>
      </c>
      <c r="R6" s="17" t="n">
        <v>46267</v>
      </c>
      <c r="S6" s="148" t="inlineStr">
        <is>
          <t xml:space="preserve">DAY </t>
        </is>
      </c>
      <c r="T6" s="13">
        <f>U5</f>
        <v/>
      </c>
      <c r="U6" s="8" t="n">
        <v>2164</v>
      </c>
      <c r="V6" s="11">
        <f>IF(OR(T6="",U6=""),0,U6-T6)</f>
        <v/>
      </c>
      <c r="W6" s="130" t="n">
        <v>150</v>
      </c>
      <c r="X6" s="130" t="n">
        <v>2175</v>
      </c>
      <c r="Y6" s="127">
        <f>IF(OR(X4="",X6=""),"",X6-X4)</f>
        <v/>
      </c>
      <c r="Z6" s="129">
        <f>IFERROR(W6/Y6,0)</f>
        <v/>
      </c>
      <c r="AA6" s="18" t="n"/>
      <c r="AB6" s="18" t="n"/>
      <c r="AC6" s="9" t="n"/>
      <c r="AD6" s="10" t="n"/>
      <c r="AE6" s="14">
        <f>AF5</f>
        <v/>
      </c>
      <c r="AF6" s="8" t="n">
        <v>26875</v>
      </c>
      <c r="AG6" s="11">
        <f>IF(OR(AE6="",AF6=""),0,AF6-AE6)</f>
        <v/>
      </c>
      <c r="AH6" t="inlineStr">
        <is>
          <t>KANHAIYA</t>
        </is>
      </c>
    </row>
    <row r="7">
      <c r="A7" s="17" t="n">
        <v>46267</v>
      </c>
      <c r="B7" s="148" t="inlineStr">
        <is>
          <t>NIGHT</t>
        </is>
      </c>
      <c r="C7" s="13">
        <f>D6</f>
        <v/>
      </c>
      <c r="D7" s="8" t="n">
        <v>1504</v>
      </c>
      <c r="E7" s="11">
        <f>IF(OR(C7="",D7=""),0,D7-C7)</f>
        <v/>
      </c>
      <c r="F7" s="128" t="n"/>
      <c r="G7" s="128" t="n"/>
      <c r="H7" s="128" t="n"/>
      <c r="I7" s="128" t="n"/>
      <c r="J7" s="18" t="n"/>
      <c r="K7" s="18" t="n"/>
      <c r="L7" s="22" t="n"/>
      <c r="M7" s="23" t="n"/>
      <c r="N7" s="14">
        <f>O6</f>
        <v/>
      </c>
      <c r="O7" s="8" t="n">
        <v>20284</v>
      </c>
      <c r="P7" s="11">
        <f>IF(OR(N7="",O7=""),0,O7-N7)</f>
        <v/>
      </c>
      <c r="Q7" t="inlineStr">
        <is>
          <t>NAZEER</t>
        </is>
      </c>
      <c r="R7" s="17" t="n">
        <v>46267</v>
      </c>
      <c r="S7" s="148" t="inlineStr">
        <is>
          <t>NIGHT</t>
        </is>
      </c>
      <c r="T7" s="13">
        <f>U6</f>
        <v/>
      </c>
      <c r="U7" s="8" t="n">
        <v>2175</v>
      </c>
      <c r="V7" s="11">
        <f>IF(OR(T7="",U7=""),0,U7-T7)</f>
        <v/>
      </c>
      <c r="W7" s="128" t="n"/>
      <c r="X7" s="128" t="n"/>
      <c r="Y7" s="128" t="n"/>
      <c r="Z7" s="128" t="n"/>
      <c r="AA7" s="18" t="n"/>
      <c r="AB7" s="18" t="n"/>
      <c r="AC7" s="22" t="n"/>
      <c r="AD7" s="23" t="n"/>
      <c r="AE7" s="14">
        <f>AF6</f>
        <v/>
      </c>
      <c r="AF7" s="8" t="n">
        <v>27042</v>
      </c>
      <c r="AG7" s="11">
        <f>IF(OR(AE7="",AF7=""),0,AF7-AE7)</f>
        <v/>
      </c>
      <c r="AH7" t="inlineStr">
        <is>
          <t>AMAN</t>
        </is>
      </c>
    </row>
    <row r="8">
      <c r="A8" s="17" t="n">
        <v>46268</v>
      </c>
      <c r="B8" s="127" t="inlineStr">
        <is>
          <t xml:space="preserve">DAY </t>
        </is>
      </c>
      <c r="C8" s="13">
        <f>D7</f>
        <v/>
      </c>
      <c r="D8" s="13" t="n">
        <v>1514</v>
      </c>
      <c r="E8" s="11">
        <f>IF(OR(C8="",D8=""),0,D8-C8)</f>
        <v/>
      </c>
      <c r="F8" s="130" t="n">
        <v>200</v>
      </c>
      <c r="G8" s="131" t="n">
        <v>1507</v>
      </c>
      <c r="H8" s="127">
        <f>IF(OR(G6="",G8=""),"",G8-G6)</f>
        <v/>
      </c>
      <c r="I8" s="129">
        <f>IFERROR(F8/H8,0)</f>
        <v/>
      </c>
      <c r="J8" s="18" t="n"/>
      <c r="K8" s="18" t="n"/>
      <c r="L8" s="22" t="n"/>
      <c r="M8" s="23" t="n"/>
      <c r="N8" s="14">
        <f>O7</f>
        <v/>
      </c>
      <c r="O8" s="8" t="n">
        <v>20418</v>
      </c>
      <c r="P8" s="11">
        <f>IF(OR(N8="",O8=""),0,O8-N8)</f>
        <v/>
      </c>
      <c r="Q8" t="inlineStr">
        <is>
          <t>SAIDULLA</t>
        </is>
      </c>
      <c r="R8" s="17" t="n">
        <v>46268</v>
      </c>
      <c r="S8" s="127" t="inlineStr">
        <is>
          <t xml:space="preserve">DAY </t>
        </is>
      </c>
      <c r="T8" s="13">
        <f>U7</f>
        <v/>
      </c>
      <c r="U8" s="13" t="n">
        <v>2185</v>
      </c>
      <c r="V8" s="11">
        <f>IF(OR(T8="",U8=""),0,U8-T8)</f>
        <v/>
      </c>
      <c r="W8" s="130" t="n">
        <v>240</v>
      </c>
      <c r="X8" s="131" t="n">
        <v>2179</v>
      </c>
      <c r="Y8" s="127">
        <f>IF(OR(X6="",X8=""),"",X8-X6)</f>
        <v/>
      </c>
      <c r="Z8" s="129">
        <f>IFERROR(W8/Y8,0)</f>
        <v/>
      </c>
      <c r="AA8" s="18" t="n"/>
      <c r="AB8" s="18" t="n"/>
      <c r="AC8" s="9" t="n"/>
      <c r="AD8" s="10" t="n"/>
      <c r="AE8" s="14">
        <f>AF7</f>
        <v/>
      </c>
      <c r="AF8" s="13" t="n">
        <v>27150</v>
      </c>
      <c r="AG8" s="11">
        <f>IF(OR(AE8="",AF8=""),0,AF8-AE8)</f>
        <v/>
      </c>
      <c r="AH8" t="inlineStr">
        <is>
          <t>KANHAIYA</t>
        </is>
      </c>
    </row>
    <row r="9">
      <c r="A9" s="17" t="n">
        <v>46268</v>
      </c>
      <c r="B9" s="127" t="inlineStr">
        <is>
          <t>NIGHT</t>
        </is>
      </c>
      <c r="C9" s="13">
        <f>D8</f>
        <v/>
      </c>
      <c r="D9" s="13" t="n">
        <v>1522</v>
      </c>
      <c r="E9" s="11">
        <f>IF(OR(C9="",D9=""),0,D9-C9)</f>
        <v/>
      </c>
      <c r="F9" s="128" t="n"/>
      <c r="G9" s="132" t="n"/>
      <c r="H9" s="128" t="n"/>
      <c r="I9" s="128" t="n"/>
      <c r="J9" s="18" t="n"/>
      <c r="K9" s="18" t="n"/>
      <c r="L9" s="22" t="n"/>
      <c r="M9" s="23" t="n"/>
      <c r="N9" s="14">
        <f>O8</f>
        <v/>
      </c>
      <c r="O9" s="13" t="n">
        <v>20505</v>
      </c>
      <c r="P9" s="11">
        <f>IF(OR(N9="",O9=""),0,O9-N9)</f>
        <v/>
      </c>
      <c r="Q9" t="inlineStr">
        <is>
          <t>NAZEER</t>
        </is>
      </c>
      <c r="R9" s="17" t="n">
        <v>46268</v>
      </c>
      <c r="S9" s="127" t="inlineStr">
        <is>
          <t>NIGHT</t>
        </is>
      </c>
      <c r="T9" s="13">
        <f>U8</f>
        <v/>
      </c>
      <c r="U9" s="13" t="n">
        <v>2194</v>
      </c>
      <c r="V9" s="11">
        <f>IF(OR(T9="",U9=""),0,U9-T9)</f>
        <v/>
      </c>
      <c r="W9" s="128" t="n"/>
      <c r="X9" s="132" t="n"/>
      <c r="Y9" s="128" t="n"/>
      <c r="Z9" s="128" t="n"/>
      <c r="AA9" s="25" t="n"/>
      <c r="AB9" s="25" t="n"/>
      <c r="AC9" s="15" t="n"/>
      <c r="AD9" s="16" t="n"/>
      <c r="AE9" s="14">
        <f>AF8</f>
        <v/>
      </c>
      <c r="AF9" s="13" t="n">
        <v>27266</v>
      </c>
      <c r="AG9" s="11">
        <f>IF(OR(AE9="",AF9=""),0,AF9-AE9)</f>
        <v/>
      </c>
      <c r="AH9" t="inlineStr">
        <is>
          <t>AMAN</t>
        </is>
      </c>
    </row>
    <row r="10">
      <c r="A10" s="17" t="n">
        <v>46269</v>
      </c>
      <c r="B10" s="148" t="inlineStr">
        <is>
          <t xml:space="preserve">DAY </t>
        </is>
      </c>
      <c r="C10" s="13">
        <f>D9</f>
        <v/>
      </c>
      <c r="D10" s="8" t="n">
        <v>1530</v>
      </c>
      <c r="E10" s="11">
        <f>IF(OR(C10="",D10=""),0,D10-C10)</f>
        <v/>
      </c>
      <c r="F10" s="130" t="n">
        <v>240</v>
      </c>
      <c r="G10" s="131" t="n">
        <v>1525</v>
      </c>
      <c r="H10" s="127">
        <f>IF(OR(G8="",G10=""),"",G10-G8)</f>
        <v/>
      </c>
      <c r="I10" s="129">
        <f>IFERROR(F10/H10,0)</f>
        <v/>
      </c>
      <c r="J10" s="18" t="n"/>
      <c r="K10" s="18" t="n"/>
      <c r="L10" s="22" t="n"/>
      <c r="M10" s="23" t="n"/>
      <c r="N10" s="14">
        <f>O9</f>
        <v/>
      </c>
      <c r="O10" s="26" t="n">
        <v>20658</v>
      </c>
      <c r="P10" s="11">
        <f>IF(OR(N10="",O10=""),0,O10-N10)</f>
        <v/>
      </c>
      <c r="Q10" t="inlineStr">
        <is>
          <t>PANKAJ</t>
        </is>
      </c>
      <c r="R10" s="17" t="n">
        <v>46269</v>
      </c>
      <c r="S10" s="148" t="inlineStr">
        <is>
          <t xml:space="preserve">DAY </t>
        </is>
      </c>
      <c r="T10" s="13">
        <f>U9</f>
        <v/>
      </c>
      <c r="U10" s="8" t="n">
        <v>2204</v>
      </c>
      <c r="V10" s="11">
        <f>IF(OR(T10="",U10=""),0,U10-T10)</f>
        <v/>
      </c>
      <c r="W10" s="130" t="n">
        <v>190</v>
      </c>
      <c r="X10" s="133" t="n">
        <v>2198</v>
      </c>
      <c r="Y10" s="127">
        <f>IF(OR(X8="",X10=""),"",X10-X8)</f>
        <v/>
      </c>
      <c r="Z10" s="129">
        <f>IFERROR(W10/Y10,0)</f>
        <v/>
      </c>
      <c r="AA10" s="18" t="n"/>
      <c r="AB10" s="18" t="n"/>
      <c r="AC10" s="19" t="n"/>
      <c r="AD10" s="27" t="n"/>
      <c r="AE10" s="14">
        <f>AF9</f>
        <v/>
      </c>
      <c r="AF10" s="26" t="n">
        <v>27418</v>
      </c>
      <c r="AG10" s="11">
        <f>IF(OR(AE10="",AF10=""),0,AF10-AE10)</f>
        <v/>
      </c>
      <c r="AH10" t="inlineStr">
        <is>
          <t>SAIDULLAH</t>
        </is>
      </c>
    </row>
    <row r="11">
      <c r="A11" s="17" t="n">
        <v>46269</v>
      </c>
      <c r="B11" s="148" t="inlineStr">
        <is>
          <t>NIGHT</t>
        </is>
      </c>
      <c r="C11" s="13">
        <f>D10</f>
        <v/>
      </c>
      <c r="D11" s="8" t="n">
        <v>1538</v>
      </c>
      <c r="E11" s="11">
        <f>IF(OR(C11="",D11=""),0,D11-C11)</f>
        <v/>
      </c>
      <c r="F11" s="128" t="n"/>
      <c r="G11" s="132" t="n"/>
      <c r="H11" s="128" t="n"/>
      <c r="I11" s="128" t="n"/>
      <c r="J11" s="18" t="n"/>
      <c r="K11" s="18" t="n"/>
      <c r="L11" s="22" t="n"/>
      <c r="M11" s="23" t="n"/>
      <c r="N11" s="14">
        <f>O10</f>
        <v/>
      </c>
      <c r="O11" s="26" t="n">
        <v>20757</v>
      </c>
      <c r="P11" s="11">
        <f>IF(OR(N11="",O11=""),0,O11-N11)</f>
        <v/>
      </c>
      <c r="Q11" t="inlineStr">
        <is>
          <t>KANHAIYA</t>
        </is>
      </c>
      <c r="R11" s="17" t="n">
        <v>46269</v>
      </c>
      <c r="S11" s="148" t="inlineStr">
        <is>
          <t>NIGHT</t>
        </is>
      </c>
      <c r="T11" s="13">
        <f>U10</f>
        <v/>
      </c>
      <c r="U11" s="8" t="n">
        <v>2213</v>
      </c>
      <c r="V11" s="11">
        <f>IF(OR(T11="",U11=""),0,U11-T11)</f>
        <v/>
      </c>
      <c r="W11" s="128" t="n"/>
      <c r="X11" s="132" t="n"/>
      <c r="Y11" s="128" t="n"/>
      <c r="Z11" s="128" t="n"/>
      <c r="AA11" s="28" t="n"/>
      <c r="AB11" s="28" t="n"/>
      <c r="AC11" s="22" t="n"/>
      <c r="AD11" s="27" t="n"/>
      <c r="AE11" s="14">
        <f>AF10</f>
        <v/>
      </c>
      <c r="AF11" s="26" t="n">
        <v>27580</v>
      </c>
      <c r="AG11" s="11">
        <f>IF(OR(AE11="",AF11=""),0,AF11-AE11)</f>
        <v/>
      </c>
      <c r="AH11" t="inlineStr">
        <is>
          <t>RAJKUMAR</t>
        </is>
      </c>
    </row>
    <row r="12">
      <c r="A12" s="17" t="n">
        <v>46270</v>
      </c>
      <c r="B12" s="148" t="inlineStr">
        <is>
          <t xml:space="preserve">DAY </t>
        </is>
      </c>
      <c r="C12" s="13">
        <f>D11</f>
        <v/>
      </c>
      <c r="D12" s="8" t="n">
        <v>1546</v>
      </c>
      <c r="E12" s="11">
        <f>IF(OR(C12="",D12=""),0,D12-C12)</f>
        <v/>
      </c>
      <c r="F12" s="130" t="n">
        <v>210</v>
      </c>
      <c r="G12" s="133" t="n">
        <v>1541</v>
      </c>
      <c r="H12" s="127">
        <f>IF(OR(G10="",G12=""),"",G12-G10)</f>
        <v/>
      </c>
      <c r="I12" s="129">
        <f>IFERROR(F12/H12,0)</f>
        <v/>
      </c>
      <c r="J12" s="18" t="n"/>
      <c r="K12" s="18" t="n"/>
      <c r="L12" s="22" t="n"/>
      <c r="M12" s="23" t="n"/>
      <c r="N12" s="14">
        <f>O11</f>
        <v/>
      </c>
      <c r="O12" s="8" t="n">
        <v>20874</v>
      </c>
      <c r="P12" s="11">
        <f>IF(OR(N12="",O12=""),0,O12-N12)</f>
        <v/>
      </c>
      <c r="Q12" t="inlineStr">
        <is>
          <t>PANKAJ</t>
        </is>
      </c>
      <c r="R12" s="17" t="n">
        <v>46270</v>
      </c>
      <c r="S12" s="148" t="inlineStr">
        <is>
          <t xml:space="preserve">DAY </t>
        </is>
      </c>
      <c r="T12" s="13">
        <f>U11</f>
        <v/>
      </c>
      <c r="U12" s="8" t="n">
        <v>2223</v>
      </c>
      <c r="V12" s="11">
        <f>IF(OR(T12="",U12=""),0,U12-T12)</f>
        <v/>
      </c>
      <c r="W12" s="130" t="n">
        <v>210</v>
      </c>
      <c r="X12" s="133" t="n">
        <v>2216</v>
      </c>
      <c r="Y12" s="127">
        <f>IF(OR(X10="",X12=""),"",X12-X10)</f>
        <v/>
      </c>
      <c r="Z12" s="129">
        <f>IFERROR(W12/Y12,0)</f>
        <v/>
      </c>
      <c r="AA12" s="28" t="n"/>
      <c r="AB12" s="28" t="n"/>
      <c r="AC12" s="22" t="n"/>
      <c r="AD12" s="23" t="n"/>
      <c r="AE12" s="14">
        <f>AF11</f>
        <v/>
      </c>
      <c r="AF12" s="8" t="n">
        <v>27706</v>
      </c>
      <c r="AG12" s="11">
        <f>IF(OR(AE12="",AF12=""),0,AF12-AE12)</f>
        <v/>
      </c>
      <c r="AH12" t="inlineStr">
        <is>
          <t>SAIDULLAH</t>
        </is>
      </c>
    </row>
    <row r="13">
      <c r="A13" s="17" t="n">
        <v>46270</v>
      </c>
      <c r="B13" s="148" t="inlineStr">
        <is>
          <t>NIGHT</t>
        </is>
      </c>
      <c r="C13" s="13">
        <f>D12</f>
        <v/>
      </c>
      <c r="D13" s="8" t="n">
        <v>1556</v>
      </c>
      <c r="E13" s="11">
        <f>IF(OR(C13="",D13=""),0,D13-C13)</f>
        <v/>
      </c>
      <c r="F13" s="128" t="n"/>
      <c r="G13" s="132" t="n"/>
      <c r="H13" s="128" t="n"/>
      <c r="I13" s="128" t="n"/>
      <c r="J13" s="18" t="n"/>
      <c r="K13" s="18" t="n"/>
      <c r="L13" s="22" t="n"/>
      <c r="M13" s="23" t="n"/>
      <c r="N13" s="14">
        <f>O12</f>
        <v/>
      </c>
      <c r="O13" s="8" t="n">
        <v>20994</v>
      </c>
      <c r="P13" s="11">
        <f>IF(OR(N13="",O13=""),0,O13-N13)</f>
        <v/>
      </c>
      <c r="Q13" t="inlineStr">
        <is>
          <t>KANHAIYA</t>
        </is>
      </c>
      <c r="R13" s="17" t="n">
        <v>46270</v>
      </c>
      <c r="S13" s="148" t="inlineStr">
        <is>
          <t>NIGHT</t>
        </is>
      </c>
      <c r="T13" s="13">
        <f>U12</f>
        <v/>
      </c>
      <c r="U13" s="8" t="n">
        <v>2232</v>
      </c>
      <c r="V13" s="11">
        <f>IF(OR(T13="",U13=""),0,U13-T13)</f>
        <v/>
      </c>
      <c r="W13" s="128" t="n"/>
      <c r="X13" s="132" t="n"/>
      <c r="Y13" s="128" t="n"/>
      <c r="Z13" s="128" t="n"/>
      <c r="AA13" s="29" t="n"/>
      <c r="AB13" s="18" t="n"/>
      <c r="AC13" s="22" t="n"/>
      <c r="AD13" s="23" t="n"/>
      <c r="AE13" s="14">
        <f>AF12</f>
        <v/>
      </c>
      <c r="AF13" s="8" t="n">
        <v>27843</v>
      </c>
      <c r="AG13" s="11">
        <f>IF(OR(AE13="",AF13=""),0,AF13-AE13)</f>
        <v/>
      </c>
      <c r="AH13" t="inlineStr">
        <is>
          <t>RAJKUMAR</t>
        </is>
      </c>
    </row>
    <row r="14">
      <c r="A14" s="17" t="n">
        <v>46271</v>
      </c>
      <c r="B14" s="148" t="inlineStr">
        <is>
          <t xml:space="preserve">DAY </t>
        </is>
      </c>
      <c r="C14" s="13">
        <f>D13</f>
        <v/>
      </c>
      <c r="D14" s="8" t="n">
        <v>1566</v>
      </c>
      <c r="E14" s="11">
        <f>IF(OR(C14="",D14=""),0,D14-C14)</f>
        <v/>
      </c>
      <c r="F14" s="130" t="n">
        <v>250</v>
      </c>
      <c r="G14" s="133" t="n">
        <v>1562</v>
      </c>
      <c r="H14" s="127">
        <f>IF(OR(G12="",G14=""),"",G14-G12)</f>
        <v/>
      </c>
      <c r="I14" s="129">
        <f>IFERROR(F14/H14,0)</f>
        <v/>
      </c>
      <c r="J14" s="18" t="n"/>
      <c r="K14" s="18" t="n"/>
      <c r="L14" s="22" t="n"/>
      <c r="M14" s="23" t="n"/>
      <c r="N14" s="14">
        <f>O13</f>
        <v/>
      </c>
      <c r="O14" s="8" t="n">
        <v>21100</v>
      </c>
      <c r="P14" s="11">
        <f>IF(OR(N14="",O14=""),0,O14-N14)</f>
        <v/>
      </c>
      <c r="Q14" t="inlineStr">
        <is>
          <t>SAIDULLA</t>
        </is>
      </c>
      <c r="R14" s="17" t="n">
        <v>46271</v>
      </c>
      <c r="S14" s="148" t="inlineStr">
        <is>
          <t xml:space="preserve">DAY </t>
        </is>
      </c>
      <c r="T14" s="13">
        <f>U13</f>
        <v/>
      </c>
      <c r="U14" s="8" t="n">
        <v>2241</v>
      </c>
      <c r="V14" s="11">
        <f>IF(OR(T14="",U14=""),0,U14-T14)</f>
        <v/>
      </c>
      <c r="W14" s="130" t="n">
        <v>212</v>
      </c>
      <c r="X14" s="133" t="n">
        <v>2234</v>
      </c>
      <c r="Y14" s="127">
        <f>IF(OR(X12="",X14=""),"",X14-X12)</f>
        <v/>
      </c>
      <c r="Z14" s="129">
        <f>IFERROR(W14/Y14,0)</f>
        <v/>
      </c>
      <c r="AA14" s="30" t="n"/>
      <c r="AB14" s="28" t="n"/>
      <c r="AC14" s="22" t="n"/>
      <c r="AD14" s="23" t="n"/>
      <c r="AE14" s="14">
        <f>AF13</f>
        <v/>
      </c>
      <c r="AF14" s="8" t="n">
        <v>27994</v>
      </c>
      <c r="AG14" s="11">
        <f>IF(OR(AE14="",AF14=""),0,AF14-AE14)</f>
        <v/>
      </c>
      <c r="AH14" t="inlineStr">
        <is>
          <t>AMAN</t>
        </is>
      </c>
    </row>
    <row r="15">
      <c r="A15" s="17" t="n">
        <v>46271</v>
      </c>
      <c r="B15" s="148" t="inlineStr">
        <is>
          <t>NIGHT</t>
        </is>
      </c>
      <c r="C15" s="13">
        <f>D14</f>
        <v/>
      </c>
      <c r="D15" s="8" t="n">
        <v>1573</v>
      </c>
      <c r="E15" s="11">
        <f>IF(OR(C15="",D15=""),0,D15-C15)</f>
        <v/>
      </c>
      <c r="F15" s="128" t="n"/>
      <c r="G15" s="132" t="n"/>
      <c r="H15" s="128" t="n"/>
      <c r="I15" s="128" t="n"/>
      <c r="J15" s="18" t="n"/>
      <c r="K15" s="18" t="n"/>
      <c r="L15" s="22" t="n"/>
      <c r="M15" s="23" t="n"/>
      <c r="N15" s="14">
        <f>O14</f>
        <v/>
      </c>
      <c r="O15" s="8" t="n">
        <v>21224</v>
      </c>
      <c r="P15" s="11">
        <f>IF(OR(N15="",O15=""),0,O15-N15)</f>
        <v/>
      </c>
      <c r="Q15" t="inlineStr">
        <is>
          <t>PANKAJ</t>
        </is>
      </c>
      <c r="R15" s="17" t="n">
        <v>46271</v>
      </c>
      <c r="S15" s="148" t="inlineStr">
        <is>
          <t>NIGHT</t>
        </is>
      </c>
      <c r="T15" s="13">
        <f>U14</f>
        <v/>
      </c>
      <c r="U15" s="8" t="n">
        <v>2248</v>
      </c>
      <c r="V15" s="11">
        <f>IF(OR(T15="",U15=""),0,U15-T15)</f>
        <v/>
      </c>
      <c r="W15" s="128" t="n"/>
      <c r="X15" s="132" t="n"/>
      <c r="Y15" s="128" t="n"/>
      <c r="Z15" s="128" t="n"/>
      <c r="AA15" s="29" t="n"/>
      <c r="AB15" s="18" t="n"/>
      <c r="AC15" s="22" t="n"/>
      <c r="AD15" s="23" t="n"/>
      <c r="AE15" s="14">
        <f>AF14</f>
        <v/>
      </c>
      <c r="AF15" s="8" t="n">
        <v>28066</v>
      </c>
      <c r="AG15" s="11">
        <f>IF(OR(AE15="",AF15=""),0,AF15-AE15)</f>
        <v/>
      </c>
      <c r="AH15" t="inlineStr">
        <is>
          <t>KANHAIYA</t>
        </is>
      </c>
    </row>
    <row r="16">
      <c r="A16" s="17" t="n">
        <v>46272</v>
      </c>
      <c r="B16" s="148" t="inlineStr">
        <is>
          <t xml:space="preserve">DAY </t>
        </is>
      </c>
      <c r="C16" s="13">
        <f>D15</f>
        <v/>
      </c>
      <c r="D16" s="8" t="n">
        <v>1581</v>
      </c>
      <c r="E16" s="11">
        <f>IF(OR(C16="",D16=""),0,D16-C16)</f>
        <v/>
      </c>
      <c r="F16" s="130" t="n">
        <v>240</v>
      </c>
      <c r="G16" s="133" t="n">
        <v>1577</v>
      </c>
      <c r="H16" s="127">
        <f>IF(OR(G14="",G16=""),"",G16-G14)</f>
        <v/>
      </c>
      <c r="I16" s="129">
        <f>IFERROR(F16/H16,0)</f>
        <v/>
      </c>
      <c r="J16" s="18" t="n"/>
      <c r="K16" s="18" t="n"/>
      <c r="L16" s="22" t="n"/>
      <c r="M16" s="23" t="n"/>
      <c r="N16" s="14">
        <f>O15</f>
        <v/>
      </c>
      <c r="O16" s="8" t="n">
        <v>21312</v>
      </c>
      <c r="P16" s="11">
        <f>IF(OR(N16="",O16=""),0,O16-N16)</f>
        <v/>
      </c>
      <c r="Q16" t="inlineStr">
        <is>
          <t>NAZEER</t>
        </is>
      </c>
      <c r="R16" s="17" t="n">
        <v>46272</v>
      </c>
      <c r="S16" s="148" t="inlineStr">
        <is>
          <t xml:space="preserve">DAY </t>
        </is>
      </c>
      <c r="T16" s="13">
        <f>U15</f>
        <v/>
      </c>
      <c r="U16" s="8" t="n">
        <v>2257</v>
      </c>
      <c r="V16" s="11">
        <f>IF(OR(T16="",U16=""),0,U16-T16)</f>
        <v/>
      </c>
      <c r="W16" s="130" t="n">
        <v>280</v>
      </c>
      <c r="X16" s="133" t="n">
        <v>2252</v>
      </c>
      <c r="Y16" s="127">
        <f>IF(OR(X14="",X16=""),"",X16-X14)</f>
        <v/>
      </c>
      <c r="Z16" s="129">
        <f>IFERROR(W16/Y16,0)</f>
        <v/>
      </c>
      <c r="AA16" s="30" t="n"/>
      <c r="AB16" s="28" t="n"/>
      <c r="AC16" s="22" t="n"/>
      <c r="AD16" s="23" t="n"/>
      <c r="AE16" s="14">
        <f>AF15</f>
        <v/>
      </c>
      <c r="AF16" s="8" t="n">
        <v>28151</v>
      </c>
      <c r="AG16" s="11">
        <f>IF(OR(AE16="",AF16=""),0,AF16-AE16)</f>
        <v/>
      </c>
      <c r="AH16" t="inlineStr">
        <is>
          <t>AMAN</t>
        </is>
      </c>
    </row>
    <row r="17">
      <c r="A17" s="17" t="n">
        <v>46272</v>
      </c>
      <c r="B17" s="148" t="inlineStr">
        <is>
          <t>NIGHT</t>
        </is>
      </c>
      <c r="C17" s="13">
        <f>D16</f>
        <v/>
      </c>
      <c r="D17" s="8" t="n">
        <v>1589</v>
      </c>
      <c r="E17" s="11">
        <f>IF(OR(C17="",D17=""),0,D17-C17)</f>
        <v/>
      </c>
      <c r="F17" s="128" t="n"/>
      <c r="G17" s="132" t="n"/>
      <c r="H17" s="128" t="n"/>
      <c r="I17" s="128" t="n"/>
      <c r="J17" s="18" t="n"/>
      <c r="K17" s="18" t="n"/>
      <c r="L17" s="22" t="n"/>
      <c r="M17" s="23" t="n"/>
      <c r="N17" s="14">
        <f>O16</f>
        <v/>
      </c>
      <c r="O17" s="8" t="n">
        <v>21450</v>
      </c>
      <c r="P17" s="11">
        <f>IF(OR(N17="",O17=""),0,O17-N17)</f>
        <v/>
      </c>
      <c r="Q17" t="inlineStr">
        <is>
          <t>PANKAJ</t>
        </is>
      </c>
      <c r="R17" s="17" t="n">
        <v>46272</v>
      </c>
      <c r="S17" s="148" t="inlineStr">
        <is>
          <t>NIGHT</t>
        </is>
      </c>
      <c r="T17" s="13">
        <f>U16</f>
        <v/>
      </c>
      <c r="U17" s="148" t="n">
        <v>2267</v>
      </c>
      <c r="V17" s="11">
        <f>IF(OR(T17="",U17=""),0,U17-T17)</f>
        <v/>
      </c>
      <c r="W17" s="128" t="n"/>
      <c r="X17" s="132" t="n"/>
      <c r="Y17" s="128" t="n"/>
      <c r="Z17" s="128" t="n"/>
      <c r="AA17" s="28" t="n"/>
      <c r="AB17" s="28" t="n"/>
      <c r="AC17" s="22" t="n"/>
      <c r="AD17" s="23" t="n"/>
      <c r="AE17" s="14">
        <f>AF16</f>
        <v/>
      </c>
      <c r="AF17" s="148" t="n">
        <v>28360</v>
      </c>
      <c r="AG17" s="11">
        <f>IF(OR(AE17="",AF17=""),0,AF17-AE17)</f>
        <v/>
      </c>
      <c r="AH17" t="inlineStr">
        <is>
          <t>RAJKUMAR</t>
        </is>
      </c>
    </row>
    <row r="18">
      <c r="A18" s="17" t="n">
        <v>46273</v>
      </c>
      <c r="B18" s="148" t="inlineStr">
        <is>
          <t xml:space="preserve">DAY </t>
        </is>
      </c>
      <c r="C18" s="13">
        <f>D17</f>
        <v/>
      </c>
      <c r="D18" s="8" t="n">
        <v>1600</v>
      </c>
      <c r="E18" s="11">
        <f>IF(OR(C18="",D18=""),0,D18-C18)</f>
        <v/>
      </c>
      <c r="F18" s="130" t="n">
        <v>260</v>
      </c>
      <c r="G18" s="133" t="n">
        <v>1595</v>
      </c>
      <c r="H18" s="127">
        <f>IF(OR(G16="",G18=""),"",G18-G16)</f>
        <v/>
      </c>
      <c r="I18" s="129">
        <f>IFERROR(F18/H18,0)</f>
        <v/>
      </c>
      <c r="J18" s="18" t="n"/>
      <c r="K18" s="18" t="n"/>
      <c r="L18" s="22" t="n"/>
      <c r="M18" s="23" t="n"/>
      <c r="N18" s="14">
        <f>O17</f>
        <v/>
      </c>
      <c r="O18" s="8" t="n">
        <v>21631</v>
      </c>
      <c r="P18" s="11">
        <f>IF(OR(N18="",O18=""),0,O18-N18)</f>
        <v/>
      </c>
      <c r="Q18" t="inlineStr">
        <is>
          <t>KANHAIYA</t>
        </is>
      </c>
      <c r="R18" s="17" t="n">
        <v>46273</v>
      </c>
      <c r="S18" s="148" t="inlineStr">
        <is>
          <t xml:space="preserve">DAY </t>
        </is>
      </c>
      <c r="T18" s="13">
        <f>U17</f>
        <v/>
      </c>
      <c r="U18" s="8" t="n">
        <v>2277</v>
      </c>
      <c r="V18" s="11">
        <f>IF(OR(T18="",U18=""),0,U18-T18)</f>
        <v/>
      </c>
      <c r="W18" s="130" t="n">
        <v>200</v>
      </c>
      <c r="X18" s="133" t="n">
        <v>2273</v>
      </c>
      <c r="Y18" s="127">
        <f>IF(OR(X16="",X18=""),"",X18-X16)</f>
        <v/>
      </c>
      <c r="Z18" s="129">
        <f>IFERROR(W18/Y18,0)</f>
        <v/>
      </c>
      <c r="AA18" s="28" t="n"/>
      <c r="AB18" s="28" t="n"/>
      <c r="AC18" s="22" t="n"/>
      <c r="AD18" s="23" t="n"/>
      <c r="AE18" s="14">
        <f>AF17</f>
        <v/>
      </c>
      <c r="AF18" s="8" t="n">
        <v>28519</v>
      </c>
      <c r="AG18" s="11">
        <f>IF(OR(AE18="",AF18=""),0,AF18-AE18)</f>
        <v/>
      </c>
      <c r="AH18" t="inlineStr">
        <is>
          <t>NAZEER</t>
        </is>
      </c>
    </row>
    <row r="19">
      <c r="A19" s="17" t="n">
        <v>46273</v>
      </c>
      <c r="B19" s="148" t="inlineStr">
        <is>
          <t>NIGHT</t>
        </is>
      </c>
      <c r="C19" s="13">
        <f>D18</f>
        <v/>
      </c>
      <c r="D19" s="8" t="n">
        <v>1608</v>
      </c>
      <c r="E19" s="11">
        <f>IF(OR(C19="",D19=""),0,D19-C19)</f>
        <v/>
      </c>
      <c r="F19" s="128" t="n"/>
      <c r="G19" s="132" t="n"/>
      <c r="H19" s="128" t="n"/>
      <c r="I19" s="128" t="n"/>
      <c r="J19" s="18" t="n"/>
      <c r="K19" s="18" t="n"/>
      <c r="L19" s="22" t="n"/>
      <c r="M19" s="23" t="n"/>
      <c r="N19" s="14">
        <f>O18</f>
        <v/>
      </c>
      <c r="O19" s="8" t="n">
        <v>21762</v>
      </c>
      <c r="P19" s="11">
        <f>IF(OR(N19="",O19=""),0,O19-N19)</f>
        <v/>
      </c>
      <c r="Q19" t="inlineStr">
        <is>
          <t>RAJKUMAR</t>
        </is>
      </c>
      <c r="R19" s="17" t="n">
        <v>46273</v>
      </c>
      <c r="S19" s="148" t="inlineStr">
        <is>
          <t>NIGHT</t>
        </is>
      </c>
      <c r="T19" s="13">
        <f>U18</f>
        <v/>
      </c>
      <c r="U19" s="8" t="n">
        <v>2286</v>
      </c>
      <c r="V19" s="11">
        <f>IF(OR(T19="",U19=""),0,U19-T19)</f>
        <v/>
      </c>
      <c r="W19" s="128" t="n"/>
      <c r="X19" s="132" t="n"/>
      <c r="Y19" s="128" t="n"/>
      <c r="Z19" s="128" t="n"/>
      <c r="AA19" s="28" t="n"/>
      <c r="AB19" s="28" t="n"/>
      <c r="AC19" s="22" t="n"/>
      <c r="AD19" s="23" t="n"/>
      <c r="AE19" s="14">
        <f>AF18</f>
        <v/>
      </c>
      <c r="AF19" s="8" t="n">
        <v>28635</v>
      </c>
      <c r="AG19" s="11">
        <f>IF(OR(AE19="",AF19=""),0,AF19-AE19)</f>
        <v/>
      </c>
      <c r="AH19" t="inlineStr">
        <is>
          <t>AMAN</t>
        </is>
      </c>
    </row>
    <row r="20">
      <c r="A20" s="17" t="n">
        <v>46274</v>
      </c>
      <c r="B20" s="148" t="inlineStr">
        <is>
          <t xml:space="preserve">DAY </t>
        </is>
      </c>
      <c r="C20" s="13">
        <f>D19</f>
        <v/>
      </c>
      <c r="D20" s="8" t="n">
        <v>1618</v>
      </c>
      <c r="E20" s="11">
        <f>IF(OR(C20="",D20=""),0,D20-C20)</f>
        <v/>
      </c>
      <c r="F20" s="138" t="n">
        <v>200</v>
      </c>
      <c r="G20" s="131" t="n">
        <v>1613</v>
      </c>
      <c r="H20" s="127">
        <f>IF(OR(G18="",G20=""),"",G20-G18)</f>
        <v/>
      </c>
      <c r="I20" s="129">
        <f>IFERROR(F20/H20,0)</f>
        <v/>
      </c>
      <c r="J20" s="18" t="n"/>
      <c r="K20" s="18" t="n"/>
      <c r="L20" s="22" t="n"/>
      <c r="M20" s="23" t="n"/>
      <c r="N20" s="14">
        <f>O19</f>
        <v/>
      </c>
      <c r="O20" s="13" t="n">
        <v>21846</v>
      </c>
      <c r="P20" s="11">
        <f>IF(OR(N20="",O20=""),0,O20-N20)</f>
        <v/>
      </c>
      <c r="Q20" t="inlineStr">
        <is>
          <t>SAIDULLA</t>
        </is>
      </c>
      <c r="R20" s="17" t="n">
        <v>46274</v>
      </c>
      <c r="S20" s="148" t="inlineStr">
        <is>
          <t xml:space="preserve">DAY </t>
        </is>
      </c>
      <c r="T20" s="13">
        <f>U19</f>
        <v/>
      </c>
      <c r="U20" s="13" t="n">
        <v>2296</v>
      </c>
      <c r="V20" s="11">
        <f>IF(OR(T20="",U20=""),0,U20-T20)</f>
        <v/>
      </c>
      <c r="W20" s="130" t="n">
        <v>220</v>
      </c>
      <c r="X20" s="131" t="n">
        <v>2290</v>
      </c>
      <c r="Y20" s="127">
        <f>IF(OR(X18="",X20=""),"",X20-X18)</f>
        <v/>
      </c>
      <c r="Z20" s="129">
        <f>IFERROR(W20/Y20,0)</f>
        <v/>
      </c>
      <c r="AA20" s="25" t="n"/>
      <c r="AB20" s="25" t="n"/>
      <c r="AC20" s="15" t="n"/>
      <c r="AD20" s="16" t="n"/>
      <c r="AE20" s="14">
        <f>AF19</f>
        <v/>
      </c>
      <c r="AF20" s="13" t="n">
        <v>28749</v>
      </c>
      <c r="AG20" s="11">
        <f>IF(OR(AE20="",AF20=""),0,AF20-AE20)</f>
        <v/>
      </c>
      <c r="AH20" t="inlineStr">
        <is>
          <t>KANHAIYA</t>
        </is>
      </c>
    </row>
    <row r="21">
      <c r="A21" s="17" t="n">
        <v>46274</v>
      </c>
      <c r="B21" s="148" t="inlineStr">
        <is>
          <t>NIGHT</t>
        </is>
      </c>
      <c r="C21" s="13">
        <f>D20</f>
        <v/>
      </c>
      <c r="D21" s="13" t="n">
        <v>1627</v>
      </c>
      <c r="E21" s="11">
        <f>IF(OR(C21="",D21=""),0,D21-C21)</f>
        <v/>
      </c>
      <c r="F21" s="128" t="n"/>
      <c r="G21" s="132" t="n"/>
      <c r="H21" s="128" t="n"/>
      <c r="I21" s="128" t="n"/>
      <c r="J21" s="18" t="n"/>
      <c r="K21" s="18" t="n"/>
      <c r="L21" s="22" t="n"/>
      <c r="M21" s="23" t="n"/>
      <c r="N21" s="14">
        <f>O20</f>
        <v/>
      </c>
      <c r="O21" s="13" t="n">
        <v>22039</v>
      </c>
      <c r="P21" s="11">
        <f>IF(OR(N21="",O21=""),0,O21-N21)</f>
        <v/>
      </c>
      <c r="Q21" t="inlineStr">
        <is>
          <t>PANKAJ</t>
        </is>
      </c>
      <c r="R21" s="17" t="n">
        <v>46274</v>
      </c>
      <c r="S21" s="148" t="inlineStr">
        <is>
          <t>NIGHT</t>
        </is>
      </c>
      <c r="T21" s="13">
        <f>U20</f>
        <v/>
      </c>
      <c r="U21" s="13" t="n">
        <v>2305</v>
      </c>
      <c r="V21" s="11">
        <f>IF(OR(T21="",U21=""),0,U21-T21)</f>
        <v/>
      </c>
      <c r="W21" s="128" t="n"/>
      <c r="X21" s="132" t="n"/>
      <c r="Y21" s="128" t="n"/>
      <c r="Z21" s="128" t="n"/>
      <c r="AA21" s="25" t="n"/>
      <c r="AB21" s="25" t="n"/>
      <c r="AC21" s="15" t="n"/>
      <c r="AD21" s="16" t="n"/>
      <c r="AE21" s="14">
        <f>AF20</f>
        <v/>
      </c>
      <c r="AF21" s="13" t="n">
        <v>28913</v>
      </c>
      <c r="AG21" s="11">
        <f>IF(OR(AE21="",AF21=""),0,AF21-AE21)</f>
        <v/>
      </c>
      <c r="AH21" t="inlineStr">
        <is>
          <t>NAZEER</t>
        </is>
      </c>
    </row>
    <row r="22">
      <c r="A22" s="17" t="n">
        <v>46275</v>
      </c>
      <c r="B22" s="148" t="inlineStr">
        <is>
          <t xml:space="preserve">DAY </t>
        </is>
      </c>
      <c r="C22" s="13">
        <f>D21</f>
        <v/>
      </c>
      <c r="D22" s="13" t="n">
        <v>1638</v>
      </c>
      <c r="E22" s="11">
        <f>IF(OR(C22="",D22=""),0,D22-C22)</f>
        <v/>
      </c>
      <c r="F22" s="130" t="n">
        <v>300</v>
      </c>
      <c r="G22" s="133" t="n">
        <v>1633</v>
      </c>
      <c r="H22" s="127">
        <f>IF(OR(G20="",G22=""),"",G22-G20)</f>
        <v/>
      </c>
      <c r="I22" s="129">
        <f>IFERROR(F22/H22,0)</f>
        <v/>
      </c>
      <c r="J22" s="18" t="n"/>
      <c r="K22" s="18" t="n"/>
      <c r="L22" s="22" t="n"/>
      <c r="M22" s="23" t="n"/>
      <c r="N22" s="14">
        <f>O21</f>
        <v/>
      </c>
      <c r="O22" s="13" t="n">
        <v>22301</v>
      </c>
      <c r="P22" s="11">
        <f>IF(OR(N22="",O22=""),0,O22-N22)</f>
        <v/>
      </c>
      <c r="Q22" t="inlineStr">
        <is>
          <t>AMAN</t>
        </is>
      </c>
      <c r="R22" s="17" t="n">
        <v>46275</v>
      </c>
      <c r="S22" s="148" t="inlineStr">
        <is>
          <t xml:space="preserve">DAY </t>
        </is>
      </c>
      <c r="T22" s="13">
        <f>U21</f>
        <v/>
      </c>
      <c r="U22" s="8" t="n">
        <v>2315</v>
      </c>
      <c r="V22" s="11">
        <f>IF(OR(T22="",U22=""),0,U22-T22)</f>
        <v/>
      </c>
      <c r="W22" s="130" t="n">
        <v>290</v>
      </c>
      <c r="X22" s="133" t="n">
        <v>2311</v>
      </c>
      <c r="Y22" s="127">
        <f>IF(OR(X20="",X22=""),"",X22-X20)</f>
        <v/>
      </c>
      <c r="Z22" s="129">
        <f>IFERROR(W22/Y22,0)</f>
        <v/>
      </c>
      <c r="AA22" s="28" t="n"/>
      <c r="AB22" s="28" t="n"/>
      <c r="AC22" s="22" t="n"/>
      <c r="AD22" s="23" t="n"/>
      <c r="AE22" s="14">
        <f>AF21</f>
        <v/>
      </c>
      <c r="AF22" s="8" t="n">
        <v>29153</v>
      </c>
      <c r="AG22" s="11">
        <f>IF(OR(AE22="",AF22=""),0,AF22-AE22)</f>
        <v/>
      </c>
      <c r="AH22" t="inlineStr">
        <is>
          <t>RAJKUMAR</t>
        </is>
      </c>
    </row>
    <row r="23">
      <c r="A23" s="17" t="n">
        <v>46275</v>
      </c>
      <c r="B23" s="148" t="inlineStr">
        <is>
          <t>NIGHT</t>
        </is>
      </c>
      <c r="C23" s="13">
        <f>D22</f>
        <v/>
      </c>
      <c r="D23" s="8" t="n">
        <v>1646</v>
      </c>
      <c r="E23" s="11">
        <f>IF(OR(C23="",D23=""),0,D23-C23)</f>
        <v/>
      </c>
      <c r="F23" s="128" t="n"/>
      <c r="G23" s="132" t="n"/>
      <c r="H23" s="128" t="n"/>
      <c r="I23" s="128" t="n"/>
      <c r="J23" s="18" t="n"/>
      <c r="K23" s="18" t="n"/>
      <c r="L23" s="22" t="n"/>
      <c r="M23" s="23" t="n"/>
      <c r="N23" s="14">
        <f>O22</f>
        <v/>
      </c>
      <c r="O23" s="8" t="n">
        <v>22378</v>
      </c>
      <c r="P23" s="11">
        <f>IF(OR(N23="",O23=""),0,O23-N23)</f>
        <v/>
      </c>
      <c r="Q23" t="inlineStr">
        <is>
          <t>SAIDULLA</t>
        </is>
      </c>
      <c r="R23" s="17" t="n">
        <v>46275</v>
      </c>
      <c r="S23" s="148" t="inlineStr">
        <is>
          <t>NIGHT</t>
        </is>
      </c>
      <c r="T23" s="13">
        <f>U22</f>
        <v/>
      </c>
      <c r="U23" s="8" t="n">
        <v>2323</v>
      </c>
      <c r="V23" s="11">
        <f>IF(OR(T23="",U23=""),0,U23-T23)</f>
        <v/>
      </c>
      <c r="W23" s="128" t="n"/>
      <c r="X23" s="132" t="n"/>
      <c r="Y23" s="128" t="n"/>
      <c r="Z23" s="128" t="n"/>
      <c r="AA23" s="28" t="n"/>
      <c r="AB23" s="28" t="n"/>
      <c r="AC23" s="22" t="n"/>
      <c r="AD23" s="23" t="n"/>
      <c r="AE23" s="14">
        <f>AF22</f>
        <v/>
      </c>
      <c r="AF23" s="8" t="n">
        <v>29257</v>
      </c>
      <c r="AG23" s="11">
        <f>IF(OR(AE23="",AF23=""),0,AF23-AE23)</f>
        <v/>
      </c>
      <c r="AH23" t="inlineStr">
        <is>
          <t>NAZEER</t>
        </is>
      </c>
    </row>
    <row r="24">
      <c r="A24" s="17" t="n">
        <v>46276</v>
      </c>
      <c r="B24" s="148" t="inlineStr">
        <is>
          <t xml:space="preserve">DAY </t>
        </is>
      </c>
      <c r="C24" s="13">
        <f>D23</f>
        <v/>
      </c>
      <c r="D24" s="8" t="n">
        <v>1655</v>
      </c>
      <c r="E24" s="11">
        <f>IF(OR(C24="",D24=""),0,D24-C24)</f>
        <v/>
      </c>
      <c r="F24" s="130" t="n">
        <v>240</v>
      </c>
      <c r="G24" s="133" t="n">
        <v>1650</v>
      </c>
      <c r="H24" s="127">
        <f>IF(OR(G22="",G24=""),"",G24-G22)</f>
        <v/>
      </c>
      <c r="I24" s="129">
        <f>IFERROR(F24/H24,0)</f>
        <v/>
      </c>
      <c r="J24" s="18" t="n"/>
      <c r="K24" s="18" t="n"/>
      <c r="L24" s="22" t="n"/>
      <c r="M24" s="23" t="n"/>
      <c r="N24" s="14">
        <f>O23</f>
        <v/>
      </c>
      <c r="O24" s="8" t="n">
        <v>22494</v>
      </c>
      <c r="P24" s="11">
        <f>IF(OR(N24="",O24=""),0,O24-N24)</f>
        <v/>
      </c>
      <c r="Q24" t="inlineStr">
        <is>
          <t>PANKAJ</t>
        </is>
      </c>
      <c r="R24" s="17" t="n">
        <v>46276</v>
      </c>
      <c r="S24" s="148" t="inlineStr">
        <is>
          <t xml:space="preserve">DAY </t>
        </is>
      </c>
      <c r="T24" s="13">
        <f>U23</f>
        <v/>
      </c>
      <c r="U24" s="8" t="n">
        <v>2331</v>
      </c>
      <c r="V24" s="11">
        <f>IF(OR(T24="",U24=""),0,U24-T24)</f>
        <v/>
      </c>
      <c r="W24" s="130" t="n">
        <v>220</v>
      </c>
      <c r="X24" s="133" t="n">
        <v>2327</v>
      </c>
      <c r="Y24" s="127">
        <f>IF(OR(X22="",X24=""),"",X24-X22)</f>
        <v/>
      </c>
      <c r="Z24" s="129">
        <f>IFERROR(W24/Y24,0)</f>
        <v/>
      </c>
      <c r="AA24" s="28" t="n"/>
      <c r="AB24" s="28" t="n"/>
      <c r="AC24" s="22" t="n"/>
      <c r="AD24" s="23" t="n"/>
      <c r="AE24" s="14">
        <f>AF23</f>
        <v/>
      </c>
      <c r="AF24" s="8" t="n">
        <v>29424</v>
      </c>
      <c r="AG24" s="11">
        <f>IF(OR(AE24="",AF24=""),0,AF24-AE24)</f>
        <v/>
      </c>
      <c r="AH24" t="inlineStr">
        <is>
          <t>RAJKUMAR</t>
        </is>
      </c>
    </row>
    <row r="25">
      <c r="A25" s="17" t="n">
        <v>46276</v>
      </c>
      <c r="B25" s="148" t="inlineStr">
        <is>
          <t>NIGHT</t>
        </is>
      </c>
      <c r="C25" s="13">
        <f>D24</f>
        <v/>
      </c>
      <c r="D25" s="8" t="n">
        <v>1664</v>
      </c>
      <c r="E25" s="11">
        <f>IF(OR(C25="",D25=""),0,D25-C25)</f>
        <v/>
      </c>
      <c r="F25" s="128" t="n"/>
      <c r="G25" s="132" t="n"/>
      <c r="H25" s="128" t="n"/>
      <c r="I25" s="128" t="n"/>
      <c r="J25" s="18" t="n"/>
      <c r="K25" s="18" t="n"/>
      <c r="L25" s="22" t="n"/>
      <c r="M25" s="23" t="n"/>
      <c r="N25" s="14">
        <f>O24</f>
        <v/>
      </c>
      <c r="O25" s="8" t="n">
        <v>22609</v>
      </c>
      <c r="P25" s="11">
        <f>IF(OR(N25="",O25=""),0,O25-N25)</f>
        <v/>
      </c>
      <c r="Q25" t="inlineStr">
        <is>
          <t>SAIDULLA</t>
        </is>
      </c>
      <c r="R25" s="17" t="n">
        <v>46276</v>
      </c>
      <c r="S25" s="148" t="inlineStr">
        <is>
          <t>NIGHT</t>
        </is>
      </c>
      <c r="T25" s="13">
        <f>U24</f>
        <v/>
      </c>
      <c r="U25" s="8" t="n">
        <v>2340</v>
      </c>
      <c r="V25" s="11">
        <f>IF(OR(T25="",U25=""),0,U25-T25)</f>
        <v/>
      </c>
      <c r="W25" s="128" t="n"/>
      <c r="X25" s="132" t="n"/>
      <c r="Y25" s="128" t="n"/>
      <c r="Z25" s="128" t="n"/>
      <c r="AA25" s="28" t="n"/>
      <c r="AB25" s="28" t="n"/>
      <c r="AC25" s="22" t="n"/>
      <c r="AD25" s="23" t="n"/>
      <c r="AE25" s="14">
        <f>AF24</f>
        <v/>
      </c>
      <c r="AF25" s="8" t="n">
        <v>29546</v>
      </c>
      <c r="AG25" s="11">
        <f>IF(OR(AE25="",AF25=""),0,AF25-AE25)</f>
        <v/>
      </c>
      <c r="AH25" t="inlineStr">
        <is>
          <t>NAZEER</t>
        </is>
      </c>
    </row>
    <row r="26">
      <c r="A26" s="17" t="n">
        <v>46277</v>
      </c>
      <c r="B26" s="148" t="inlineStr">
        <is>
          <t xml:space="preserve">DAY </t>
        </is>
      </c>
      <c r="C26" s="13">
        <f>D25</f>
        <v/>
      </c>
      <c r="D26" s="127" t="n">
        <v>1673</v>
      </c>
      <c r="E26" s="11">
        <f>IF(OR(C26="",D26=""),0,D26-C26)</f>
        <v/>
      </c>
      <c r="F26" s="134" t="n">
        <v>170</v>
      </c>
      <c r="G26" s="131" t="n">
        <v>1670</v>
      </c>
      <c r="H26" s="127">
        <f>IF(OR(G24="",G26=""),"",G26-G24)</f>
        <v/>
      </c>
      <c r="I26" s="129">
        <f>IFERROR(F26/H26,0)</f>
        <v/>
      </c>
      <c r="J26" s="18" t="n"/>
      <c r="K26" s="18" t="n"/>
      <c r="L26" s="22" t="n"/>
      <c r="M26" s="23" t="n"/>
      <c r="N26" s="14">
        <f>O25</f>
        <v/>
      </c>
      <c r="O26" s="127" t="n">
        <v>22745</v>
      </c>
      <c r="P26" s="11">
        <f>IF(OR(N26="",O26=""),0,O26-N26)</f>
        <v/>
      </c>
      <c r="Q26" t="inlineStr">
        <is>
          <t>NAZEER</t>
        </is>
      </c>
      <c r="R26" s="17" t="n">
        <v>46277</v>
      </c>
      <c r="S26" s="148" t="inlineStr">
        <is>
          <t xml:space="preserve">DAY </t>
        </is>
      </c>
      <c r="T26" s="13">
        <f>U25</f>
        <v/>
      </c>
      <c r="U26" s="127" t="n">
        <v>2351</v>
      </c>
      <c r="V26" s="11">
        <f>IF(OR(T26="",U26=""),0,U26-T26)</f>
        <v/>
      </c>
      <c r="W26" s="134" t="n">
        <v>210</v>
      </c>
      <c r="X26" s="131" t="n">
        <v>2345</v>
      </c>
      <c r="Y26" s="127">
        <f>IF(OR(X24="",X26=""),"",X26-X24)</f>
        <v/>
      </c>
      <c r="Z26" s="129">
        <f>IFERROR(W26/Y26,0)</f>
        <v/>
      </c>
      <c r="AA26" s="9" t="n"/>
      <c r="AB26" s="9" t="n"/>
      <c r="AC26" s="15" t="n"/>
      <c r="AD26" s="16" t="n"/>
      <c r="AE26" s="14">
        <f>AF25</f>
        <v/>
      </c>
      <c r="AF26" s="127" t="n">
        <v>29700</v>
      </c>
      <c r="AG26" s="11">
        <f>IF(OR(AE26="",AF26=""),0,AF26-AE26)</f>
        <v/>
      </c>
      <c r="AH26" t="inlineStr">
        <is>
          <t>AMAN</t>
        </is>
      </c>
    </row>
    <row r="27">
      <c r="A27" s="17" t="n">
        <v>46277</v>
      </c>
      <c r="B27" s="148" t="inlineStr">
        <is>
          <t>NIGHT</t>
        </is>
      </c>
      <c r="C27" s="13">
        <f>D26</f>
        <v/>
      </c>
      <c r="D27" s="127" t="n">
        <v>1681</v>
      </c>
      <c r="E27" s="11">
        <f>IF(OR(C27="",D27=""),0,D27-C27)</f>
        <v/>
      </c>
      <c r="F27" s="128" t="n"/>
      <c r="G27" s="132" t="n"/>
      <c r="H27" s="128" t="n"/>
      <c r="I27" s="128" t="n"/>
      <c r="J27" s="18" t="n"/>
      <c r="K27" s="18" t="n"/>
      <c r="L27" s="22" t="n"/>
      <c r="M27" s="23" t="n"/>
      <c r="N27" s="14">
        <f>O26</f>
        <v/>
      </c>
      <c r="O27" s="127" t="n">
        <v>22894</v>
      </c>
      <c r="P27" s="11">
        <f>IF(OR(N27="",O27=""),0,O27-N27)</f>
        <v/>
      </c>
      <c r="Q27" t="inlineStr">
        <is>
          <t>PANKAJ</t>
        </is>
      </c>
      <c r="R27" s="17" t="n">
        <v>46277</v>
      </c>
      <c r="S27" s="148" t="inlineStr">
        <is>
          <t>NIGHT</t>
        </is>
      </c>
      <c r="T27" s="13">
        <f>U26</f>
        <v/>
      </c>
      <c r="U27" s="127" t="n">
        <v>2359</v>
      </c>
      <c r="V27" s="11">
        <f>IF(OR(T27="",U27=""),0,U27-T27)</f>
        <v/>
      </c>
      <c r="W27" s="128" t="n"/>
      <c r="X27" s="132" t="n"/>
      <c r="Y27" s="128" t="n"/>
      <c r="Z27" s="128" t="n"/>
      <c r="AA27" s="9" t="n"/>
      <c r="AB27" s="9" t="n"/>
      <c r="AC27" s="15" t="n"/>
      <c r="AD27" s="16" t="n"/>
      <c r="AE27" s="14">
        <f>AF26</f>
        <v/>
      </c>
      <c r="AF27" s="127" t="n">
        <v>29820</v>
      </c>
      <c r="AG27" s="11">
        <f>IF(OR(AE27="",AF27=""),0,AF27-AE27)</f>
        <v/>
      </c>
      <c r="AH27" t="inlineStr">
        <is>
          <t>RAJKUMAR</t>
        </is>
      </c>
    </row>
    <row r="28">
      <c r="A28" s="17" t="n">
        <v>46278</v>
      </c>
      <c r="B28" s="148" t="inlineStr">
        <is>
          <t xml:space="preserve">DAY </t>
        </is>
      </c>
      <c r="C28" s="13">
        <f>D27</f>
        <v/>
      </c>
      <c r="D28" s="8" t="n">
        <v>1690</v>
      </c>
      <c r="E28" s="11">
        <f>IF(OR(C28="",D28=""),0,D28-C28)</f>
        <v/>
      </c>
      <c r="F28" s="130" t="n">
        <v>280</v>
      </c>
      <c r="G28" s="133" t="n">
        <v>1684</v>
      </c>
      <c r="H28" s="127">
        <f>IF(OR(G26="",G28=""),"",G28-G26)</f>
        <v/>
      </c>
      <c r="I28" s="129">
        <f>IFERROR(F28/H28,0)</f>
        <v/>
      </c>
      <c r="J28" s="18" t="n"/>
      <c r="K28" s="18" t="n"/>
      <c r="L28" s="22" t="n"/>
      <c r="M28" s="23" t="n"/>
      <c r="N28" s="14">
        <f>O27</f>
        <v/>
      </c>
      <c r="O28" s="8" t="n">
        <v>23042</v>
      </c>
      <c r="P28" s="11">
        <f>IF(OR(N28="",O28=""),0,O28-N28)</f>
        <v/>
      </c>
      <c r="Q28" t="inlineStr">
        <is>
          <t>NAZEER</t>
        </is>
      </c>
      <c r="R28" s="17" t="n">
        <v>46278</v>
      </c>
      <c r="S28" s="148" t="inlineStr">
        <is>
          <t xml:space="preserve">DAY </t>
        </is>
      </c>
      <c r="T28" s="13">
        <f>U27</f>
        <v/>
      </c>
      <c r="U28" s="8" t="n">
        <v>2369</v>
      </c>
      <c r="V28" s="11">
        <f>IF(OR(T28="",U28=""),0,U28-T28)</f>
        <v/>
      </c>
      <c r="W28" s="130" t="n">
        <v>230</v>
      </c>
      <c r="X28" s="133" t="n">
        <v>2363</v>
      </c>
      <c r="Y28" s="127">
        <f>IF(OR(X26="",X28=""),"",X28-X26)</f>
        <v/>
      </c>
      <c r="Z28" s="129">
        <f>IFERROR(W28/Y28,0)</f>
        <v/>
      </c>
      <c r="AA28" s="28" t="n"/>
      <c r="AB28" s="28" t="n"/>
      <c r="AC28" s="22" t="n"/>
      <c r="AD28" s="23" t="n"/>
      <c r="AE28" s="14">
        <f>AF27</f>
        <v/>
      </c>
      <c r="AF28" s="8" t="n">
        <v>30002</v>
      </c>
      <c r="AG28" s="11">
        <f>IF(OR(AE28="",AF28=""),0,AF28-AE28)</f>
        <v/>
      </c>
      <c r="AH28" t="inlineStr">
        <is>
          <t>AMAN</t>
        </is>
      </c>
    </row>
    <row r="29">
      <c r="A29" s="17" t="n">
        <v>46278</v>
      </c>
      <c r="B29" s="148" t="inlineStr">
        <is>
          <t>NIGHT</t>
        </is>
      </c>
      <c r="C29" s="13">
        <f>D28</f>
        <v/>
      </c>
      <c r="D29" s="8" t="n">
        <v>1697</v>
      </c>
      <c r="E29" s="11">
        <f>IF(OR(C29="",D29=""),0,D29-C29)</f>
        <v/>
      </c>
      <c r="F29" s="128" t="n"/>
      <c r="G29" s="132" t="n"/>
      <c r="H29" s="128" t="n"/>
      <c r="I29" s="128" t="n"/>
      <c r="J29" s="18" t="n"/>
      <c r="K29" s="18" t="n"/>
      <c r="L29" s="22" t="n"/>
      <c r="M29" s="23" t="n"/>
      <c r="N29" s="14">
        <f>O28</f>
        <v/>
      </c>
      <c r="O29" s="8" t="n">
        <v>23160</v>
      </c>
      <c r="P29" s="11">
        <f>IF(OR(N29="",O29=""),0,O29-N29)</f>
        <v/>
      </c>
      <c r="Q29" t="inlineStr">
        <is>
          <t>PANKAJ</t>
        </is>
      </c>
      <c r="R29" s="17" t="n">
        <v>46278</v>
      </c>
      <c r="S29" s="148" t="inlineStr">
        <is>
          <t>NIGHT</t>
        </is>
      </c>
      <c r="T29" s="13">
        <f>U28</f>
        <v/>
      </c>
      <c r="U29" s="8" t="n">
        <v>2379</v>
      </c>
      <c r="V29" s="11">
        <f>IF(OR(T29="",U29=""),0,U29-T29)</f>
        <v/>
      </c>
      <c r="W29" s="128" t="n"/>
      <c r="X29" s="132" t="n"/>
      <c r="Y29" s="128" t="n"/>
      <c r="Z29" s="128" t="n"/>
      <c r="AA29" s="18" t="n"/>
      <c r="AB29" s="18" t="n"/>
      <c r="AC29" s="22" t="n"/>
      <c r="AD29" s="23" t="n"/>
      <c r="AE29" s="14">
        <f>AF28</f>
        <v/>
      </c>
      <c r="AF29" s="8" t="n">
        <v>30221</v>
      </c>
      <c r="AG29" s="11">
        <f>IF(OR(AE29="",AF29=""),0,AF29-AE29)</f>
        <v/>
      </c>
      <c r="AH29" t="inlineStr">
        <is>
          <t>RAJKUMAR</t>
        </is>
      </c>
    </row>
    <row r="30">
      <c r="A30" s="17" t="n">
        <v>46279</v>
      </c>
      <c r="B30" s="148" t="inlineStr">
        <is>
          <t xml:space="preserve">DAY </t>
        </is>
      </c>
      <c r="C30" s="13">
        <f>D29</f>
        <v/>
      </c>
      <c r="D30" s="8" t="n">
        <v>1706</v>
      </c>
      <c r="E30" s="11">
        <f>IF(OR(C30="",D30=""),0,D30-C30)</f>
        <v/>
      </c>
      <c r="F30" s="130" t="n">
        <v>250</v>
      </c>
      <c r="G30" s="133" t="n">
        <v>1700</v>
      </c>
      <c r="H30" s="127">
        <f>IF(OR(G28="",G30=""),"",G30-G28)</f>
        <v/>
      </c>
      <c r="I30" s="129">
        <f>IFERROR(F30/H30,0)</f>
        <v/>
      </c>
      <c r="J30" s="18" t="n"/>
      <c r="K30" s="18" t="n"/>
      <c r="L30" s="22" t="n"/>
      <c r="M30" s="23" t="n"/>
      <c r="N30" s="14">
        <f>O29</f>
        <v/>
      </c>
      <c r="O30" s="8" t="n">
        <v>23324</v>
      </c>
      <c r="P30" s="11">
        <f>IF(OR(N30="",O30=""),0,O30-N30)</f>
        <v/>
      </c>
      <c r="Q30" t="inlineStr">
        <is>
          <t>SAIDULLA</t>
        </is>
      </c>
      <c r="R30" s="17" t="n">
        <v>46279</v>
      </c>
      <c r="S30" s="148" t="inlineStr">
        <is>
          <t xml:space="preserve">DAY </t>
        </is>
      </c>
      <c r="T30" s="13">
        <f>U29</f>
        <v/>
      </c>
      <c r="U30" s="8" t="n">
        <v>2389</v>
      </c>
      <c r="V30" s="11">
        <f>IF(OR(T30="",U30=""),0,U30-T30)</f>
        <v/>
      </c>
      <c r="W30" s="130" t="n">
        <v>270</v>
      </c>
      <c r="X30" s="133" t="n">
        <v>2384</v>
      </c>
      <c r="Y30" s="127">
        <f>IF(OR(X28="",X30=""),"",X30-X28)</f>
        <v/>
      </c>
      <c r="Z30" s="129">
        <f>IFERROR(W30/Y30,0)</f>
        <v/>
      </c>
      <c r="AA30" s="18" t="n"/>
      <c r="AB30" s="18" t="n"/>
      <c r="AC30" s="22" t="n"/>
      <c r="AD30" s="23" t="n"/>
      <c r="AE30" s="14">
        <f>AF29</f>
        <v/>
      </c>
      <c r="AF30" s="8" t="n">
        <v>30381</v>
      </c>
      <c r="AG30" s="11">
        <f>IF(OR(AE30="",AF30=""),0,AF30-AE30)</f>
        <v/>
      </c>
      <c r="AH30" t="inlineStr">
        <is>
          <t>KANHAIYA</t>
        </is>
      </c>
    </row>
    <row r="31">
      <c r="A31" s="17" t="n">
        <v>46279</v>
      </c>
      <c r="B31" s="148" t="inlineStr">
        <is>
          <t>NIGHT</t>
        </is>
      </c>
      <c r="C31" s="13">
        <f>D30</f>
        <v/>
      </c>
      <c r="D31" s="8" t="n">
        <v>1716</v>
      </c>
      <c r="E31" s="11">
        <f>IF(OR(C31="",D31=""),0,D31-C31)</f>
        <v/>
      </c>
      <c r="F31" s="128" t="n"/>
      <c r="G31" s="132" t="n"/>
      <c r="H31" s="128" t="n"/>
      <c r="I31" s="128" t="n"/>
      <c r="J31" s="18" t="n"/>
      <c r="K31" s="18" t="n"/>
      <c r="L31" s="22" t="n"/>
      <c r="M31" s="23" t="n"/>
      <c r="N31" s="14">
        <f>O30</f>
        <v/>
      </c>
      <c r="O31" s="8" t="n">
        <v>23461</v>
      </c>
      <c r="P31" s="11">
        <f>IF(OR(N31="",O31=""),0,O31-N31)</f>
        <v/>
      </c>
      <c r="Q31" t="inlineStr">
        <is>
          <t>NAZEER</t>
        </is>
      </c>
      <c r="R31" s="17" t="n">
        <v>46279</v>
      </c>
      <c r="S31" s="148" t="inlineStr">
        <is>
          <t>NIGHT</t>
        </is>
      </c>
      <c r="T31" s="13">
        <f>U30</f>
        <v/>
      </c>
      <c r="U31" s="8" t="n">
        <v>2399</v>
      </c>
      <c r="V31" s="11">
        <f>IF(OR(T31="",U31=""),0,U31-T31)</f>
        <v/>
      </c>
      <c r="W31" s="128" t="n"/>
      <c r="X31" s="132" t="n"/>
      <c r="Y31" s="128" t="n"/>
      <c r="Z31" s="128" t="n"/>
      <c r="AA31" s="18" t="n"/>
      <c r="AB31" s="18" t="n"/>
      <c r="AC31" s="22" t="n"/>
      <c r="AD31" s="23" t="n"/>
      <c r="AE31" s="14">
        <f>AF30</f>
        <v/>
      </c>
      <c r="AF31" s="8" t="n">
        <v>30597</v>
      </c>
      <c r="AG31" s="11">
        <f>IF(OR(AE31="",AF31=""),0,AF31-AE31)</f>
        <v/>
      </c>
      <c r="AH31" t="inlineStr">
        <is>
          <t>AMAN</t>
        </is>
      </c>
    </row>
    <row r="32">
      <c r="A32" s="17" t="n">
        <v>46280</v>
      </c>
      <c r="B32" s="127" t="inlineStr">
        <is>
          <t xml:space="preserve">DAY </t>
        </is>
      </c>
      <c r="C32" s="13">
        <f>D31</f>
        <v/>
      </c>
      <c r="D32" s="8" t="n">
        <v>1726</v>
      </c>
      <c r="E32" s="11">
        <f>IF(OR(C32="",D32=""),0,D32-C32)</f>
        <v/>
      </c>
      <c r="F32" s="130" t="n">
        <v>270</v>
      </c>
      <c r="G32" s="133" t="n">
        <v>1720</v>
      </c>
      <c r="H32" s="127">
        <f>IF(OR(G30="",G32=""),"",G32-G30)</f>
        <v/>
      </c>
      <c r="I32" s="129">
        <f>IFERROR(F32/H32,0)</f>
        <v/>
      </c>
      <c r="J32" s="18" t="n"/>
      <c r="K32" s="18" t="n"/>
      <c r="L32" s="22" t="n"/>
      <c r="M32" s="23" t="n"/>
      <c r="N32" s="14">
        <f>O31</f>
        <v/>
      </c>
      <c r="O32" s="13" t="n">
        <v>23628</v>
      </c>
      <c r="P32" s="11">
        <f>IF(OR(N32="",O32=""),0,O32-N32)</f>
        <v/>
      </c>
      <c r="Q32" t="inlineStr">
        <is>
          <t>SAIDULLA</t>
        </is>
      </c>
      <c r="R32" s="17" t="n">
        <v>46280</v>
      </c>
      <c r="S32" s="127" t="inlineStr">
        <is>
          <t xml:space="preserve">DAY </t>
        </is>
      </c>
      <c r="T32" s="13">
        <f>U31</f>
        <v/>
      </c>
      <c r="U32" s="8" t="n">
        <v>2408</v>
      </c>
      <c r="V32" s="11">
        <f>IF(OR(T32="",U32=""),0,U32-T32)</f>
        <v/>
      </c>
      <c r="W32" s="130" t="n">
        <v>270</v>
      </c>
      <c r="X32" s="133" t="n">
        <v>2404</v>
      </c>
      <c r="Y32" s="127">
        <f>IF(OR(X30="",X32=""),"",X32-X30)</f>
        <v/>
      </c>
      <c r="Z32" s="129">
        <f>IFERROR(W32/Y32,0)</f>
        <v/>
      </c>
      <c r="AA32" s="24" t="n"/>
      <c r="AB32" s="24" t="n"/>
      <c r="AC32" s="22" t="n"/>
      <c r="AD32" s="23" t="n"/>
      <c r="AE32" s="14">
        <f>AF31</f>
        <v/>
      </c>
      <c r="AF32" s="13" t="n">
        <v>30720</v>
      </c>
      <c r="AG32" s="11">
        <f>IF(OR(AE32="",AF32=""),0,AF32-AE32)</f>
        <v/>
      </c>
      <c r="AH32" t="inlineStr">
        <is>
          <t>KANHAIYA</t>
        </is>
      </c>
    </row>
    <row r="33">
      <c r="A33" s="17" t="n">
        <v>46280</v>
      </c>
      <c r="B33" s="127" t="inlineStr">
        <is>
          <t>NIGHT</t>
        </is>
      </c>
      <c r="C33" s="13">
        <f>D32</f>
        <v/>
      </c>
      <c r="D33" s="13" t="n">
        <v>1736</v>
      </c>
      <c r="E33" s="11">
        <f>IF(OR(C33="",D33=""),0,D33-C33)</f>
        <v/>
      </c>
      <c r="F33" s="128" t="n"/>
      <c r="G33" s="132" t="n"/>
      <c r="H33" s="128" t="n"/>
      <c r="I33" s="128" t="n"/>
      <c r="J33" s="18" t="n"/>
      <c r="K33" s="18" t="n"/>
      <c r="L33" s="22" t="n"/>
      <c r="M33" s="23" t="n"/>
      <c r="N33" s="14">
        <f>O32</f>
        <v/>
      </c>
      <c r="O33" s="13" t="n">
        <v>23768</v>
      </c>
      <c r="P33" s="11">
        <f>IF(OR(N33="",O33=""),0,O33-N33)</f>
        <v/>
      </c>
      <c r="Q33" t="inlineStr">
        <is>
          <t>NAZEER</t>
        </is>
      </c>
      <c r="R33" s="17" t="n">
        <v>46280</v>
      </c>
      <c r="S33" s="127" t="inlineStr">
        <is>
          <t>NIGHT</t>
        </is>
      </c>
      <c r="T33" s="13">
        <f>U32</f>
        <v/>
      </c>
      <c r="U33" s="13" t="n">
        <v>2416</v>
      </c>
      <c r="V33" s="11">
        <f>IF(OR(T33="",U33=""),0,U33-T33)</f>
        <v/>
      </c>
      <c r="W33" s="128" t="n"/>
      <c r="X33" s="132" t="n"/>
      <c r="Y33" s="128" t="n"/>
      <c r="Z33" s="128" t="n"/>
      <c r="AA33" s="25" t="n"/>
      <c r="AB33" s="25" t="n"/>
      <c r="AC33" s="15" t="n"/>
      <c r="AD33" s="16" t="n"/>
      <c r="AE33" s="14">
        <f>AF32</f>
        <v/>
      </c>
      <c r="AF33" s="13" t="n">
        <v>30858</v>
      </c>
      <c r="AG33" s="11">
        <f>IF(OR(AE33="",AF33=""),0,AF33-AE33)</f>
        <v/>
      </c>
      <c r="AH33" t="inlineStr">
        <is>
          <t>AMAN</t>
        </is>
      </c>
    </row>
    <row r="34">
      <c r="A34" s="17" t="n">
        <v>46281</v>
      </c>
      <c r="B34" s="127" t="inlineStr">
        <is>
          <t xml:space="preserve">DAY </t>
        </is>
      </c>
      <c r="C34" s="13">
        <f>D33</f>
        <v/>
      </c>
      <c r="D34" s="13" t="n">
        <v>1742</v>
      </c>
      <c r="E34" s="11">
        <f>IF(OR(C34="",D34=""),0,D34-C34)</f>
        <v/>
      </c>
      <c r="F34" s="130" t="n">
        <v>160</v>
      </c>
      <c r="G34" s="131" t="n">
        <v>1737</v>
      </c>
      <c r="H34" s="127">
        <f>IF(OR(G32="",G34=""),"",G34-G32)</f>
        <v/>
      </c>
      <c r="I34" s="129">
        <f>IFERROR(F34/H34,0)</f>
        <v/>
      </c>
      <c r="J34" s="18" t="n"/>
      <c r="K34" s="18" t="n"/>
      <c r="L34" s="22" t="n"/>
      <c r="M34" s="23" t="n"/>
      <c r="N34" s="14">
        <f>O33</f>
        <v/>
      </c>
      <c r="O34" s="13" t="n">
        <v>23846</v>
      </c>
      <c r="P34" s="11">
        <f>IF(OR(N34="",O34=""),0,O34-N34)</f>
        <v/>
      </c>
      <c r="Q34" t="inlineStr">
        <is>
          <t>PANKAJ</t>
        </is>
      </c>
      <c r="R34" s="17" t="n">
        <v>46281</v>
      </c>
      <c r="S34" s="127" t="inlineStr">
        <is>
          <t xml:space="preserve">DAY </t>
        </is>
      </c>
      <c r="T34" s="13">
        <f>U33</f>
        <v/>
      </c>
      <c r="U34" s="13" t="n">
        <v>2423</v>
      </c>
      <c r="V34" s="11">
        <f>IF(OR(T34="",U34=""),0,U34-T34)</f>
        <v/>
      </c>
      <c r="W34" s="130" t="n">
        <v>180</v>
      </c>
      <c r="X34" s="131" t="n">
        <v>2419</v>
      </c>
      <c r="Y34" s="127">
        <f>IF(OR(X32="",X34=""),"",X34-X32)</f>
        <v/>
      </c>
      <c r="Z34" s="129">
        <f>IFERROR(W34/Y34,0)</f>
        <v/>
      </c>
      <c r="AA34" s="24" t="n"/>
      <c r="AB34" s="24" t="n"/>
      <c r="AC34" s="22" t="n"/>
      <c r="AD34" s="23" t="n"/>
      <c r="AE34" s="14">
        <f>AF33</f>
        <v/>
      </c>
      <c r="AF34" s="13" t="n">
        <v>30970</v>
      </c>
      <c r="AG34" s="11">
        <f>IF(OR(AE34="",AF34=""),0,AF34-AE34)</f>
        <v/>
      </c>
      <c r="AH34" t="inlineStr">
        <is>
          <t>RAJKUMAR</t>
        </is>
      </c>
    </row>
    <row r="35">
      <c r="A35" s="17" t="n">
        <v>46281</v>
      </c>
      <c r="B35" s="127" t="inlineStr">
        <is>
          <t>NIGHT</t>
        </is>
      </c>
      <c r="C35" s="13">
        <f>D34</f>
        <v/>
      </c>
      <c r="D35" s="13" t="n">
        <v>1751</v>
      </c>
      <c r="E35" s="11">
        <f>IF(OR(C35="",D35=""),0,D35-C35)</f>
        <v/>
      </c>
      <c r="F35" s="128" t="n"/>
      <c r="G35" s="132" t="n"/>
      <c r="H35" s="128" t="n"/>
      <c r="I35" s="128" t="n"/>
      <c r="J35" s="18" t="n"/>
      <c r="K35" s="18" t="n"/>
      <c r="L35" s="22" t="n"/>
      <c r="M35" s="23" t="n"/>
      <c r="N35" s="14">
        <f>O34</f>
        <v/>
      </c>
      <c r="O35" s="13" t="n">
        <v>23970</v>
      </c>
      <c r="P35" s="11">
        <f>IF(OR(N35="",O35=""),0,O35-N35)</f>
        <v/>
      </c>
      <c r="Q35" t="inlineStr">
        <is>
          <t>SAIDULLA</t>
        </is>
      </c>
      <c r="R35" s="17" t="n">
        <v>46281</v>
      </c>
      <c r="S35" s="127" t="inlineStr">
        <is>
          <t>NIGHT</t>
        </is>
      </c>
      <c r="T35" s="13">
        <f>U34</f>
        <v/>
      </c>
      <c r="U35" s="13" t="n">
        <v>2432</v>
      </c>
      <c r="V35" s="11">
        <f>IF(OR(T35="",U35=""),0,U35-T35)</f>
        <v/>
      </c>
      <c r="W35" s="128" t="n"/>
      <c r="X35" s="132" t="n"/>
      <c r="Y35" s="128" t="n"/>
      <c r="Z35" s="128" t="n"/>
      <c r="AA35" s="25" t="n"/>
      <c r="AB35" s="25" t="n"/>
      <c r="AC35" s="15" t="n"/>
      <c r="AD35" s="16" t="n"/>
      <c r="AE35" s="14">
        <f>AF34</f>
        <v/>
      </c>
      <c r="AF35" s="13" t="n">
        <v>31149</v>
      </c>
      <c r="AG35" s="11">
        <f>IF(OR(AE35="",AF35=""),0,AF35-AE35)</f>
        <v/>
      </c>
      <c r="AH35" t="inlineStr">
        <is>
          <t>AMAN</t>
        </is>
      </c>
    </row>
    <row r="36">
      <c r="A36" s="17" t="n">
        <v>46282</v>
      </c>
      <c r="B36" s="127" t="inlineStr">
        <is>
          <t xml:space="preserve">DAY </t>
        </is>
      </c>
      <c r="C36" s="13">
        <f>D35</f>
        <v/>
      </c>
      <c r="D36" s="13" t="n">
        <v>1759</v>
      </c>
      <c r="E36" s="11">
        <f>IF(OR(C36="",D36=""),0,D36-C36)</f>
        <v/>
      </c>
      <c r="F36" s="130" t="n">
        <v>270</v>
      </c>
      <c r="G36" s="131" t="n">
        <v>1756</v>
      </c>
      <c r="H36" s="127">
        <f>IF(OR(G34="",G36=""),"",G36-G34)</f>
        <v/>
      </c>
      <c r="I36" s="129">
        <f>IFERROR(F36/H36,0)</f>
        <v/>
      </c>
      <c r="J36" s="18" t="n"/>
      <c r="K36" s="18" t="n"/>
      <c r="L36" s="22" t="n"/>
      <c r="M36" s="23" t="n"/>
      <c r="N36" s="14">
        <f>O35</f>
        <v/>
      </c>
      <c r="O36" s="13" t="n">
        <v>24105</v>
      </c>
      <c r="P36" s="11">
        <f>IF(OR(N36="",O36=""),0,O36-N36)</f>
        <v/>
      </c>
      <c r="Q36" t="inlineStr">
        <is>
          <t>PANKAJ</t>
        </is>
      </c>
      <c r="R36" s="17" t="n">
        <v>46282</v>
      </c>
      <c r="S36" s="127" t="inlineStr">
        <is>
          <t xml:space="preserve">DAY </t>
        </is>
      </c>
      <c r="T36" s="13">
        <f>U35</f>
        <v/>
      </c>
      <c r="U36" s="13" t="n">
        <v>2441</v>
      </c>
      <c r="V36" s="11">
        <f>IF(OR(T36="",U36=""),0,U36-T36)</f>
        <v/>
      </c>
      <c r="W36" s="130" t="n">
        <v>270</v>
      </c>
      <c r="X36" s="131" t="n">
        <v>2437</v>
      </c>
      <c r="Y36" s="127">
        <f>IF(OR(X34="",X36=""),"",X36-X34)</f>
        <v/>
      </c>
      <c r="Z36" s="129">
        <f>IFERROR(W36/Y36,0)</f>
        <v/>
      </c>
      <c r="AA36" s="24" t="n"/>
      <c r="AB36" s="24" t="n"/>
      <c r="AC36" s="22" t="n"/>
      <c r="AD36" s="23" t="n"/>
      <c r="AE36" s="14">
        <f>AF35</f>
        <v/>
      </c>
      <c r="AF36" s="13" t="n">
        <v>31354</v>
      </c>
      <c r="AG36" s="11">
        <f>IF(OR(AE36="",AF36=""),0,AF36-AE36)</f>
        <v/>
      </c>
      <c r="AH36" t="inlineStr">
        <is>
          <t>RAJKUMAR</t>
        </is>
      </c>
    </row>
    <row r="37">
      <c r="A37" s="17" t="n">
        <v>46282</v>
      </c>
      <c r="B37" s="127" t="inlineStr">
        <is>
          <t>NIGHT</t>
        </is>
      </c>
      <c r="C37" s="13">
        <f>D36</f>
        <v/>
      </c>
      <c r="D37" s="13" t="n">
        <v>1768</v>
      </c>
      <c r="E37" s="11">
        <f>IF(OR(C37="",D37=""),0,D37-C37)</f>
        <v/>
      </c>
      <c r="F37" s="128" t="n"/>
      <c r="G37" s="132" t="n"/>
      <c r="H37" s="128" t="n"/>
      <c r="I37" s="128" t="n"/>
      <c r="J37" s="18" t="n"/>
      <c r="K37" s="18" t="n"/>
      <c r="L37" s="22" t="n"/>
      <c r="M37" s="23" t="n"/>
      <c r="N37" s="14">
        <f>O36</f>
        <v/>
      </c>
      <c r="O37" s="13" t="n">
        <v>24174</v>
      </c>
      <c r="P37" s="11">
        <f>IF(OR(N37="",O37=""),0,O37-N37)</f>
        <v/>
      </c>
      <c r="Q37" t="inlineStr">
        <is>
          <t>SAIDULLA</t>
        </is>
      </c>
      <c r="R37" s="17" t="n">
        <v>46282</v>
      </c>
      <c r="S37" s="127" t="inlineStr">
        <is>
          <t>NIGHT</t>
        </is>
      </c>
      <c r="T37" s="13">
        <f>U36</f>
        <v/>
      </c>
      <c r="U37" s="13" t="n">
        <v>2446</v>
      </c>
      <c r="V37" s="11">
        <f>IF(OR(T37="",U37=""),0,U37-T37)</f>
        <v/>
      </c>
      <c r="W37" s="128" t="n"/>
      <c r="X37" s="132" t="n"/>
      <c r="Y37" s="128" t="n"/>
      <c r="Z37" s="128" t="n"/>
      <c r="AA37" s="25" t="n"/>
      <c r="AB37" s="25" t="n"/>
      <c r="AC37" s="15" t="n"/>
      <c r="AD37" s="16" t="n"/>
      <c r="AE37" s="14">
        <f>AF36</f>
        <v/>
      </c>
      <c r="AF37" s="7" t="n">
        <v>31415</v>
      </c>
      <c r="AG37" s="11">
        <f>IF(OR(AE37="",AF37=""),0,AF37-AE37)</f>
        <v/>
      </c>
      <c r="AH37" t="inlineStr">
        <is>
          <t>NAZEER</t>
        </is>
      </c>
    </row>
    <row r="38">
      <c r="A38" s="17" t="n">
        <v>46283</v>
      </c>
      <c r="B38" s="148" t="inlineStr">
        <is>
          <t xml:space="preserve">DAY </t>
        </is>
      </c>
      <c r="C38" s="13">
        <f>D37</f>
        <v/>
      </c>
      <c r="D38" s="8" t="n">
        <v>1777</v>
      </c>
      <c r="E38" s="11">
        <f>IF(OR(C38="",D38=""),0,D38-C38)</f>
        <v/>
      </c>
      <c r="F38" s="130" t="n">
        <v>180</v>
      </c>
      <c r="G38" s="133" t="n">
        <v>1772</v>
      </c>
      <c r="H38" s="127">
        <f>IF(OR(G36="",G38=""),"",G38-G36)</f>
        <v/>
      </c>
      <c r="I38" s="129">
        <f>IFERROR(F38/H38,0)</f>
        <v/>
      </c>
      <c r="J38" s="18" t="n"/>
      <c r="K38" s="18" t="n"/>
      <c r="L38" s="22" t="n"/>
      <c r="M38" s="23" t="n"/>
      <c r="N38" s="14">
        <f>O37</f>
        <v/>
      </c>
      <c r="O38" s="26" t="n">
        <v>24330</v>
      </c>
      <c r="P38" s="11">
        <f>IF(OR(N38="",O38=""),0,O38-N38)</f>
        <v/>
      </c>
      <c r="Q38" t="inlineStr">
        <is>
          <t>Rajkumar</t>
        </is>
      </c>
      <c r="R38" s="17" t="n">
        <v>46283</v>
      </c>
      <c r="S38" s="148" t="inlineStr">
        <is>
          <t xml:space="preserve">DAY </t>
        </is>
      </c>
      <c r="T38" s="13">
        <f>U37</f>
        <v/>
      </c>
      <c r="U38" s="8" t="n">
        <v>2457</v>
      </c>
      <c r="V38" s="11">
        <f>IF(OR(T38="",U38=""),0,U38-T38)</f>
        <v/>
      </c>
      <c r="W38" s="130" t="n">
        <v>180</v>
      </c>
      <c r="X38" s="133" t="n">
        <v>2452</v>
      </c>
      <c r="Y38" s="127">
        <f>IF(OR(X36="",X38=""),"",X38-X36)</f>
        <v/>
      </c>
      <c r="Z38" s="129">
        <f>IFERROR(W38/Y38,0)</f>
        <v/>
      </c>
      <c r="AA38" s="28" t="n"/>
      <c r="AB38" s="28" t="n"/>
      <c r="AC38" s="22" t="n"/>
      <c r="AD38" s="23" t="n"/>
      <c r="AE38" s="14">
        <f>AF37</f>
        <v/>
      </c>
      <c r="AF38" s="26" t="n">
        <v>31562</v>
      </c>
      <c r="AG38" s="11">
        <f>IF(OR(AE38="",AF38=""),0,AF38-AE38)</f>
        <v/>
      </c>
      <c r="AH38" t="inlineStr">
        <is>
          <t>aman</t>
        </is>
      </c>
    </row>
    <row r="39">
      <c r="A39" s="17" t="n">
        <v>46283</v>
      </c>
      <c r="B39" s="148" t="inlineStr">
        <is>
          <t>NIGHT</t>
        </is>
      </c>
      <c r="C39" s="13">
        <f>D38</f>
        <v/>
      </c>
      <c r="D39" s="8" t="n">
        <v>1785</v>
      </c>
      <c r="E39" s="11">
        <f>IF(OR(C39="",D39=""),0,D39-C39)</f>
        <v/>
      </c>
      <c r="F39" s="128" t="n"/>
      <c r="G39" s="132" t="n"/>
      <c r="H39" s="128" t="n"/>
      <c r="I39" s="128" t="n"/>
      <c r="J39" s="18" t="n"/>
      <c r="K39" s="18" t="n"/>
      <c r="L39" s="22" t="n"/>
      <c r="M39" s="23" t="n"/>
      <c r="N39" s="14">
        <f>O38</f>
        <v/>
      </c>
      <c r="O39" s="26" t="n">
        <v>24400</v>
      </c>
      <c r="P39" s="11">
        <f>IF(OR(N39="",O39=""),0,O39-N39)</f>
        <v/>
      </c>
      <c r="Q39" t="inlineStr">
        <is>
          <t>saidullah</t>
        </is>
      </c>
      <c r="R39" s="17" t="n">
        <v>46283</v>
      </c>
      <c r="S39" s="148" t="inlineStr">
        <is>
          <t>NIGHT</t>
        </is>
      </c>
      <c r="T39" s="13">
        <f>U38</f>
        <v/>
      </c>
      <c r="U39" s="8" t="n">
        <v>2763</v>
      </c>
      <c r="V39" s="11">
        <f>IF(OR(T39="",U39=""),0,U39-T39)</f>
        <v/>
      </c>
      <c r="W39" s="128" t="n"/>
      <c r="X39" s="132" t="n"/>
      <c r="Y39" s="128" t="n"/>
      <c r="Z39" s="128" t="n"/>
      <c r="AA39" s="28" t="n"/>
      <c r="AB39" s="28" t="n"/>
      <c r="AC39" s="22" t="n"/>
      <c r="AD39" s="23" t="n"/>
      <c r="AE39" s="14">
        <f>AF38</f>
        <v/>
      </c>
      <c r="AF39" s="26" t="n">
        <v>31674</v>
      </c>
      <c r="AG39" s="11">
        <f>IF(OR(AE39="",AF39=""),0,AF39-AE39)</f>
        <v/>
      </c>
      <c r="AH39" t="inlineStr">
        <is>
          <t>pankaj</t>
        </is>
      </c>
    </row>
    <row r="40">
      <c r="A40" s="17" t="n">
        <v>46284</v>
      </c>
      <c r="B40" s="148" t="inlineStr">
        <is>
          <t xml:space="preserve">DAY </t>
        </is>
      </c>
      <c r="C40" s="13">
        <f>D39</f>
        <v/>
      </c>
      <c r="D40" s="8" t="n">
        <v>1792</v>
      </c>
      <c r="E40" s="11">
        <f>IF(OR(C40="",D40=""),0,D40-C40)</f>
        <v/>
      </c>
      <c r="F40" s="130" t="n">
        <v>110</v>
      </c>
      <c r="G40" s="133" t="n"/>
      <c r="H40" s="127">
        <f>IF(OR(G38="",G40=""),"",G40-G38)</f>
        <v/>
      </c>
      <c r="I40" s="129">
        <f>IFERROR(F40/H40,0)</f>
        <v/>
      </c>
      <c r="J40" s="18" t="n"/>
      <c r="K40" s="18" t="n"/>
      <c r="L40" s="22" t="n"/>
      <c r="M40" s="23" t="n"/>
      <c r="N40" s="14">
        <f>O39</f>
        <v/>
      </c>
      <c r="O40" s="26" t="n">
        <v>24495</v>
      </c>
      <c r="P40" s="11">
        <f>IF(OR(N40="",O40=""),0,O40-N40)</f>
        <v/>
      </c>
      <c r="R40" s="17" t="n">
        <v>46284</v>
      </c>
      <c r="S40" s="148" t="inlineStr">
        <is>
          <t xml:space="preserve">DAY </t>
        </is>
      </c>
      <c r="T40" s="13">
        <f>U39</f>
        <v/>
      </c>
      <c r="U40" s="8" t="n">
        <v>2472</v>
      </c>
      <c r="V40" s="11">
        <f>IF(OR(T40="",U40=""),0,U40-T40)</f>
        <v/>
      </c>
      <c r="W40" s="130" t="n">
        <v>190</v>
      </c>
      <c r="X40" s="133" t="n">
        <v>2467</v>
      </c>
      <c r="Y40" s="127">
        <f>IF(OR(X38="",X40=""),"",X40-X38)</f>
        <v/>
      </c>
      <c r="Z40" s="129">
        <f>IFERROR(W40/Y40,0)</f>
        <v/>
      </c>
      <c r="AA40" s="25" t="n"/>
      <c r="AB40" s="25" t="n"/>
      <c r="AC40" s="22" t="n"/>
      <c r="AD40" s="23" t="n"/>
      <c r="AE40" s="14">
        <f>AF39</f>
        <v/>
      </c>
      <c r="AF40" s="26" t="n">
        <v>31811</v>
      </c>
      <c r="AG40" s="11">
        <f>IF(OR(AE40="",AF40=""),0,AF40-AE40)</f>
        <v/>
      </c>
    </row>
    <row r="41">
      <c r="A41" s="17" t="n">
        <v>46284</v>
      </c>
      <c r="B41" s="148" t="inlineStr">
        <is>
          <t>NIGHT</t>
        </is>
      </c>
      <c r="C41" s="13">
        <f>D40</f>
        <v/>
      </c>
      <c r="D41" s="8" t="n">
        <v>1799</v>
      </c>
      <c r="E41" s="11">
        <f>IF(OR(C41="",D41=""),0,D41-C41)</f>
        <v/>
      </c>
      <c r="F41" s="128" t="n"/>
      <c r="G41" s="132" t="n"/>
      <c r="H41" s="128" t="n"/>
      <c r="I41" s="128" t="n"/>
      <c r="J41" s="18" t="n"/>
      <c r="K41" s="18" t="n"/>
      <c r="L41" s="22" t="n"/>
      <c r="M41" s="23" t="n"/>
      <c r="N41" s="14">
        <f>O40</f>
        <v/>
      </c>
      <c r="O41" s="26" t="n">
        <v>24638</v>
      </c>
      <c r="P41" s="11">
        <f>IF(OR(N41="",O41=""),0,O41-N41)</f>
        <v/>
      </c>
      <c r="R41" s="17" t="n">
        <v>46284</v>
      </c>
      <c r="S41" s="148" t="inlineStr">
        <is>
          <t>NIGHT</t>
        </is>
      </c>
      <c r="T41" s="13">
        <f>U40</f>
        <v/>
      </c>
      <c r="U41" s="8" t="n">
        <v>2479</v>
      </c>
      <c r="V41" s="11">
        <f>IF(OR(T41="",U41=""),0,U41-T41)</f>
        <v/>
      </c>
      <c r="W41" s="128" t="n"/>
      <c r="X41" s="132" t="n"/>
      <c r="Y41" s="128" t="n"/>
      <c r="Z41" s="128" t="n"/>
      <c r="AA41" s="28" t="n"/>
      <c r="AB41" s="28" t="n"/>
      <c r="AC41" s="22" t="n"/>
      <c r="AD41" s="23" t="n"/>
      <c r="AE41" s="14">
        <f>AF40</f>
        <v/>
      </c>
      <c r="AF41" s="26" t="n">
        <v>31937</v>
      </c>
      <c r="AG41" s="11">
        <f>IF(OR(AE41="",AF41=""),0,AF41-AE41)</f>
        <v/>
      </c>
    </row>
    <row r="42">
      <c r="A42" s="17" t="n">
        <v>46285</v>
      </c>
      <c r="B42" s="148" t="inlineStr">
        <is>
          <t xml:space="preserve">DAY </t>
        </is>
      </c>
      <c r="C42" s="13">
        <f>D41</f>
        <v/>
      </c>
      <c r="D42" s="8" t="n">
        <v>1809</v>
      </c>
      <c r="E42" s="11">
        <f>IF(OR(C42="",D42=""),0,D42-C42)</f>
        <v/>
      </c>
      <c r="F42" s="130" t="n">
        <v>260</v>
      </c>
      <c r="G42" s="133" t="n">
        <v>1803</v>
      </c>
      <c r="H42" s="127">
        <f>IF(OR(G40="",G42=""),"",G42-G40)</f>
        <v/>
      </c>
      <c r="I42" s="129">
        <f>IFERROR(F42/H42,0)</f>
        <v/>
      </c>
      <c r="J42" s="18" t="n"/>
      <c r="K42" s="18" t="n"/>
      <c r="L42" s="22" t="n"/>
      <c r="M42" s="23" t="n"/>
      <c r="N42" s="14">
        <f>O41</f>
        <v/>
      </c>
      <c r="O42" s="26" t="n">
        <v>24832</v>
      </c>
      <c r="P42" s="11">
        <f>IF(OR(N42="",O42=""),0,O42-N42)</f>
        <v/>
      </c>
      <c r="R42" s="17" t="n">
        <v>46285</v>
      </c>
      <c r="S42" s="148" t="inlineStr">
        <is>
          <t xml:space="preserve">DAY </t>
        </is>
      </c>
      <c r="T42" s="13">
        <f>U41</f>
        <v/>
      </c>
      <c r="U42" s="8" t="n">
        <v>2488</v>
      </c>
      <c r="V42" s="11">
        <f>IF(OR(T42="",U42=""),0,U42-T42)</f>
        <v/>
      </c>
      <c r="W42" s="130" t="n">
        <v>220</v>
      </c>
      <c r="X42" s="133" t="n">
        <v>2489</v>
      </c>
      <c r="Y42" s="127">
        <f>IF(OR(X40="",X42=""),"",X42-X40)</f>
        <v/>
      </c>
      <c r="Z42" s="129">
        <f>IFERROR(W42/Y42,0)</f>
        <v/>
      </c>
      <c r="AA42" s="28" t="n"/>
      <c r="AB42" s="28" t="n"/>
      <c r="AC42" s="22" t="n"/>
      <c r="AD42" s="23" t="n"/>
      <c r="AE42" s="14">
        <f>AF41</f>
        <v/>
      </c>
      <c r="AF42" s="26" t="n">
        <v>32091</v>
      </c>
      <c r="AG42" s="11">
        <f>IF(OR(AE42="",AF42=""),0,AF42-AE42)</f>
        <v/>
      </c>
    </row>
    <row r="43">
      <c r="A43" s="17" t="n">
        <v>46285</v>
      </c>
      <c r="B43" s="148" t="inlineStr">
        <is>
          <t>NIGHT</t>
        </is>
      </c>
      <c r="C43" s="13">
        <f>D42</f>
        <v/>
      </c>
      <c r="D43" s="8" t="n"/>
      <c r="E43" s="11">
        <f>IF(OR(C43="",D43=""),0,D43-C43)</f>
        <v/>
      </c>
      <c r="F43" s="128" t="n"/>
      <c r="G43" s="132" t="n"/>
      <c r="H43" s="128" t="n"/>
      <c r="I43" s="128" t="n"/>
      <c r="J43" s="18" t="n"/>
      <c r="K43" s="18" t="n"/>
      <c r="L43" s="22" t="n"/>
      <c r="M43" s="23" t="n"/>
      <c r="N43" s="14">
        <f>O42</f>
        <v/>
      </c>
      <c r="O43" s="26" t="n"/>
      <c r="P43" s="11">
        <f>IF(OR(N43="",O43=""),0,O43-N43)</f>
        <v/>
      </c>
      <c r="R43" s="17" t="n">
        <v>46285</v>
      </c>
      <c r="S43" s="148" t="inlineStr">
        <is>
          <t>NIGHT</t>
        </is>
      </c>
      <c r="T43" s="13">
        <f>U42</f>
        <v/>
      </c>
      <c r="U43" s="8" t="n">
        <v>2496</v>
      </c>
      <c r="V43" s="11">
        <f>IF(OR(T43="",U43=""),0,U43-T43)</f>
        <v/>
      </c>
      <c r="W43" s="128" t="n"/>
      <c r="X43" s="132" t="n"/>
      <c r="Y43" s="128" t="n"/>
      <c r="Z43" s="128" t="n"/>
      <c r="AA43" s="28" t="n"/>
      <c r="AB43" s="28" t="n"/>
      <c r="AC43" s="22" t="n"/>
      <c r="AD43" s="23" t="n"/>
      <c r="AE43" s="14">
        <f>AF42</f>
        <v/>
      </c>
      <c r="AF43" s="26" t="n">
        <v>32169</v>
      </c>
      <c r="AG43" s="11">
        <f>IF(OR(AE43="",AF43=""),0,AF43-AE43)</f>
        <v/>
      </c>
    </row>
    <row r="44">
      <c r="A44" s="17" t="n">
        <v>46286</v>
      </c>
      <c r="B44" s="148" t="inlineStr">
        <is>
          <t xml:space="preserve">DAY </t>
        </is>
      </c>
      <c r="C44" s="13">
        <f>D43</f>
        <v/>
      </c>
      <c r="D44" s="8" t="n">
        <v>1824</v>
      </c>
      <c r="E44" s="11">
        <f>IF(OR(C44="",D44=""),0,D44-C44)</f>
        <v/>
      </c>
      <c r="F44" s="130" t="n">
        <v>230</v>
      </c>
      <c r="G44" s="133" t="n">
        <v>1820</v>
      </c>
      <c r="H44" s="127">
        <f>IF(OR(G42="",G44=""),"",G44-G42)</f>
        <v/>
      </c>
      <c r="I44" s="129">
        <f>IFERROR(F44/H44,0)</f>
        <v/>
      </c>
      <c r="J44" s="18" t="n"/>
      <c r="K44" s="18" t="n"/>
      <c r="L44" s="22" t="n"/>
      <c r="M44" s="23" t="n"/>
      <c r="N44" s="14">
        <f>O43</f>
        <v/>
      </c>
      <c r="O44" s="31" t="n">
        <v>25053</v>
      </c>
      <c r="P44" s="11">
        <f>IF(OR(N44="",O44=""),0,O44-N44)</f>
        <v/>
      </c>
      <c r="R44" s="17" t="n">
        <v>46286</v>
      </c>
      <c r="S44" s="148" t="inlineStr">
        <is>
          <t xml:space="preserve">DAY </t>
        </is>
      </c>
      <c r="T44" s="13">
        <f>U43</f>
        <v/>
      </c>
      <c r="U44" s="8" t="n">
        <v>2503</v>
      </c>
      <c r="V44" s="11">
        <f>IF(OR(T44="",U44=""),0,U44-T44)</f>
        <v/>
      </c>
      <c r="W44" s="130" t="n">
        <v>220</v>
      </c>
      <c r="X44" s="133" t="n">
        <v>2499</v>
      </c>
      <c r="Y44" s="127">
        <f>IF(OR(X42="",X44=""),"",X44-X42)</f>
        <v/>
      </c>
      <c r="Z44" s="129">
        <f>IFERROR(W44/Y44,0)</f>
        <v/>
      </c>
      <c r="AA44" s="28" t="n"/>
      <c r="AB44" s="28" t="n"/>
      <c r="AC44" s="22" t="n"/>
      <c r="AD44" s="23" t="n"/>
      <c r="AE44" s="14">
        <f>AF43</f>
        <v/>
      </c>
      <c r="AF44" s="31" t="n">
        <v>32233</v>
      </c>
      <c r="AG44" s="11">
        <f>IF(OR(AE44="",AF44=""),0,AF44-AE44)</f>
        <v/>
      </c>
    </row>
    <row r="45">
      <c r="A45" s="17" t="n">
        <v>46286</v>
      </c>
      <c r="B45" s="148" t="inlineStr">
        <is>
          <t>NIGHT</t>
        </is>
      </c>
      <c r="C45" s="13">
        <f>D44</f>
        <v/>
      </c>
      <c r="D45" s="8" t="n">
        <v>1830</v>
      </c>
      <c r="E45" s="11">
        <f>IF(OR(C45="",D45=""),0,D45-C45)</f>
        <v/>
      </c>
      <c r="F45" s="128" t="n"/>
      <c r="G45" s="132" t="n"/>
      <c r="H45" s="128" t="n"/>
      <c r="I45" s="128" t="n"/>
      <c r="J45" s="18" t="n"/>
      <c r="K45" s="18" t="n"/>
      <c r="L45" s="22" t="n"/>
      <c r="M45" s="23" t="n"/>
      <c r="N45" s="14">
        <f>O44</f>
        <v/>
      </c>
      <c r="O45" s="31" t="n">
        <v>25130</v>
      </c>
      <c r="P45" s="11">
        <f>IF(OR(N45="",O45=""),0,O45-N45)</f>
        <v/>
      </c>
      <c r="R45" s="17" t="n">
        <v>46286</v>
      </c>
      <c r="S45" s="148" t="inlineStr">
        <is>
          <t>NIGHT</t>
        </is>
      </c>
      <c r="T45" s="13">
        <f>U44</f>
        <v/>
      </c>
      <c r="U45" s="8" t="n">
        <v>2510</v>
      </c>
      <c r="V45" s="11">
        <f>IF(OR(T45="",U45=""),0,U45-T45)</f>
        <v/>
      </c>
      <c r="W45" s="128" t="n"/>
      <c r="X45" s="132" t="n"/>
      <c r="Y45" s="128" t="n"/>
      <c r="Z45" s="128" t="n"/>
      <c r="AA45" s="28" t="n"/>
      <c r="AB45" s="28" t="n"/>
      <c r="AC45" s="22" t="n"/>
      <c r="AD45" s="23" t="n"/>
      <c r="AE45" s="14">
        <f>AF44</f>
        <v/>
      </c>
      <c r="AF45" s="31" t="n">
        <v>32325</v>
      </c>
      <c r="AG45" s="11">
        <f>IF(OR(AE45="",AF45=""),0,AF45-AE45)</f>
        <v/>
      </c>
    </row>
    <row r="46">
      <c r="A46" s="17" t="n">
        <v>46287</v>
      </c>
      <c r="B46" s="148" t="inlineStr">
        <is>
          <t xml:space="preserve">DAY </t>
        </is>
      </c>
      <c r="C46" s="13">
        <f>D45</f>
        <v/>
      </c>
      <c r="D46" s="8" t="n">
        <v>1839</v>
      </c>
      <c r="E46" s="11">
        <f>IF(OR(C46="",D46=""),0,D46-C46)</f>
        <v/>
      </c>
      <c r="F46" s="130" t="n">
        <v>151</v>
      </c>
      <c r="G46" s="133" t="n">
        <v>1835</v>
      </c>
      <c r="H46" s="127">
        <f>IF(OR(G44="",G46=""),"",G46-G44)</f>
        <v/>
      </c>
      <c r="I46" s="129">
        <f>IFERROR(F46/H46,0)</f>
        <v/>
      </c>
      <c r="J46" s="18" t="n"/>
      <c r="K46" s="18" t="n"/>
      <c r="L46" s="22" t="n"/>
      <c r="M46" s="23" t="n"/>
      <c r="N46" s="14">
        <f>O45</f>
        <v/>
      </c>
      <c r="O46" s="31" t="n">
        <v>25265</v>
      </c>
      <c r="P46" s="11">
        <f>IF(OR(N46="",O46=""),0,O46-N46)</f>
        <v/>
      </c>
      <c r="R46" s="17" t="n">
        <v>46287</v>
      </c>
      <c r="S46" s="148" t="inlineStr">
        <is>
          <t xml:space="preserve">DAY </t>
        </is>
      </c>
      <c r="T46" s="13">
        <f>U45</f>
        <v/>
      </c>
      <c r="U46" s="8" t="n">
        <v>2521</v>
      </c>
      <c r="V46" s="11">
        <f>IF(OR(T46="",U46=""),0,U46-T46)</f>
        <v/>
      </c>
      <c r="W46" s="130" t="n">
        <v>160</v>
      </c>
      <c r="X46" s="133" t="n">
        <v>2516</v>
      </c>
      <c r="Y46" s="127">
        <f>IF(OR(X44="",X46=""),"",X46-X44)</f>
        <v/>
      </c>
      <c r="Z46" s="129">
        <f>IFERROR(W46/Y46,0)</f>
        <v/>
      </c>
      <c r="AA46" s="28" t="n"/>
      <c r="AB46" s="28" t="n"/>
      <c r="AC46" s="22" t="n"/>
      <c r="AD46" s="23" t="n"/>
      <c r="AE46" s="14">
        <f>AF45</f>
        <v/>
      </c>
      <c r="AF46" s="31" t="n">
        <v>32488</v>
      </c>
      <c r="AG46" s="11">
        <f>IF(OR(AE46="",AF46=""),0,AF46-AE46)</f>
        <v/>
      </c>
    </row>
    <row r="47">
      <c r="A47" s="17" t="n">
        <v>46287</v>
      </c>
      <c r="B47" s="148" t="inlineStr">
        <is>
          <t>NIGHT</t>
        </is>
      </c>
      <c r="C47" s="13">
        <f>D46</f>
        <v/>
      </c>
      <c r="D47" s="8" t="n">
        <v>1847</v>
      </c>
      <c r="E47" s="11">
        <f>IF(OR(C47="",D47=""),0,D47-C47)</f>
        <v/>
      </c>
      <c r="F47" s="128" t="n"/>
      <c r="G47" s="132" t="n"/>
      <c r="H47" s="128" t="n"/>
      <c r="I47" s="128" t="n"/>
      <c r="J47" s="18" t="n"/>
      <c r="K47" s="18" t="n"/>
      <c r="L47" s="22" t="n"/>
      <c r="M47" s="23" t="n"/>
      <c r="N47" s="14">
        <f>O46</f>
        <v/>
      </c>
      <c r="O47" s="31" t="n">
        <v>25404</v>
      </c>
      <c r="P47" s="11">
        <f>IF(OR(N47="",O47=""),0,O47-N47)</f>
        <v/>
      </c>
      <c r="R47" s="17" t="n">
        <v>46287</v>
      </c>
      <c r="S47" s="148" t="inlineStr">
        <is>
          <t>NIGHT</t>
        </is>
      </c>
      <c r="T47" s="13">
        <f>U46</f>
        <v/>
      </c>
      <c r="U47" s="8" t="n">
        <v>2530</v>
      </c>
      <c r="V47" s="11">
        <f>IF(OR(T47="",U47=""),0,U47-T47)</f>
        <v/>
      </c>
      <c r="W47" s="128" t="n"/>
      <c r="X47" s="132" t="n"/>
      <c r="Y47" s="128" t="n"/>
      <c r="Z47" s="128" t="n"/>
      <c r="AA47" s="28" t="n"/>
      <c r="AB47" s="28" t="n"/>
      <c r="AC47" s="22" t="n"/>
      <c r="AD47" s="23" t="n"/>
      <c r="AE47" s="14">
        <f>AF46</f>
        <v/>
      </c>
      <c r="AF47" s="31" t="n">
        <v>32713</v>
      </c>
      <c r="AG47" s="11">
        <f>IF(OR(AE47="",AF47=""),0,AF47-AE47)</f>
        <v/>
      </c>
    </row>
    <row r="48">
      <c r="A48" s="17" t="n">
        <v>46288</v>
      </c>
      <c r="B48" s="148" t="inlineStr">
        <is>
          <t xml:space="preserve">DAY </t>
        </is>
      </c>
      <c r="C48" s="13">
        <f>D47</f>
        <v/>
      </c>
      <c r="D48" s="8" t="n">
        <v>1855</v>
      </c>
      <c r="E48" s="11">
        <f>IF(OR(C48="",D48=""),0,D48-C48)</f>
        <v/>
      </c>
      <c r="F48" s="130" t="n">
        <v>300</v>
      </c>
      <c r="G48" s="133" t="n">
        <v>1852</v>
      </c>
      <c r="H48" s="127">
        <f>IF(OR(G46="",G48=""),"",G48-G46)</f>
        <v/>
      </c>
      <c r="I48" s="129">
        <f>IFERROR(F48/H48,0)</f>
        <v/>
      </c>
      <c r="J48" s="18" t="n"/>
      <c r="K48" s="18" t="n"/>
      <c r="L48" s="22" t="n"/>
      <c r="M48" s="23" t="n"/>
      <c r="N48" s="14">
        <f>O47</f>
        <v/>
      </c>
      <c r="O48" s="31" t="n">
        <v>25519</v>
      </c>
      <c r="P48" s="11">
        <f>IF(OR(N48="",O48=""),0,O48-N48)</f>
        <v/>
      </c>
      <c r="Q48" t="inlineStr">
        <is>
          <t>PANKAJ</t>
        </is>
      </c>
      <c r="R48" s="17" t="n">
        <v>46288</v>
      </c>
      <c r="S48" s="148" t="inlineStr">
        <is>
          <t xml:space="preserve">DAY </t>
        </is>
      </c>
      <c r="T48" s="13">
        <f>U47</f>
        <v/>
      </c>
      <c r="U48" s="8" t="n">
        <v>2539</v>
      </c>
      <c r="V48" s="11">
        <f>IF(OR(T48="",U48=""),0,U48-T48)</f>
        <v/>
      </c>
      <c r="W48" s="130" t="n">
        <v>300</v>
      </c>
      <c r="X48" s="133" t="n">
        <v>2537</v>
      </c>
      <c r="Y48" s="127">
        <f>IF(OR(X46="",X48=""),"",X48-X46)</f>
        <v/>
      </c>
      <c r="Z48" s="129">
        <f>IFERROR(W48/Y48,0)</f>
        <v/>
      </c>
      <c r="AA48" s="28" t="n"/>
      <c r="AB48" s="28" t="n"/>
      <c r="AC48" s="22" t="n"/>
      <c r="AD48" s="23" t="n"/>
      <c r="AE48" s="14">
        <f>AF47</f>
        <v/>
      </c>
      <c r="AF48" s="31" t="n">
        <v>32834</v>
      </c>
      <c r="AG48" s="11">
        <f>IF(OR(AE48="",AF48=""),0,AF48-AE48)</f>
        <v/>
      </c>
      <c r="AH48" t="inlineStr">
        <is>
          <t>KANHAIYA</t>
        </is>
      </c>
    </row>
    <row r="49">
      <c r="A49" s="17" t="n">
        <v>46288</v>
      </c>
      <c r="B49" s="148" t="inlineStr">
        <is>
          <t>NIGHT</t>
        </is>
      </c>
      <c r="C49" s="13">
        <f>D48</f>
        <v/>
      </c>
      <c r="D49" s="8" t="n">
        <v>1863</v>
      </c>
      <c r="E49" s="11">
        <f>IF(OR(C49="",D49=""),0,D49-C49)</f>
        <v/>
      </c>
      <c r="F49" s="128" t="n"/>
      <c r="G49" s="132" t="n"/>
      <c r="H49" s="128" t="n"/>
      <c r="I49" s="128" t="n"/>
      <c r="J49" s="18" t="n"/>
      <c r="K49" s="18" t="n"/>
      <c r="L49" s="22" t="n"/>
      <c r="M49" s="23" t="n"/>
      <c r="N49" s="14">
        <f>O48</f>
        <v/>
      </c>
      <c r="O49" s="31" t="n">
        <v>25595</v>
      </c>
      <c r="P49" s="11">
        <f>IF(OR(N49="",O49=""),0,O49-N49)</f>
        <v/>
      </c>
      <c r="Q49" t="inlineStr">
        <is>
          <t>NAZEER</t>
        </is>
      </c>
      <c r="R49" s="17" t="n">
        <v>46288</v>
      </c>
      <c r="S49" s="148" t="inlineStr">
        <is>
          <t>NIGHT</t>
        </is>
      </c>
      <c r="T49" s="13">
        <f>U48</f>
        <v/>
      </c>
      <c r="U49" s="8" t="n">
        <v>2546</v>
      </c>
      <c r="V49" s="11">
        <f>IF(OR(T49="",U49=""),0,U49-T49)</f>
        <v/>
      </c>
      <c r="W49" s="128" t="n"/>
      <c r="X49" s="132" t="n"/>
      <c r="Y49" s="128" t="n"/>
      <c r="Z49" s="128" t="n"/>
      <c r="AA49" s="28" t="n"/>
      <c r="AB49" s="28" t="n"/>
      <c r="AC49" s="22" t="n"/>
      <c r="AD49" s="23" t="n"/>
      <c r="AE49" s="14">
        <f>AF48</f>
        <v/>
      </c>
      <c r="AF49" s="31" t="n">
        <v>32944</v>
      </c>
      <c r="AG49" s="11">
        <f>IF(OR(AE49="",AF49=""),0,AF49-AE49)</f>
        <v/>
      </c>
      <c r="AH49" t="inlineStr">
        <is>
          <t>RAJKUMAR</t>
        </is>
      </c>
    </row>
    <row r="50">
      <c r="A50" s="17" t="n">
        <v>46289</v>
      </c>
      <c r="B50" s="148" t="inlineStr">
        <is>
          <t xml:space="preserve">DAY </t>
        </is>
      </c>
      <c r="C50" s="13">
        <f>D49</f>
        <v/>
      </c>
      <c r="D50" s="8" t="n">
        <v>1872</v>
      </c>
      <c r="E50" s="11">
        <f>IF(OR(C50="",D50=""),0,D50-C50)</f>
        <v/>
      </c>
      <c r="F50" s="130" t="n">
        <v>180</v>
      </c>
      <c r="G50" s="133" t="n">
        <v>1867</v>
      </c>
      <c r="H50" s="127">
        <f>IF(OR(G48="",G50=""),"",G50-G48)</f>
        <v/>
      </c>
      <c r="I50" s="129">
        <f>IFERROR(F50/H50,0)</f>
        <v/>
      </c>
      <c r="J50" s="18" t="n"/>
      <c r="K50" s="18" t="n"/>
      <c r="L50" s="22" t="n"/>
      <c r="M50" s="23" t="n"/>
      <c r="N50" s="14">
        <f>O49</f>
        <v/>
      </c>
      <c r="O50" s="31" t="n">
        <v>25726</v>
      </c>
      <c r="P50" s="11">
        <f>IF(OR(N50="",O50=""),0,O50-N50)</f>
        <v/>
      </c>
      <c r="Q50" t="inlineStr">
        <is>
          <t>KANHAIYA</t>
        </is>
      </c>
      <c r="R50" s="17" t="n">
        <v>46289</v>
      </c>
      <c r="S50" s="148" t="inlineStr">
        <is>
          <t xml:space="preserve">DAY </t>
        </is>
      </c>
      <c r="T50" s="13">
        <f>U49</f>
        <v/>
      </c>
      <c r="U50" s="8" t="n">
        <v>2556</v>
      </c>
      <c r="V50" s="11">
        <f>IF(OR(T50="",U50=""),0,U50-T50)</f>
        <v/>
      </c>
      <c r="W50" s="130" t="n">
        <v>130</v>
      </c>
      <c r="X50" s="133" t="n">
        <v>2550</v>
      </c>
      <c r="Y50" s="127">
        <f>IF(OR(X48="",X50=""),"",X50-X48)</f>
        <v/>
      </c>
      <c r="Z50" s="129">
        <f>IFERROR(W50/Y50,0)</f>
        <v/>
      </c>
      <c r="AA50" s="28" t="n"/>
      <c r="AB50" s="28" t="n"/>
      <c r="AC50" s="22" t="n"/>
      <c r="AD50" s="23" t="n"/>
      <c r="AE50" s="14">
        <f>AF49</f>
        <v/>
      </c>
      <c r="AF50" s="31" t="n">
        <v>33140</v>
      </c>
      <c r="AG50" s="11">
        <f>IF(OR(AE50="",AF50=""),0,AF50-AE50)</f>
        <v/>
      </c>
      <c r="AH50" t="inlineStr">
        <is>
          <t>aman</t>
        </is>
      </c>
    </row>
    <row r="51">
      <c r="A51" s="17" t="n">
        <v>46289</v>
      </c>
      <c r="B51" s="148" t="inlineStr">
        <is>
          <t>NIGHT</t>
        </is>
      </c>
      <c r="C51" s="13">
        <f>D50</f>
        <v/>
      </c>
      <c r="D51" s="8" t="n">
        <v>1880</v>
      </c>
      <c r="E51" s="11">
        <f>IF(OR(C51="",D51=""),0,D51-C51)</f>
        <v/>
      </c>
      <c r="F51" s="128" t="n"/>
      <c r="G51" s="132" t="n"/>
      <c r="H51" s="128" t="n"/>
      <c r="I51" s="128" t="n"/>
      <c r="J51" s="18" t="n"/>
      <c r="K51" s="18" t="n"/>
      <c r="L51" s="22" t="n"/>
      <c r="M51" s="23" t="n"/>
      <c r="N51" s="14">
        <f>O50</f>
        <v/>
      </c>
      <c r="O51" s="31" t="n">
        <v>25851</v>
      </c>
      <c r="P51" s="11">
        <f>IF(OR(N51="",O51=""),0,O51-N51)</f>
        <v/>
      </c>
      <c r="Q51" t="inlineStr">
        <is>
          <t>PANKAJ</t>
        </is>
      </c>
      <c r="R51" s="17" t="n">
        <v>46289</v>
      </c>
      <c r="S51" s="148" t="inlineStr">
        <is>
          <t>NIGHT</t>
        </is>
      </c>
      <c r="T51" s="13">
        <f>U50</f>
        <v/>
      </c>
      <c r="U51" s="8" t="n">
        <v>2563</v>
      </c>
      <c r="V51" s="11">
        <f>IF(OR(T51="",U51=""),0,U51-T51)</f>
        <v/>
      </c>
      <c r="W51" s="128" t="n"/>
      <c r="X51" s="132" t="n"/>
      <c r="Y51" s="128" t="n"/>
      <c r="Z51" s="128" t="n"/>
      <c r="AA51" s="28" t="n"/>
      <c r="AB51" s="28" t="n"/>
      <c r="AC51" s="22" t="n"/>
      <c r="AD51" s="23" t="n"/>
      <c r="AE51" s="14">
        <f>AF50</f>
        <v/>
      </c>
      <c r="AF51" s="31" t="n">
        <v>33228</v>
      </c>
      <c r="AG51" s="11">
        <f>IF(OR(AE51="",AF51=""),0,AF51-AE51)</f>
        <v/>
      </c>
      <c r="AH51" t="inlineStr">
        <is>
          <t>nazeer</t>
        </is>
      </c>
    </row>
    <row r="52">
      <c r="A52" s="17" t="n">
        <v>46290</v>
      </c>
      <c r="B52" s="148" t="inlineStr">
        <is>
          <t xml:space="preserve">DAY </t>
        </is>
      </c>
      <c r="C52" s="13">
        <f>D51</f>
        <v/>
      </c>
      <c r="D52" s="8" t="n"/>
      <c r="E52" s="11">
        <f>IF(OR(C52="",D52=""),0,D52-C52)</f>
        <v/>
      </c>
      <c r="F52" s="130" t="n"/>
      <c r="G52" s="133" t="n"/>
      <c r="H52" s="127">
        <f>IF(OR(G50="",G52=""),"",G52-G50)</f>
        <v/>
      </c>
      <c r="I52" s="129">
        <f>IFERROR(F52/H52,0)</f>
        <v/>
      </c>
      <c r="J52" s="28" t="n"/>
      <c r="K52" s="28" t="n"/>
      <c r="L52" s="22" t="n"/>
      <c r="M52" s="23" t="n"/>
      <c r="N52" s="14">
        <f>O51</f>
        <v/>
      </c>
      <c r="O52" s="31" t="n"/>
      <c r="P52" s="11">
        <f>IF(OR(N52="",O52=""),0,O52-N52)</f>
        <v/>
      </c>
      <c r="R52" s="17" t="n">
        <v>46290</v>
      </c>
      <c r="S52" s="148" t="inlineStr">
        <is>
          <t xml:space="preserve">DAY </t>
        </is>
      </c>
      <c r="T52" s="13">
        <f>U51</f>
        <v/>
      </c>
      <c r="U52" s="8" t="n"/>
      <c r="V52" s="11">
        <f>IF(OR(T52="",U52=""),0,U52-T52)</f>
        <v/>
      </c>
      <c r="W52" s="130" t="n"/>
      <c r="X52" s="133" t="n"/>
      <c r="Y52" s="127">
        <f>IF(OR(X50="",X52=""),"",X52-X50)</f>
        <v/>
      </c>
      <c r="Z52" s="129">
        <f>IFERROR(W52/Y52,0)</f>
        <v/>
      </c>
      <c r="AA52" s="28" t="n"/>
      <c r="AB52" s="28" t="n"/>
      <c r="AC52" s="22" t="n"/>
      <c r="AD52" s="23" t="n"/>
      <c r="AE52" s="14">
        <f>AF51</f>
        <v/>
      </c>
      <c r="AF52" s="31" t="n"/>
      <c r="AG52" s="11">
        <f>IF(OR(AE52="",AF52=""),0,AF52-AE52)</f>
        <v/>
      </c>
    </row>
    <row r="53">
      <c r="A53" s="17" t="n">
        <v>46290</v>
      </c>
      <c r="B53" s="148" t="inlineStr">
        <is>
          <t>NIGHT</t>
        </is>
      </c>
      <c r="C53" s="13">
        <f>D52</f>
        <v/>
      </c>
      <c r="D53" s="8" t="n"/>
      <c r="E53" s="11">
        <f>IF(OR(C53="",D53=""),0,D53-C53)</f>
        <v/>
      </c>
      <c r="F53" s="128" t="n"/>
      <c r="G53" s="132" t="n"/>
      <c r="H53" s="128" t="n"/>
      <c r="I53" s="128" t="n"/>
      <c r="J53" s="28" t="n"/>
      <c r="K53" s="28" t="n"/>
      <c r="L53" s="22" t="n"/>
      <c r="M53" s="23" t="n"/>
      <c r="N53" s="14">
        <f>O52</f>
        <v/>
      </c>
      <c r="O53" s="31" t="n"/>
      <c r="P53" s="11">
        <f>IF(OR(N53="",O53=""),0,O53-N53)</f>
        <v/>
      </c>
      <c r="R53" s="17" t="n">
        <v>46290</v>
      </c>
      <c r="S53" s="148" t="inlineStr">
        <is>
          <t>NIGHT</t>
        </is>
      </c>
      <c r="T53" s="13">
        <f>U52</f>
        <v/>
      </c>
      <c r="U53" s="8" t="n"/>
      <c r="V53" s="11">
        <f>IF(OR(T53="",U53=""),0,U53-T53)</f>
        <v/>
      </c>
      <c r="W53" s="128" t="n"/>
      <c r="X53" s="132" t="n"/>
      <c r="Y53" s="128" t="n"/>
      <c r="Z53" s="128" t="n"/>
      <c r="AA53" s="28" t="n"/>
      <c r="AB53" s="28" t="n"/>
      <c r="AC53" s="22" t="n"/>
      <c r="AD53" s="23" t="n"/>
      <c r="AE53" s="14">
        <f>AF52</f>
        <v/>
      </c>
      <c r="AF53" s="31" t="n"/>
      <c r="AG53" s="11">
        <f>IF(OR(AE53="",AF53=""),0,AF53-AE53)</f>
        <v/>
      </c>
    </row>
    <row r="54">
      <c r="A54" s="17" t="n">
        <v>46291</v>
      </c>
      <c r="B54" s="148" t="inlineStr">
        <is>
          <t xml:space="preserve">DAY </t>
        </is>
      </c>
      <c r="C54" s="13">
        <f>D53</f>
        <v/>
      </c>
      <c r="D54" s="8" t="n"/>
      <c r="E54" s="11">
        <f>IF(OR(C54="",D54=""),0,D54-C54)</f>
        <v/>
      </c>
      <c r="F54" s="130" t="n"/>
      <c r="G54" s="133" t="n"/>
      <c r="H54" s="127">
        <f>IF(OR(G52="",G54=""),"",G54-G52)</f>
        <v/>
      </c>
      <c r="I54" s="129">
        <f>IFERROR(F54/H54,0)</f>
        <v/>
      </c>
      <c r="J54" s="28" t="n"/>
      <c r="K54" s="28" t="n"/>
      <c r="L54" s="22" t="n"/>
      <c r="M54" s="23" t="n"/>
      <c r="N54" s="14">
        <f>O53</f>
        <v/>
      </c>
      <c r="O54" s="31" t="n"/>
      <c r="P54" s="11">
        <f>IF(OR(N54="",O54=""),0,O54-N54)</f>
        <v/>
      </c>
      <c r="R54" s="17" t="n">
        <v>46291</v>
      </c>
      <c r="S54" s="148" t="inlineStr">
        <is>
          <t xml:space="preserve">DAY </t>
        </is>
      </c>
      <c r="T54" s="13">
        <f>U53</f>
        <v/>
      </c>
      <c r="U54" s="8" t="n"/>
      <c r="V54" s="11">
        <f>IF(OR(T54="",U54=""),0,U54-T54)</f>
        <v/>
      </c>
      <c r="W54" s="130" t="n"/>
      <c r="X54" s="133" t="n"/>
      <c r="Y54" s="127">
        <f>IF(OR(X52="",X54=""),"",X54-X52)</f>
        <v/>
      </c>
      <c r="Z54" s="129">
        <f>IFERROR(W54/Y54,0)</f>
        <v/>
      </c>
      <c r="AA54" s="28" t="n"/>
      <c r="AB54" s="28" t="n"/>
      <c r="AC54" s="22" t="n"/>
      <c r="AD54" s="23" t="n"/>
      <c r="AE54" s="14">
        <f>AF53</f>
        <v/>
      </c>
      <c r="AF54" s="31" t="n"/>
      <c r="AG54" s="11">
        <f>IF(OR(AE54="",AF54=""),0,AF54-AE54)</f>
        <v/>
      </c>
    </row>
    <row r="55">
      <c r="A55" s="17" t="n">
        <v>46291</v>
      </c>
      <c r="B55" s="148" t="inlineStr">
        <is>
          <t>NIGHT</t>
        </is>
      </c>
      <c r="C55" s="13">
        <f>D54</f>
        <v/>
      </c>
      <c r="D55" s="8" t="n"/>
      <c r="E55" s="11">
        <f>IF(OR(C55="",D55=""),0,D55-C55)</f>
        <v/>
      </c>
      <c r="F55" s="128" t="n"/>
      <c r="G55" s="132" t="n"/>
      <c r="H55" s="128" t="n"/>
      <c r="I55" s="128" t="n"/>
      <c r="J55" s="28" t="n"/>
      <c r="K55" s="28" t="n"/>
      <c r="L55" s="22" t="n"/>
      <c r="M55" s="23" t="n"/>
      <c r="N55" s="14">
        <f>O54</f>
        <v/>
      </c>
      <c r="O55" s="31" t="n"/>
      <c r="P55" s="11">
        <f>IF(OR(N55="",O55=""),0,O55-N55)</f>
        <v/>
      </c>
      <c r="R55" s="17" t="n">
        <v>46291</v>
      </c>
      <c r="S55" s="148" t="inlineStr">
        <is>
          <t>NIGHT</t>
        </is>
      </c>
      <c r="T55" s="13">
        <f>U54</f>
        <v/>
      </c>
      <c r="U55" s="8" t="n"/>
      <c r="V55" s="11">
        <f>IF(OR(T55="",U55=""),0,U55-T55)</f>
        <v/>
      </c>
      <c r="W55" s="128" t="n"/>
      <c r="X55" s="132" t="n"/>
      <c r="Y55" s="128" t="n"/>
      <c r="Z55" s="128" t="n"/>
      <c r="AA55" s="28" t="n"/>
      <c r="AB55" s="28" t="n"/>
      <c r="AC55" s="22" t="n"/>
      <c r="AD55" s="23" t="n"/>
      <c r="AE55" s="14">
        <f>AF54</f>
        <v/>
      </c>
      <c r="AF55" s="31" t="n"/>
      <c r="AG55" s="11">
        <f>IF(OR(AE55="",AF55=""),0,AF55-AE55)</f>
        <v/>
      </c>
    </row>
    <row r="56">
      <c r="A56" s="17" t="n">
        <v>46292</v>
      </c>
      <c r="B56" s="148" t="inlineStr">
        <is>
          <t xml:space="preserve">DAY </t>
        </is>
      </c>
      <c r="C56" s="13">
        <f>D55</f>
        <v/>
      </c>
      <c r="D56" s="8" t="n"/>
      <c r="E56" s="11">
        <f>IF(OR(C56="",D56=""),0,D56-C56)</f>
        <v/>
      </c>
      <c r="F56" s="130" t="n"/>
      <c r="G56" s="133" t="n"/>
      <c r="H56" s="127">
        <f>IF(OR(G54="",G56=""),"",G56-G54)</f>
        <v/>
      </c>
      <c r="I56" s="129">
        <f>IFERROR(F56/H56,0)</f>
        <v/>
      </c>
      <c r="J56" s="28" t="n"/>
      <c r="K56" s="28" t="n"/>
      <c r="L56" s="22" t="n"/>
      <c r="M56" s="23" t="n"/>
      <c r="N56" s="14">
        <f>O55</f>
        <v/>
      </c>
      <c r="O56" s="31" t="n"/>
      <c r="P56" s="11">
        <f>IF(OR(N56="",O56=""),0,O56-N56)</f>
        <v/>
      </c>
      <c r="R56" s="17" t="n">
        <v>46292</v>
      </c>
      <c r="S56" s="148" t="inlineStr">
        <is>
          <t xml:space="preserve">DAY </t>
        </is>
      </c>
      <c r="T56" s="13">
        <f>U55</f>
        <v/>
      </c>
      <c r="U56" s="8" t="n"/>
      <c r="V56" s="11">
        <f>IF(OR(T56="",U56=""),0,U56-T56)</f>
        <v/>
      </c>
      <c r="W56" s="130" t="n"/>
      <c r="X56" s="133" t="n"/>
      <c r="Y56" s="127">
        <f>IF(OR(X54="",X56=""),"",X56-X54)</f>
        <v/>
      </c>
      <c r="Z56" s="129">
        <f>IFERROR(W56/Y56,0)</f>
        <v/>
      </c>
      <c r="AA56" s="28" t="n"/>
      <c r="AB56" s="28" t="n"/>
      <c r="AC56" s="22" t="n"/>
      <c r="AD56" s="23" t="n"/>
      <c r="AE56" s="14">
        <f>AF55</f>
        <v/>
      </c>
      <c r="AF56" s="31" t="n"/>
      <c r="AG56" s="11">
        <f>IF(OR(AE56="",AF56=""),0,AF56-AE56)</f>
        <v/>
      </c>
    </row>
    <row r="57">
      <c r="A57" s="17" t="n">
        <v>46292</v>
      </c>
      <c r="B57" s="148" t="inlineStr">
        <is>
          <t>NIGHT</t>
        </is>
      </c>
      <c r="C57" s="13">
        <f>D56</f>
        <v/>
      </c>
      <c r="D57" s="8" t="n"/>
      <c r="E57" s="11">
        <f>IF(OR(C57="",D57=""),0,D57-C57)</f>
        <v/>
      </c>
      <c r="F57" s="128" t="n"/>
      <c r="G57" s="132" t="n"/>
      <c r="H57" s="128" t="n"/>
      <c r="I57" s="128" t="n"/>
      <c r="J57" s="28" t="n"/>
      <c r="K57" s="28" t="n"/>
      <c r="L57" s="22" t="n"/>
      <c r="M57" s="23" t="n"/>
      <c r="N57" s="14">
        <f>O56</f>
        <v/>
      </c>
      <c r="O57" s="31" t="n"/>
      <c r="P57" s="11">
        <f>IF(OR(N57="",O57=""),0,O57-N57)</f>
        <v/>
      </c>
      <c r="R57" s="17" t="n">
        <v>46292</v>
      </c>
      <c r="S57" s="148" t="inlineStr">
        <is>
          <t>NIGHT</t>
        </is>
      </c>
      <c r="T57" s="13">
        <f>U56</f>
        <v/>
      </c>
      <c r="U57" s="8" t="n"/>
      <c r="V57" s="11">
        <f>IF(OR(T57="",U57=""),0,U57-T57)</f>
        <v/>
      </c>
      <c r="W57" s="128" t="n"/>
      <c r="X57" s="132" t="n"/>
      <c r="Y57" s="128" t="n"/>
      <c r="Z57" s="128" t="n"/>
      <c r="AA57" s="28" t="n"/>
      <c r="AB57" s="28" t="n"/>
      <c r="AC57" s="22" t="n"/>
      <c r="AD57" s="23" t="n"/>
      <c r="AE57" s="14">
        <f>AF56</f>
        <v/>
      </c>
      <c r="AF57" s="31" t="n"/>
      <c r="AG57" s="11">
        <f>IF(OR(AE57="",AF57=""),0,AF57-AE57)</f>
        <v/>
      </c>
    </row>
    <row r="58">
      <c r="A58" s="17" t="n">
        <v>46293</v>
      </c>
      <c r="B58" s="148" t="inlineStr">
        <is>
          <t xml:space="preserve">DAY </t>
        </is>
      </c>
      <c r="C58" s="13">
        <f>D57</f>
        <v/>
      </c>
      <c r="D58" s="8" t="n"/>
      <c r="E58" s="11">
        <f>IF(OR(C58="",D58=""),0,D58-C58)</f>
        <v/>
      </c>
      <c r="F58" s="130" t="n"/>
      <c r="G58" s="133" t="n"/>
      <c r="H58" s="127">
        <f>IF(OR(G56="",G58=""),"",G58-G56)</f>
        <v/>
      </c>
      <c r="I58" s="129">
        <f>IFERROR(F58/H58,0)</f>
        <v/>
      </c>
      <c r="J58" s="28" t="n"/>
      <c r="K58" s="28" t="n"/>
      <c r="L58" s="22" t="n"/>
      <c r="M58" s="23" t="n"/>
      <c r="N58" s="14">
        <f>O57</f>
        <v/>
      </c>
      <c r="O58" s="31" t="n"/>
      <c r="P58" s="11">
        <f>IF(OR(N58="",O58=""),0,O58-N58)</f>
        <v/>
      </c>
      <c r="R58" s="17" t="n">
        <v>46293</v>
      </c>
      <c r="S58" s="148" t="inlineStr">
        <is>
          <t xml:space="preserve">DAY </t>
        </is>
      </c>
      <c r="T58" s="13">
        <f>U57</f>
        <v/>
      </c>
      <c r="U58" s="8" t="n"/>
      <c r="V58" s="11">
        <f>IF(OR(T58="",U58=""),0,U58-T58)</f>
        <v/>
      </c>
      <c r="W58" s="130" t="n"/>
      <c r="X58" s="133" t="n"/>
      <c r="Y58" s="127">
        <f>IF(OR(X56="",X58=""),"",X58-X56)</f>
        <v/>
      </c>
      <c r="Z58" s="129">
        <f>IFERROR(W58/Y58,0)</f>
        <v/>
      </c>
      <c r="AA58" s="28" t="n"/>
      <c r="AB58" s="28" t="n"/>
      <c r="AC58" s="22" t="n"/>
      <c r="AD58" s="23" t="n"/>
      <c r="AE58" s="14">
        <f>AF57</f>
        <v/>
      </c>
      <c r="AF58" s="31" t="n"/>
      <c r="AG58" s="11">
        <f>IF(OR(AE58="",AF58=""),0,AF58-AE58)</f>
        <v/>
      </c>
    </row>
    <row r="59">
      <c r="A59" s="17" t="n">
        <v>46293</v>
      </c>
      <c r="B59" s="148" t="inlineStr">
        <is>
          <t>NIGHT</t>
        </is>
      </c>
      <c r="C59" s="13">
        <f>D58</f>
        <v/>
      </c>
      <c r="D59" s="8" t="n"/>
      <c r="E59" s="11">
        <f>IF(OR(C59="",D59=""),0,D59-C59)</f>
        <v/>
      </c>
      <c r="F59" s="128" t="n"/>
      <c r="G59" s="132" t="n"/>
      <c r="H59" s="128" t="n"/>
      <c r="I59" s="128" t="n"/>
      <c r="J59" s="28" t="n"/>
      <c r="K59" s="28" t="n"/>
      <c r="L59" s="22" t="n"/>
      <c r="M59" s="23" t="n"/>
      <c r="N59" s="14">
        <f>O58</f>
        <v/>
      </c>
      <c r="O59" s="31" t="n"/>
      <c r="P59" s="11">
        <f>IF(OR(N59="",O59=""),0,O59-N59)</f>
        <v/>
      </c>
      <c r="R59" s="17" t="n">
        <v>46293</v>
      </c>
      <c r="S59" s="148" t="inlineStr">
        <is>
          <t>NIGHT</t>
        </is>
      </c>
      <c r="T59" s="13">
        <f>U58</f>
        <v/>
      </c>
      <c r="U59" s="8" t="n"/>
      <c r="V59" s="11">
        <f>IF(OR(T59="",U59=""),0,U59-T59)</f>
        <v/>
      </c>
      <c r="W59" s="128" t="n"/>
      <c r="X59" s="132" t="n"/>
      <c r="Y59" s="128" t="n"/>
      <c r="Z59" s="128" t="n"/>
      <c r="AA59" s="28" t="n"/>
      <c r="AB59" s="28" t="n"/>
      <c r="AC59" s="22" t="n"/>
      <c r="AD59" s="23" t="n"/>
      <c r="AE59" s="14">
        <f>AF58</f>
        <v/>
      </c>
      <c r="AF59" s="31" t="n"/>
      <c r="AG59" s="11">
        <f>IF(OR(AE59="",AF59=""),0,AF59-AE59)</f>
        <v/>
      </c>
    </row>
    <row r="60">
      <c r="A60" s="17" t="n">
        <v>46294</v>
      </c>
      <c r="B60" s="148" t="inlineStr">
        <is>
          <t xml:space="preserve">DAY </t>
        </is>
      </c>
      <c r="C60" s="13">
        <f>D59</f>
        <v/>
      </c>
      <c r="D60" s="8" t="n"/>
      <c r="E60" s="11">
        <f>IF(OR(C60="",D60=""),0,D60-C60)</f>
        <v/>
      </c>
      <c r="F60" s="130" t="n"/>
      <c r="G60" s="133" t="n"/>
      <c r="H60" s="127">
        <f>IF(OR(G58="",G60=""),"",G60-G58)</f>
        <v/>
      </c>
      <c r="I60" s="129">
        <f>IFERROR(F60/H60,0)</f>
        <v/>
      </c>
      <c r="J60" s="28" t="n"/>
      <c r="K60" s="28" t="n"/>
      <c r="L60" s="22" t="n"/>
      <c r="M60" s="23" t="n"/>
      <c r="N60" s="14">
        <f>O59</f>
        <v/>
      </c>
      <c r="O60" s="31" t="n"/>
      <c r="P60" s="11">
        <f>IF(OR(N60="",O60=""),0,O60-N60)</f>
        <v/>
      </c>
      <c r="R60" s="17" t="n">
        <v>46294</v>
      </c>
      <c r="S60" s="148" t="inlineStr">
        <is>
          <t xml:space="preserve">DAY </t>
        </is>
      </c>
      <c r="T60" s="13">
        <f>U59</f>
        <v/>
      </c>
      <c r="U60" s="8" t="n"/>
      <c r="V60" s="11">
        <f>IF(OR(T60="",U60=""),0,U60-T60)</f>
        <v/>
      </c>
      <c r="W60" s="130" t="n"/>
      <c r="X60" s="134" t="n"/>
      <c r="Y60" s="127">
        <f>IF(OR(X58="",X60=""),"",X60-X58)</f>
        <v/>
      </c>
      <c r="Z60" s="129">
        <f>IFERROR(W60/Y60,0)</f>
        <v/>
      </c>
      <c r="AA60" s="28" t="n"/>
      <c r="AB60" s="28" t="n"/>
      <c r="AC60" s="22" t="n"/>
      <c r="AD60" s="23" t="n"/>
      <c r="AE60" s="14">
        <f>AF59</f>
        <v/>
      </c>
      <c r="AF60" s="31" t="n"/>
      <c r="AG60" s="11">
        <f>IF(OR(AE60="",AF60=""),0,AF60-AE60)</f>
        <v/>
      </c>
    </row>
    <row r="61">
      <c r="A61" s="17" t="n">
        <v>46294</v>
      </c>
      <c r="B61" s="148" t="inlineStr">
        <is>
          <t>NIGHT</t>
        </is>
      </c>
      <c r="C61" s="13">
        <f>D60</f>
        <v/>
      </c>
      <c r="D61" s="8" t="n"/>
      <c r="E61" s="11">
        <f>IF(OR(C61="",D61=""),0,D61-C61)</f>
        <v/>
      </c>
      <c r="F61" s="128" t="n"/>
      <c r="G61" s="132" t="n"/>
      <c r="H61" s="128" t="n"/>
      <c r="I61" s="128" t="n"/>
      <c r="J61" s="28" t="n"/>
      <c r="K61" s="28" t="n"/>
      <c r="L61" s="22" t="n"/>
      <c r="M61" s="23" t="n"/>
      <c r="N61" s="14">
        <f>O60</f>
        <v/>
      </c>
      <c r="O61" s="31" t="n"/>
      <c r="P61" s="11">
        <f>IF(OR(N61="",O61=""),0,O61-N61)</f>
        <v/>
      </c>
      <c r="R61" s="17" t="n">
        <v>46294</v>
      </c>
      <c r="S61" s="148" t="inlineStr">
        <is>
          <t>NIGHT</t>
        </is>
      </c>
      <c r="T61" s="13">
        <f>U60</f>
        <v/>
      </c>
      <c r="U61" s="8" t="n"/>
      <c r="V61" s="11">
        <f>IF(OR(T61="",U61=""),0,U61-T61)</f>
        <v/>
      </c>
      <c r="W61" s="128" t="n"/>
      <c r="X61" s="128" t="n"/>
      <c r="Y61" s="128" t="n"/>
      <c r="Z61" s="128" t="n"/>
      <c r="AA61" s="28" t="n"/>
      <c r="AB61" s="28" t="n"/>
      <c r="AC61" s="22" t="n"/>
      <c r="AD61" s="23" t="n"/>
      <c r="AE61" s="14">
        <f>AF60</f>
        <v/>
      </c>
      <c r="AF61" s="31" t="n"/>
      <c r="AG61" s="11">
        <f>IF(OR(AE61="",AF61=""),0,AF61-AE61)</f>
        <v/>
      </c>
    </row>
    <row r="62">
      <c r="A62" s="17" t="n">
        <v>46295</v>
      </c>
      <c r="B62" s="148" t="inlineStr">
        <is>
          <t xml:space="preserve">DAY </t>
        </is>
      </c>
      <c r="C62" s="13">
        <f>D61</f>
        <v/>
      </c>
      <c r="D62" s="8" t="n"/>
      <c r="E62" s="11">
        <f>IF(OR(C62="",D62=""),0,D62-C62)</f>
        <v/>
      </c>
      <c r="F62" s="130" t="n"/>
      <c r="G62" s="133" t="n"/>
      <c r="H62" s="127">
        <f>IF(OR(G60="",G62=""),"",G62-G60)</f>
        <v/>
      </c>
      <c r="I62" s="129">
        <f>IFERROR(F62/H62,0)</f>
        <v/>
      </c>
      <c r="J62" s="18" t="n"/>
      <c r="K62" s="18" t="n"/>
      <c r="L62" s="22" t="n"/>
      <c r="M62" s="23" t="n"/>
      <c r="N62" s="14">
        <f>O61</f>
        <v/>
      </c>
      <c r="O62" s="31" t="n"/>
      <c r="P62" s="11">
        <f>IF(OR(N62="",O62=""),0,O62-N62)</f>
        <v/>
      </c>
      <c r="R62" s="17" t="n">
        <v>46295</v>
      </c>
      <c r="S62" s="148" t="inlineStr">
        <is>
          <t xml:space="preserve">DAY </t>
        </is>
      </c>
      <c r="T62" s="13">
        <f>U61</f>
        <v/>
      </c>
      <c r="U62" s="8" t="n"/>
      <c r="V62" s="11">
        <f>IF(OR(T62="",U62=""),0,U62-T62)</f>
        <v/>
      </c>
      <c r="W62" s="130" t="n"/>
      <c r="X62" s="133" t="n"/>
      <c r="Y62" s="127">
        <f>IF(OR(X60="",X62=""),"",X62-X60)</f>
        <v/>
      </c>
      <c r="Z62" s="129">
        <f>IFERROR(W62/Y62,0)</f>
        <v/>
      </c>
      <c r="AA62" s="28" t="n"/>
      <c r="AB62" s="28" t="n"/>
      <c r="AC62" s="22" t="n"/>
      <c r="AD62" s="23" t="n"/>
      <c r="AE62" s="14">
        <f>AF61</f>
        <v/>
      </c>
      <c r="AF62" s="31" t="n"/>
      <c r="AG62" s="11">
        <f>IF(OR(AE62="",AF62=""),0,AF62-AE62)</f>
        <v/>
      </c>
    </row>
    <row r="63">
      <c r="A63" s="17" t="n">
        <v>46295</v>
      </c>
      <c r="B63" s="148" t="inlineStr">
        <is>
          <t>NIGHT</t>
        </is>
      </c>
      <c r="C63" s="13">
        <f>D62</f>
        <v/>
      </c>
      <c r="D63" s="8" t="n"/>
      <c r="E63" s="11">
        <f>IF(OR(C63="",D63=""),0,D63-C63)</f>
        <v/>
      </c>
      <c r="F63" s="128" t="n"/>
      <c r="G63" s="132" t="n"/>
      <c r="H63" s="128" t="n"/>
      <c r="I63" s="128" t="n"/>
      <c r="J63" s="18" t="n"/>
      <c r="K63" s="18" t="n"/>
      <c r="L63" s="67" t="n"/>
      <c r="M63" s="68" t="n"/>
      <c r="N63" s="14">
        <f>O62</f>
        <v/>
      </c>
      <c r="O63" s="69" t="n"/>
      <c r="P63" s="11">
        <f>IF(OR(N63="",O63=""),0,O63-N63)</f>
        <v/>
      </c>
      <c r="R63" s="17" t="n">
        <v>46295</v>
      </c>
      <c r="S63" s="148" t="inlineStr">
        <is>
          <t>NIGHT</t>
        </is>
      </c>
      <c r="T63" s="13">
        <f>U62</f>
        <v/>
      </c>
      <c r="U63" s="8" t="n"/>
      <c r="V63" s="11">
        <f>IF(OR(T63="",U63=""),0,U63-T63)</f>
        <v/>
      </c>
      <c r="W63" s="128" t="n"/>
      <c r="X63" s="132" t="n"/>
      <c r="Y63" s="128" t="n"/>
      <c r="Z63" s="128" t="n"/>
      <c r="AA63" s="28" t="n"/>
      <c r="AB63" s="28" t="n"/>
      <c r="AC63" s="22" t="n"/>
      <c r="AD63" s="23" t="n"/>
      <c r="AE63" s="14">
        <f>AF62</f>
        <v/>
      </c>
      <c r="AF63" s="31" t="n"/>
      <c r="AG63" s="11">
        <f>IF(OR(AE63="",AF63=""),0,AF63-AE63)</f>
        <v/>
      </c>
    </row>
    <row r="64">
      <c r="A64" s="17" t="n">
        <v>46296</v>
      </c>
      <c r="B64" s="148" t="inlineStr">
        <is>
          <t xml:space="preserve">DAY </t>
        </is>
      </c>
      <c r="C64" s="13">
        <f>D63</f>
        <v/>
      </c>
      <c r="D64" s="8" t="n"/>
      <c r="E64" s="11">
        <f>IF(OR(C64="",D64=""),0,D64-C64)</f>
        <v/>
      </c>
      <c r="F64" s="130" t="n"/>
      <c r="G64" s="133" t="n"/>
      <c r="H64" s="127">
        <f>IF(OR(G62="",G64=""),"",G64-G62)</f>
        <v/>
      </c>
      <c r="I64" s="129">
        <f>IFERROR(F64/H64,0)</f>
        <v/>
      </c>
      <c r="J64" s="18" t="n"/>
      <c r="K64" s="18" t="n"/>
      <c r="L64" s="22" t="n"/>
      <c r="M64" s="23" t="n"/>
      <c r="N64" s="14">
        <f>O63</f>
        <v/>
      </c>
      <c r="O64" s="31" t="n"/>
      <c r="P64" s="11">
        <f>IF(OR(N64="",O64=""),0,O64-N64)</f>
        <v/>
      </c>
      <c r="R64" s="17" t="n">
        <v>46296</v>
      </c>
      <c r="S64" s="148" t="inlineStr">
        <is>
          <t xml:space="preserve">DAY </t>
        </is>
      </c>
      <c r="T64" s="13">
        <f>U63</f>
        <v/>
      </c>
      <c r="U64" s="8" t="n"/>
      <c r="V64" s="11">
        <f>IF(OR(T64="",U64=""),0,U64-T64)</f>
        <v/>
      </c>
      <c r="W64" s="130" t="n"/>
      <c r="X64" s="133" t="n"/>
      <c r="Y64" s="127">
        <f>IF(OR(X62="",X64=""),"",X64-X62)</f>
        <v/>
      </c>
      <c r="Z64" s="129">
        <f>IFERROR(W64/Y64,0)</f>
        <v/>
      </c>
      <c r="AA64" s="28" t="n"/>
      <c r="AB64" s="28" t="n"/>
      <c r="AC64" s="22" t="n"/>
      <c r="AD64" s="23" t="n"/>
      <c r="AE64" s="14">
        <f>AF63</f>
        <v/>
      </c>
      <c r="AF64" s="31" t="n"/>
      <c r="AG64" s="11">
        <f>IF(OR(AE64="",AF64=""),0,AF64-AE64)</f>
        <v/>
      </c>
      <c r="AH64" t="inlineStr">
        <is>
          <t>RAJKUMAR</t>
        </is>
      </c>
    </row>
    <row r="65" ht="15.75" customHeight="1" s="140" thickBot="1">
      <c r="A65" s="17" t="n">
        <v>46296</v>
      </c>
      <c r="B65" s="148" t="inlineStr">
        <is>
          <t>NIGHT</t>
        </is>
      </c>
      <c r="C65" s="13">
        <f>D64</f>
        <v/>
      </c>
      <c r="D65" s="8" t="n"/>
      <c r="E65" s="11">
        <f>IF(OR(C65="",D65=""),0,D65-C65)</f>
        <v/>
      </c>
      <c r="F65" s="128" t="n"/>
      <c r="G65" s="132" t="n"/>
      <c r="H65" s="128" t="n"/>
      <c r="I65" s="128" t="n"/>
      <c r="J65" s="66" t="n"/>
      <c r="K65" s="66" t="n"/>
      <c r="L65" s="67" t="n"/>
      <c r="M65" s="68" t="n"/>
      <c r="N65" s="14">
        <f>O64</f>
        <v/>
      </c>
      <c r="O65" s="69" t="n"/>
      <c r="P65" s="11">
        <f>IF(OR(N65="",O65=""),0,O65-N65)</f>
        <v/>
      </c>
      <c r="R65" s="17" t="n">
        <v>46296</v>
      </c>
      <c r="S65" s="148" t="inlineStr">
        <is>
          <t>NIGHT</t>
        </is>
      </c>
      <c r="T65" s="13">
        <f>U64</f>
        <v/>
      </c>
      <c r="U65" s="8" t="n"/>
      <c r="V65" s="11">
        <f>IF(OR(T65="",U65=""),0,U65-T65)</f>
        <v/>
      </c>
      <c r="W65" s="128" t="n"/>
      <c r="X65" s="132" t="n"/>
      <c r="Y65" s="128" t="n"/>
      <c r="Z65" s="128" t="n"/>
      <c r="AA65" s="28" t="n"/>
      <c r="AB65" s="28" t="n"/>
      <c r="AC65" s="22" t="n"/>
      <c r="AD65" s="23" t="n"/>
      <c r="AE65" s="14">
        <f>AF64</f>
        <v/>
      </c>
      <c r="AF65" s="31" t="n"/>
      <c r="AG65" s="11">
        <f>IF(OR(AE65="",AF65=""),0,AF65-AE65)</f>
        <v/>
      </c>
      <c r="AH65" t="inlineStr">
        <is>
          <t>KANHAIYA</t>
        </is>
      </c>
    </row>
    <row r="66" ht="16.5" customHeight="1" s="140" thickBot="1">
      <c r="A66" s="124" t="inlineStr">
        <is>
          <t>TOTAL Running Hours:</t>
        </is>
      </c>
      <c r="B66" s="125" t="n"/>
      <c r="C66" s="126" t="n"/>
      <c r="D66" s="126" t="n"/>
      <c r="E66" s="161">
        <f>SUBTOTAL(9,E4:E65)</f>
        <v/>
      </c>
      <c r="F66" s="161">
        <f>SUBTOTAL(9,F4:F65)</f>
        <v/>
      </c>
      <c r="G66" s="71" t="n"/>
      <c r="H66" s="71">
        <f>SUBTOTAL(9,H4:H65)</f>
        <v/>
      </c>
      <c r="I66" s="71">
        <f>IFERROR(F66/E66,0)</f>
        <v/>
      </c>
      <c r="J66" s="135" t="n"/>
      <c r="K66" s="136" t="n"/>
      <c r="L66" s="136" t="n"/>
      <c r="M66" s="137" t="n"/>
      <c r="N66" s="135" t="n"/>
      <c r="O66" s="135" t="n"/>
      <c r="P66" s="161">
        <f>SUBTOTAL(9,P4:P65)</f>
        <v/>
      </c>
      <c r="R66" s="145" t="inlineStr">
        <is>
          <t xml:space="preserve">TOTAL Running Hours: </t>
        </is>
      </c>
      <c r="S66" s="143" t="n"/>
      <c r="T66" s="143" t="n"/>
      <c r="U66" s="146" t="n"/>
      <c r="V66" s="161">
        <f>SUBTOTAL(9,V4:V65)</f>
        <v/>
      </c>
      <c r="W66" s="161">
        <f>SUBTOTAL(9,W4:W65)</f>
        <v/>
      </c>
      <c r="X66" s="71" t="n"/>
      <c r="Y66" s="71">
        <f>SUBTOTAL(9,Y4:Y65)</f>
        <v/>
      </c>
      <c r="Z66" s="71">
        <f>IFERROR(W66/V66,0)</f>
        <v/>
      </c>
      <c r="AA66" s="135" t="n"/>
      <c r="AB66" s="136" t="n"/>
      <c r="AC66" s="136" t="n"/>
      <c r="AD66" s="137" t="n"/>
      <c r="AE66" s="161" t="n"/>
      <c r="AF66" s="161" t="n"/>
      <c r="AG66" s="161">
        <f>SUBTOTAL(9,AG4:AG65)</f>
        <v/>
      </c>
    </row>
  </sheetData>
  <mergeCells count="255">
    <mergeCell ref="Y24:Y25"/>
    <mergeCell ref="H26:H27"/>
    <mergeCell ref="I32:I33"/>
    <mergeCell ref="F44:F45"/>
    <mergeCell ref="Z26:Z27"/>
    <mergeCell ref="I54:I55"/>
    <mergeCell ref="G8:G9"/>
    <mergeCell ref="G48:G49"/>
    <mergeCell ref="X16:X17"/>
    <mergeCell ref="H50:H51"/>
    <mergeCell ref="I16:I17"/>
    <mergeCell ref="Y26:Y27"/>
    <mergeCell ref="Z12:Z13"/>
    <mergeCell ref="G10:G11"/>
    <mergeCell ref="I26:I27"/>
    <mergeCell ref="W16:W17"/>
    <mergeCell ref="Y10:Y11"/>
    <mergeCell ref="F30:F31"/>
    <mergeCell ref="F18:F19"/>
    <mergeCell ref="H34:H35"/>
    <mergeCell ref="H52:H53"/>
    <mergeCell ref="I18:I19"/>
    <mergeCell ref="F26:F27"/>
    <mergeCell ref="Y60:Y61"/>
    <mergeCell ref="X28:X29"/>
    <mergeCell ref="H36:H37"/>
    <mergeCell ref="F42:F43"/>
    <mergeCell ref="W50:W51"/>
    <mergeCell ref="G18:G19"/>
    <mergeCell ref="Y50:Y51"/>
    <mergeCell ref="G58:G59"/>
    <mergeCell ref="I58:I59"/>
    <mergeCell ref="F62:F63"/>
    <mergeCell ref="X30:X31"/>
    <mergeCell ref="Y16:Y17"/>
    <mergeCell ref="W52:W53"/>
    <mergeCell ref="I42:I43"/>
    <mergeCell ref="G60:G61"/>
    <mergeCell ref="Y52:Y53"/>
    <mergeCell ref="X14:X15"/>
    <mergeCell ref="H28:H29"/>
    <mergeCell ref="I20:I21"/>
    <mergeCell ref="F28:F29"/>
    <mergeCell ref="F64:F65"/>
    <mergeCell ref="I60:I61"/>
    <mergeCell ref="W42:W43"/>
    <mergeCell ref="H24:H25"/>
    <mergeCell ref="Y36:Y37"/>
    <mergeCell ref="Y18:Y19"/>
    <mergeCell ref="G44:G45"/>
    <mergeCell ref="G50:G51"/>
    <mergeCell ref="G22:G23"/>
    <mergeCell ref="I44:I45"/>
    <mergeCell ref="I50:I51"/>
    <mergeCell ref="F48:F49"/>
    <mergeCell ref="H48:H49"/>
    <mergeCell ref="H30:H31"/>
    <mergeCell ref="X56:X57"/>
    <mergeCell ref="H8:H9"/>
    <mergeCell ref="G12:G13"/>
    <mergeCell ref="Y42:Y43"/>
    <mergeCell ref="I6:I7"/>
    <mergeCell ref="X46:X47"/>
    <mergeCell ref="W44:W45"/>
    <mergeCell ref="Z46:Z47"/>
    <mergeCell ref="F34:F35"/>
    <mergeCell ref="W28:W29"/>
    <mergeCell ref="F16:F17"/>
    <mergeCell ref="H10:H11"/>
    <mergeCell ref="W6:W7"/>
    <mergeCell ref="G36:G37"/>
    <mergeCell ref="Y62:Y63"/>
    <mergeCell ref="I30:I31"/>
    <mergeCell ref="F40:F41"/>
    <mergeCell ref="X48:X49"/>
    <mergeCell ref="AA66:AD66"/>
    <mergeCell ref="F36:F37"/>
    <mergeCell ref="W30:W31"/>
    <mergeCell ref="Y30:Y31"/>
    <mergeCell ref="W64:W65"/>
    <mergeCell ref="Z32:Z33"/>
    <mergeCell ref="Y64:Y65"/>
    <mergeCell ref="F20:F21"/>
    <mergeCell ref="X34:X35"/>
    <mergeCell ref="Z50:Z51"/>
    <mergeCell ref="W54:W55"/>
    <mergeCell ref="W32:W33"/>
    <mergeCell ref="Y54:Y55"/>
    <mergeCell ref="G62:G63"/>
    <mergeCell ref="I62:I63"/>
    <mergeCell ref="I56:I57"/>
    <mergeCell ref="F22:F23"/>
    <mergeCell ref="H22:H23"/>
    <mergeCell ref="Z52:Z53"/>
    <mergeCell ref="W56:W57"/>
    <mergeCell ref="G64:G65"/>
    <mergeCell ref="Y34:Y35"/>
    <mergeCell ref="Z18:Z19"/>
    <mergeCell ref="X42:X43"/>
    <mergeCell ref="X20:X21"/>
    <mergeCell ref="J1:M1"/>
    <mergeCell ref="Z42:Z43"/>
    <mergeCell ref="Z20:Z21"/>
    <mergeCell ref="Z14:Z15"/>
    <mergeCell ref="Y40:Y41"/>
    <mergeCell ref="I48:I49"/>
    <mergeCell ref="W18:W19"/>
    <mergeCell ref="X4:X5"/>
    <mergeCell ref="W8:W9"/>
    <mergeCell ref="Z4:Z5"/>
    <mergeCell ref="X22:X23"/>
    <mergeCell ref="I38:I39"/>
    <mergeCell ref="X44:X45"/>
    <mergeCell ref="H12:H13"/>
    <mergeCell ref="F46:F47"/>
    <mergeCell ref="R1:Z1"/>
    <mergeCell ref="I34:I35"/>
    <mergeCell ref="Z28:Z29"/>
    <mergeCell ref="W58:W59"/>
    <mergeCell ref="Z6:Z7"/>
    <mergeCell ref="G26:G27"/>
    <mergeCell ref="H62:H63"/>
    <mergeCell ref="W10:W11"/>
    <mergeCell ref="H14:H15"/>
    <mergeCell ref="F4:F5"/>
    <mergeCell ref="H4:H5"/>
    <mergeCell ref="W60:W61"/>
    <mergeCell ref="A1:I1"/>
    <mergeCell ref="Y38:Y39"/>
    <mergeCell ref="F10:F11"/>
    <mergeCell ref="F54:F55"/>
    <mergeCell ref="F24:F25"/>
    <mergeCell ref="H54:H55"/>
    <mergeCell ref="Z54:Z55"/>
    <mergeCell ref="G52:G53"/>
    <mergeCell ref="Y58:Y59"/>
    <mergeCell ref="H38:H39"/>
    <mergeCell ref="Y14:Y15"/>
    <mergeCell ref="G42:G43"/>
    <mergeCell ref="I36:I37"/>
    <mergeCell ref="Z16:Z17"/>
    <mergeCell ref="H56:H57"/>
    <mergeCell ref="Z56:Z57"/>
    <mergeCell ref="I46:I47"/>
    <mergeCell ref="X32:X33"/>
    <mergeCell ref="G38:G39"/>
    <mergeCell ref="H58:H59"/>
    <mergeCell ref="H40:H41"/>
    <mergeCell ref="X24:X25"/>
    <mergeCell ref="I40:I41"/>
    <mergeCell ref="F8:F9"/>
    <mergeCell ref="G28:G29"/>
    <mergeCell ref="H60:H61"/>
    <mergeCell ref="G6:G7"/>
    <mergeCell ref="Z8:Z9"/>
    <mergeCell ref="G24:G25"/>
    <mergeCell ref="F50:F51"/>
    <mergeCell ref="X18:X19"/>
    <mergeCell ref="I24:I25"/>
    <mergeCell ref="X58:X59"/>
    <mergeCell ref="Z58:Z59"/>
    <mergeCell ref="X10:X11"/>
    <mergeCell ref="W62:W63"/>
    <mergeCell ref="G30:G31"/>
    <mergeCell ref="Z10:Z11"/>
    <mergeCell ref="I8:I9"/>
    <mergeCell ref="H16:H17"/>
    <mergeCell ref="W46:W47"/>
    <mergeCell ref="F52:F53"/>
    <mergeCell ref="X60:X61"/>
    <mergeCell ref="Y46:Y47"/>
    <mergeCell ref="Z60:Z61"/>
    <mergeCell ref="Y28:Y29"/>
    <mergeCell ref="G16:G17"/>
    <mergeCell ref="I10:I11"/>
    <mergeCell ref="X50:X51"/>
    <mergeCell ref="H18:H19"/>
    <mergeCell ref="F14:F15"/>
    <mergeCell ref="W48:W49"/>
    <mergeCell ref="Z44:Z45"/>
    <mergeCell ref="Y48:Y49"/>
    <mergeCell ref="G56:G57"/>
    <mergeCell ref="Y8:Y9"/>
    <mergeCell ref="Z34:Z35"/>
    <mergeCell ref="X12:X13"/>
    <mergeCell ref="W38:W39"/>
    <mergeCell ref="H20:H21"/>
    <mergeCell ref="H42:H43"/>
    <mergeCell ref="X52:X53"/>
    <mergeCell ref="W34:W35"/>
    <mergeCell ref="X36:X37"/>
    <mergeCell ref="F6:F7"/>
    <mergeCell ref="Z36:Z37"/>
    <mergeCell ref="R66:U66"/>
    <mergeCell ref="Z30:Z31"/>
    <mergeCell ref="W40:W41"/>
    <mergeCell ref="J66:M66"/>
    <mergeCell ref="H44:H45"/>
    <mergeCell ref="W36:W37"/>
    <mergeCell ref="F12:F13"/>
    <mergeCell ref="H6:H7"/>
    <mergeCell ref="H64:H65"/>
    <mergeCell ref="W20:W21"/>
    <mergeCell ref="Y20:Y21"/>
    <mergeCell ref="G34:G35"/>
    <mergeCell ref="X6:X7"/>
    <mergeCell ref="I22:I23"/>
    <mergeCell ref="I28:I29"/>
    <mergeCell ref="W26:W27"/>
    <mergeCell ref="Z62:Z63"/>
    <mergeCell ref="F32:F33"/>
    <mergeCell ref="X62:X63"/>
    <mergeCell ref="Z22:Z23"/>
    <mergeCell ref="W22:W23"/>
    <mergeCell ref="I12:I13"/>
    <mergeCell ref="Y44:Y45"/>
    <mergeCell ref="Y22:Y23"/>
    <mergeCell ref="H46:H47"/>
    <mergeCell ref="I52:I53"/>
    <mergeCell ref="F56:F57"/>
    <mergeCell ref="X64:X65"/>
    <mergeCell ref="Z64:Z65"/>
    <mergeCell ref="W12:W13"/>
    <mergeCell ref="G20:G21"/>
    <mergeCell ref="Y6:Y7"/>
    <mergeCell ref="AA1:AD1"/>
    <mergeCell ref="G14:G15"/>
    <mergeCell ref="I14:I15"/>
    <mergeCell ref="X54:X55"/>
    <mergeCell ref="Z48:Z49"/>
    <mergeCell ref="F38:F39"/>
    <mergeCell ref="G4:G5"/>
    <mergeCell ref="H32:H33"/>
    <mergeCell ref="Y12:Y13"/>
    <mergeCell ref="I4:I5"/>
    <mergeCell ref="W14:W15"/>
    <mergeCell ref="X38:X39"/>
    <mergeCell ref="Z38:Z39"/>
    <mergeCell ref="I64:I65"/>
    <mergeCell ref="G54:G55"/>
    <mergeCell ref="G32:G33"/>
    <mergeCell ref="F58:F59"/>
    <mergeCell ref="X26:X27"/>
    <mergeCell ref="Y32:Y33"/>
    <mergeCell ref="X40:X41"/>
    <mergeCell ref="Z40:Z41"/>
    <mergeCell ref="W4:W5"/>
    <mergeCell ref="Y4:Y5"/>
    <mergeCell ref="Z24:Z25"/>
    <mergeCell ref="X8:X9"/>
    <mergeCell ref="F60:F61"/>
    <mergeCell ref="Y56:Y57"/>
    <mergeCell ref="G46:G47"/>
    <mergeCell ref="G40:G41"/>
    <mergeCell ref="W24:W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showGridLines="0" zoomScaleNormal="100" workbookViewId="0">
      <selection activeCell="D9" sqref="D9"/>
    </sheetView>
  </sheetViews>
  <sheetFormatPr baseColWidth="8" defaultColWidth="12.28515625" defaultRowHeight="15"/>
  <cols>
    <col width="13.28515625" customWidth="1" style="140" min="1" max="1"/>
    <col width="16.7109375" customWidth="1" style="140" min="2" max="9"/>
    <col width="41.85546875" customWidth="1" style="140" min="10" max="10"/>
  </cols>
  <sheetData>
    <row r="1" ht="30" customHeight="1" s="140" thickBot="1">
      <c r="B1" s="172" t="inlineStr">
        <is>
          <t>BMCT PORT</t>
        </is>
      </c>
      <c r="C1" s="165" t="n"/>
      <c r="D1" s="165" t="n"/>
      <c r="E1" s="165" t="n"/>
      <c r="F1" s="165" t="n"/>
      <c r="G1" s="165" t="n"/>
      <c r="H1" s="165" t="n"/>
      <c r="I1" s="166" t="n"/>
    </row>
    <row r="2" ht="30" customHeight="1" s="140" thickTop="1">
      <c r="B2" s="176" t="inlineStr">
        <is>
          <t>XCMG - 8</t>
        </is>
      </c>
      <c r="C2" s="174" t="n"/>
      <c r="D2" s="174" t="n"/>
      <c r="E2" s="175" t="n"/>
      <c r="F2" s="173" t="inlineStr">
        <is>
          <t>SANY - 9</t>
        </is>
      </c>
      <c r="G2" s="174" t="n"/>
      <c r="H2" s="174" t="n"/>
      <c r="I2" s="175" t="n"/>
    </row>
    <row r="3" ht="30" customHeight="1" s="140">
      <c r="A3" s="89" t="inlineStr">
        <is>
          <t>MONTH</t>
        </is>
      </c>
      <c r="B3" s="90" t="inlineStr">
        <is>
          <t>Total Diesel Used</t>
        </is>
      </c>
      <c r="C3" s="90" t="inlineStr">
        <is>
          <t>Total Running Hours</t>
        </is>
      </c>
      <c r="D3" s="90" t="inlineStr">
        <is>
          <t>Container Count</t>
        </is>
      </c>
      <c r="E3" s="90" t="inlineStr">
        <is>
          <t>AVERAGE</t>
        </is>
      </c>
      <c r="F3" s="90" t="inlineStr">
        <is>
          <t>Total Diesel Used</t>
        </is>
      </c>
      <c r="G3" s="90" t="inlineStr">
        <is>
          <t>Total Running Hours</t>
        </is>
      </c>
      <c r="H3" s="90" t="inlineStr">
        <is>
          <t>Container Count</t>
        </is>
      </c>
      <c r="I3" s="91" t="inlineStr">
        <is>
          <t>AVERAGE</t>
        </is>
      </c>
    </row>
    <row r="4">
      <c r="A4" s="93" t="n">
        <v>46113</v>
      </c>
      <c r="B4" s="104">
        <f>'Apr-26'!F63</f>
        <v/>
      </c>
      <c r="C4" s="99">
        <f>'Apr-26'!E63</f>
        <v/>
      </c>
      <c r="D4" s="100">
        <f>'Apr-26'!P63</f>
        <v/>
      </c>
      <c r="E4" s="101">
        <f>IF(OR(C4="",D4=""),0,D4-C4)</f>
        <v/>
      </c>
      <c r="F4" s="104">
        <f>'Apr-26'!W63</f>
        <v/>
      </c>
      <c r="G4" s="99">
        <f>'Apr-26'!V63</f>
        <v/>
      </c>
      <c r="H4" s="107">
        <f>'Apr-26'!AG63</f>
        <v/>
      </c>
      <c r="I4" s="110">
        <f>IFERROR(F4/H4,0)</f>
        <v/>
      </c>
      <c r="J4" s="92" t="inlineStr">
        <is>
          <t>Machine running start 29-04-26</t>
        </is>
      </c>
      <c r="P4">
        <f>IF(OR(N4="",O4=""),0,O4-N4)</f>
        <v/>
      </c>
      <c r="V4">
        <f>IF(OR(T4="",U4=""),0,U4-T4)</f>
        <v/>
      </c>
      <c r="Z4" s="76">
        <f>IFERROR(W4/Y4,0)</f>
        <v/>
      </c>
      <c r="AG4">
        <f>IF(OR(AE4="",AF4=""),0,AF4-AE4)</f>
        <v/>
      </c>
    </row>
    <row r="5">
      <c r="A5" s="94" t="n">
        <v>46143</v>
      </c>
      <c r="B5" s="105">
        <f>'May-26'!F66</f>
        <v/>
      </c>
      <c r="C5" s="102">
        <f>'May-26'!E66</f>
        <v/>
      </c>
      <c r="D5" s="96">
        <f>'May-26'!P66</f>
        <v/>
      </c>
      <c r="E5" s="97">
        <f>IF(OR(C5="",D5=""),0,D5-C5)</f>
        <v/>
      </c>
      <c r="F5" s="105">
        <f>'May-26'!W66</f>
        <v/>
      </c>
      <c r="G5" s="102">
        <f>'May-26'!V66</f>
        <v/>
      </c>
      <c r="H5" s="108">
        <f>'May-26'!AG66</f>
        <v/>
      </c>
      <c r="I5" s="111">
        <f>IFERROR(F5/H5,0)</f>
        <v/>
      </c>
      <c r="J5" s="92" t="n"/>
    </row>
    <row r="6">
      <c r="A6" s="94" t="n">
        <v>46174</v>
      </c>
      <c r="B6" s="105">
        <f>'June-26'!F64</f>
        <v/>
      </c>
      <c r="C6" s="102">
        <f>'June-26'!E64</f>
        <v/>
      </c>
      <c r="D6" s="96">
        <f>'June-26'!P64</f>
        <v/>
      </c>
      <c r="E6" s="97">
        <f>IF(OR(C6="",D6=""),0,D6-C6)</f>
        <v/>
      </c>
      <c r="F6" s="105">
        <f>'June-26'!W64</f>
        <v/>
      </c>
      <c r="G6" s="102">
        <f>'June-26'!V64</f>
        <v/>
      </c>
      <c r="H6" s="108">
        <f>'June-26'!AG64</f>
        <v/>
      </c>
      <c r="I6" s="111">
        <f>IFERROR(F6/H6,0)</f>
        <v/>
      </c>
      <c r="J6" s="92" t="n"/>
    </row>
    <row r="7">
      <c r="A7" s="94" t="n">
        <v>46204</v>
      </c>
      <c r="B7" s="105">
        <f>'JULY-26'!F66</f>
        <v/>
      </c>
      <c r="C7" s="102">
        <f>'JULY-26'!E66</f>
        <v/>
      </c>
      <c r="D7" s="96">
        <f>'JULY-26'!P66</f>
        <v/>
      </c>
      <c r="E7" s="97">
        <f>IF(OR(C7="",D7=""),0,D7-C7)</f>
        <v/>
      </c>
      <c r="F7" s="105">
        <f>'JULY-26'!W66</f>
        <v/>
      </c>
      <c r="G7" s="102">
        <f>'JULY-26'!V66</f>
        <v/>
      </c>
      <c r="H7" s="108">
        <f>'JULY-26'!AG66</f>
        <v/>
      </c>
      <c r="I7" s="111">
        <f>IFERROR(F7/H7,0)</f>
        <v/>
      </c>
      <c r="J7" s="92" t="n"/>
    </row>
    <row r="8" ht="15.75" customHeight="1" s="140" thickBot="1">
      <c r="A8" s="95" t="n">
        <v>46235</v>
      </c>
      <c r="B8" s="106">
        <f>'Aug-26'!F66</f>
        <v/>
      </c>
      <c r="C8" s="103">
        <f>'Aug-26'!E66</f>
        <v/>
      </c>
      <c r="D8" s="98">
        <f>'Aug-26'!P66</f>
        <v/>
      </c>
      <c r="E8" s="97">
        <f>IF(OR(C8="",D8=""),0,D8-C8)</f>
        <v/>
      </c>
      <c r="F8" s="106">
        <f>'Aug-26'!W66</f>
        <v/>
      </c>
      <c r="G8" s="103">
        <f>'Aug-26'!V66</f>
        <v/>
      </c>
      <c r="H8" s="109">
        <f>'Aug-26'!AG66</f>
        <v/>
      </c>
      <c r="I8" s="112">
        <f>IFERROR(F8/H8,0)</f>
        <v/>
      </c>
      <c r="J8" s="92" t="n"/>
    </row>
    <row r="9" ht="15.75" customHeight="1" s="140" thickBot="1">
      <c r="A9" s="113" t="n">
        <v>46266</v>
      </c>
      <c r="B9" s="114">
        <f>'Sep-26'!F66</f>
        <v/>
      </c>
      <c r="C9" s="115">
        <f>'Sep-26'!E66</f>
        <v/>
      </c>
      <c r="D9" s="115">
        <f>'Sep-26'!P66</f>
        <v/>
      </c>
      <c r="E9" s="115">
        <f>IF(OR(C9="",D9=""),0,D9-C9)</f>
        <v/>
      </c>
      <c r="F9" s="114">
        <f>'Sep-26'!W66</f>
        <v/>
      </c>
      <c r="G9" s="115">
        <f>'Sep-26'!V66</f>
        <v/>
      </c>
      <c r="H9" s="115">
        <f>'Sep-26'!AG66</f>
        <v/>
      </c>
      <c r="I9" s="116">
        <f>IFERROR(F9/H9,0)</f>
        <v/>
      </c>
      <c r="J9" s="92" t="inlineStr">
        <is>
          <t>Sep-26 data available through 08-Sep-26</t>
        </is>
      </c>
    </row>
  </sheetData>
  <mergeCells count="3">
    <mergeCell ref="B1:I1"/>
    <mergeCell ref="F2:I2"/>
    <mergeCell ref="B2:E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2026-09-28T06:25:01Z</dcterms:modified>
  <cp:lastModifiedBy>Annu Singh</cp:lastModifiedBy>
</cp:coreProperties>
</file>