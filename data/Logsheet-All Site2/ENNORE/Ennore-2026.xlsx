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4240" windowHeight="13140" tabRatio="716" firstSheet="0" activeTab="9" autoFilterDateGrouping="1"/>
  </bookViews>
  <sheets>
    <sheet xmlns:r="http://schemas.openxmlformats.org/officeDocument/2006/relationships" name="PO" sheetId="1" state="visible" r:id="rId1"/>
    <sheet xmlns:r="http://schemas.openxmlformats.org/officeDocument/2006/relationships" name="JAN26" sheetId="2" state="visible" r:id="rId2"/>
    <sheet xmlns:r="http://schemas.openxmlformats.org/officeDocument/2006/relationships" name="FEB26" sheetId="3" state="visible" r:id="rId3"/>
    <sheet xmlns:r="http://schemas.openxmlformats.org/officeDocument/2006/relationships" name="MAR26" sheetId="4" state="visible" r:id="rId4"/>
    <sheet xmlns:r="http://schemas.openxmlformats.org/officeDocument/2006/relationships" name="APR-26" sheetId="5" state="visible" r:id="rId5"/>
    <sheet xmlns:r="http://schemas.openxmlformats.org/officeDocument/2006/relationships" name="May-26" sheetId="6" state="visible" r:id="rId6"/>
    <sheet xmlns:r="http://schemas.openxmlformats.org/officeDocument/2006/relationships" name="June-26" sheetId="7" state="visible" r:id="rId7"/>
    <sheet xmlns:r="http://schemas.openxmlformats.org/officeDocument/2006/relationships" name="July-26" sheetId="8" state="visible" r:id="rId8"/>
    <sheet xmlns:r="http://schemas.openxmlformats.org/officeDocument/2006/relationships" name="Aug-26" sheetId="9" state="visible" r:id="rId9"/>
    <sheet xmlns:r="http://schemas.openxmlformats.org/officeDocument/2006/relationships" name="Sep-26" sheetId="10" state="visible" r:id="rId10"/>
    <sheet xmlns:r="http://schemas.openxmlformats.org/officeDocument/2006/relationships" name="SUMMARY" sheetId="11" state="visible" r:id="rId11"/>
  </sheets>
  <definedNames>
    <definedName name="_xlnm.Print_Area" localSheetId="5">'May-26'!$A$1:$M$68</definedName>
  </definedNames>
  <calcPr calcId="191029" fullCalcOnLoad="1"/>
</workbook>
</file>

<file path=xl/styles.xml><?xml version="1.0" encoding="utf-8"?>
<styleSheet xmlns="http://schemas.openxmlformats.org/spreadsheetml/2006/main">
  <numFmts count="4">
    <numFmt numFmtId="164" formatCode="h:mm;@"/>
    <numFmt numFmtId="165" formatCode="h:mm:ss;@"/>
    <numFmt numFmtId="166" formatCode="[h]:mm:ss;@"/>
    <numFmt numFmtId="167" formatCode="[h]:mm"/>
  </numFmts>
  <fonts count="11">
    <font>
      <name val="Calibri"/>
      <family val="2"/>
      <color theme="1"/>
      <sz val="11"/>
      <scheme val="minor"/>
    </font>
    <font>
      <name val="Calibri"/>
      <family val="2"/>
      <color theme="1"/>
      <sz val="11"/>
      <scheme val="minor"/>
    </font>
    <font>
      <name val="Calibri"/>
      <family val="2"/>
      <color rgb="FF006100"/>
      <sz val="11"/>
      <scheme val="minor"/>
    </font>
    <font>
      <name val="Calibri"/>
      <family val="2"/>
      <b val="1"/>
      <color theme="1"/>
      <sz val="11"/>
      <scheme val="minor"/>
    </font>
    <font>
      <name val="Calibri"/>
      <family val="2"/>
      <b val="1"/>
      <color theme="1"/>
      <sz val="12"/>
      <scheme val="minor"/>
    </font>
    <font>
      <name val="Calibri"/>
      <family val="2"/>
      <b val="1"/>
      <color theme="1"/>
      <sz val="20"/>
      <scheme val="minor"/>
    </font>
    <font>
      <name val="Calibri"/>
      <family val="2"/>
      <color theme="1"/>
      <sz val="18"/>
      <scheme val="minor"/>
    </font>
    <font>
      <name val="Calibri"/>
      <family val="2"/>
      <color theme="1"/>
      <sz val="12"/>
      <scheme val="minor"/>
    </font>
    <font>
      <name val="Times New Roman"/>
      <family val="1"/>
      <color rgb="FF000000"/>
      <sz val="12"/>
    </font>
    <font>
      <name val="Calibri"/>
      <family val="2"/>
      <color rgb="FF000000"/>
      <sz val="11"/>
      <scheme val="minor"/>
    </font>
    <font>
      <name val="Calibri"/>
      <family val="2"/>
      <color theme="10"/>
      <sz val="11"/>
      <u val="single"/>
      <scheme val="minor"/>
    </font>
  </fonts>
  <fills count="9">
    <fill>
      <patternFill/>
    </fill>
    <fill>
      <patternFill patternType="gray125"/>
    </fill>
    <fill>
      <patternFill patternType="solid">
        <fgColor rgb="FFC6EFCE"/>
      </patternFill>
    </fill>
    <fill>
      <patternFill patternType="solid">
        <fgColor theme="9" tint="0.7999816888943144"/>
        <bgColor indexed="64"/>
      </patternFill>
    </fill>
    <fill>
      <patternFill patternType="solid">
        <fgColor theme="0"/>
        <bgColor indexed="64"/>
      </patternFill>
    </fill>
    <fill>
      <patternFill patternType="solid">
        <fgColor rgb="FFFFC000"/>
        <bgColor indexed="64"/>
      </patternFill>
    </fill>
    <fill>
      <patternFill patternType="solid">
        <fgColor theme="5" tint="0.7999816888943144"/>
        <bgColor indexed="64"/>
      </patternFill>
    </fill>
    <fill>
      <patternFill patternType="solid">
        <fgColor rgb="FFFFFF00"/>
        <bgColor indexed="64"/>
      </patternFill>
    </fill>
    <fill>
      <patternFill patternType="solid">
        <fgColor rgb="FFFFFFFF"/>
        <bgColor rgb="FF000000"/>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bottom/>
      <diagonal/>
    </border>
  </borders>
  <cellStyleXfs count="3">
    <xf numFmtId="0" fontId="1" fillId="0" borderId="0"/>
    <xf numFmtId="0" fontId="2" fillId="2" borderId="0"/>
    <xf numFmtId="0" fontId="10" fillId="0" borderId="0"/>
  </cellStyleXfs>
  <cellXfs count="158">
    <xf numFmtId="0" fontId="0" fillId="0" borderId="0" pivotButton="0" quotePrefix="0" xfId="0"/>
    <xf numFmtId="0" fontId="0" fillId="0" borderId="1" applyAlignment="1" pivotButton="0" quotePrefix="0" xfId="0">
      <alignment horizontal="center"/>
    </xf>
    <xf numFmtId="0" fontId="4" fillId="3" borderId="1" applyAlignment="1" pivotButton="0" quotePrefix="0" xfId="1">
      <alignment horizontal="center" vertical="center" wrapText="1"/>
    </xf>
    <xf numFmtId="0" fontId="1" fillId="4" borderId="1" applyAlignment="1" pivotButton="0" quotePrefix="0" xfId="0">
      <alignment horizontal="center"/>
    </xf>
    <xf numFmtId="2" fontId="1" fillId="4" borderId="1" applyAlignment="1" pivotButton="0" quotePrefix="0" xfId="0">
      <alignment horizontal="center"/>
    </xf>
    <xf numFmtId="0" fontId="0" fillId="0" borderId="0" applyAlignment="1" pivotButton="0" quotePrefix="0" xfId="0">
      <alignment horizontal="center"/>
    </xf>
    <xf numFmtId="0" fontId="3" fillId="3" borderId="1" applyAlignment="1" pivotButton="0" quotePrefix="0" xfId="1">
      <alignment horizontal="center" vertical="center" wrapText="1"/>
    </xf>
    <xf numFmtId="0" fontId="0" fillId="0" borderId="1" applyAlignment="1" pivotButton="0" quotePrefix="0" xfId="0">
      <alignment horizontal="left"/>
    </xf>
    <xf numFmtId="0" fontId="4" fillId="3" borderId="1" applyAlignment="1" pivotButton="0" quotePrefix="0" xfId="1">
      <alignment horizontal="left" vertical="center" wrapText="1"/>
    </xf>
    <xf numFmtId="0" fontId="0" fillId="0" borderId="7" applyAlignment="1" pivotButton="0" quotePrefix="0" xfId="0">
      <alignment horizontal="center"/>
    </xf>
    <xf numFmtId="0" fontId="8" fillId="0" borderId="0" applyAlignment="1" pivotButton="0" quotePrefix="0" xfId="0">
      <alignment horizontal="left" vertical="top"/>
    </xf>
    <xf numFmtId="0" fontId="7" fillId="0" borderId="0" applyAlignment="1" pivotButton="0" quotePrefix="0" xfId="0">
      <alignment horizontal="left"/>
    </xf>
    <xf numFmtId="17" fontId="0" fillId="0" borderId="0" applyAlignment="1" pivotButton="0" quotePrefix="0" xfId="0">
      <alignment horizontal="center"/>
    </xf>
    <xf numFmtId="0" fontId="3" fillId="0" borderId="0" pivotButton="0" quotePrefix="0" xfId="0"/>
    <xf numFmtId="0" fontId="0" fillId="4" borderId="1" applyAlignment="1" pivotButton="0" quotePrefix="0" xfId="0">
      <alignment horizontal="center"/>
    </xf>
    <xf numFmtId="2" fontId="0" fillId="4" borderId="1" applyAlignment="1" pivotButton="0" quotePrefix="0" xfId="0">
      <alignment horizontal="center"/>
    </xf>
    <xf numFmtId="0" fontId="7" fillId="0" borderId="0" applyAlignment="1" pivotButton="0" quotePrefix="0" xfId="0">
      <alignment horizontal="left" vertical="center"/>
    </xf>
    <xf numFmtId="0" fontId="4" fillId="3" borderId="6" applyAlignment="1" pivotButton="0" quotePrefix="0" xfId="1">
      <alignment horizontal="center" vertical="center" wrapText="1"/>
    </xf>
    <xf numFmtId="0" fontId="3" fillId="3" borderId="7" applyAlignment="1" pivotButton="0" quotePrefix="0" xfId="1">
      <alignment horizontal="center" vertical="center" wrapText="1"/>
    </xf>
    <xf numFmtId="0" fontId="1" fillId="4" borderId="7" applyAlignment="1" pivotButton="0" quotePrefix="0" xfId="0">
      <alignment horizontal="center"/>
    </xf>
    <xf numFmtId="0" fontId="0" fillId="4" borderId="7" applyAlignment="1" pivotButton="0" quotePrefix="0" xfId="0">
      <alignment horizontal="center"/>
    </xf>
    <xf numFmtId="0" fontId="3" fillId="0" borderId="10" applyAlignment="1" pivotButton="0" quotePrefix="0" xfId="0">
      <alignment horizontal="center"/>
    </xf>
    <xf numFmtId="0" fontId="3" fillId="7" borderId="1" applyAlignment="1" pivotButton="0" quotePrefix="0" xfId="0">
      <alignment horizontal="center"/>
    </xf>
    <xf numFmtId="2" fontId="3" fillId="7" borderId="1" applyAlignment="1" pivotButton="0" quotePrefix="0" xfId="0">
      <alignment horizontal="center"/>
    </xf>
    <xf numFmtId="0" fontId="0" fillId="4" borderId="1" applyAlignment="1" pivotButton="0" quotePrefix="0" xfId="0">
      <alignment horizontal="left"/>
    </xf>
    <xf numFmtId="0" fontId="6" fillId="5" borderId="0" applyAlignment="1" pivotButton="0" quotePrefix="0" xfId="0">
      <alignment horizontal="center"/>
    </xf>
    <xf numFmtId="0" fontId="3" fillId="0" borderId="8" applyAlignment="1" pivotButton="0" quotePrefix="0" xfId="0">
      <alignment horizontal="center"/>
    </xf>
    <xf numFmtId="0" fontId="3" fillId="0" borderId="9" applyAlignment="1" pivotButton="0" quotePrefix="0" xfId="0">
      <alignment horizontal="center"/>
    </xf>
    <xf numFmtId="0" fontId="4" fillId="3" borderId="12" applyAlignment="1" pivotButton="0" quotePrefix="0" xfId="1">
      <alignment horizontal="center" vertical="center" wrapText="1"/>
    </xf>
    <xf numFmtId="0" fontId="4" fillId="3" borderId="13" applyAlignment="1" pivotButton="0" quotePrefix="0" xfId="1">
      <alignment horizontal="center" vertical="center" wrapText="1"/>
    </xf>
    <xf numFmtId="0" fontId="4" fillId="3" borderId="14" applyAlignment="1" pivotButton="0" quotePrefix="0" xfId="1">
      <alignment horizontal="center" vertical="center" wrapText="1"/>
    </xf>
    <xf numFmtId="0" fontId="3" fillId="3" borderId="6" applyAlignment="1" pivotButton="0" quotePrefix="0" xfId="1">
      <alignment horizontal="center" vertical="center" wrapText="1"/>
    </xf>
    <xf numFmtId="0" fontId="1" fillId="4" borderId="6" applyAlignment="1" pivotButton="0" quotePrefix="0" xfId="0">
      <alignment horizontal="center"/>
    </xf>
    <xf numFmtId="2" fontId="1" fillId="4" borderId="6" applyAlignment="1" pivotButton="0" quotePrefix="0" xfId="0">
      <alignment horizontal="center"/>
    </xf>
    <xf numFmtId="2" fontId="1" fillId="4" borderId="7" applyAlignment="1" pivotButton="0" quotePrefix="0" xfId="0">
      <alignment horizontal="center"/>
    </xf>
    <xf numFmtId="2" fontId="0" fillId="4" borderId="6" applyAlignment="1" pivotButton="0" quotePrefix="0" xfId="0">
      <alignment horizontal="center"/>
    </xf>
    <xf numFmtId="2" fontId="0" fillId="4" borderId="7" applyAlignment="1" pivotButton="0" quotePrefix="0" xfId="0">
      <alignment horizontal="center"/>
    </xf>
    <xf numFmtId="0" fontId="0" fillId="0" borderId="6" applyAlignment="1" pivotButton="0" quotePrefix="0" xfId="0">
      <alignment horizontal="center"/>
    </xf>
    <xf numFmtId="2" fontId="3" fillId="7" borderId="6" applyAlignment="1" pivotButton="0" quotePrefix="0" xfId="0">
      <alignment horizontal="center"/>
    </xf>
    <xf numFmtId="2" fontId="3" fillId="7" borderId="7" applyAlignment="1" pivotButton="0" quotePrefix="0" xfId="0">
      <alignment horizontal="center"/>
    </xf>
    <xf numFmtId="0" fontId="4" fillId="3" borderId="13" applyAlignment="1" pivotButton="0" quotePrefix="0" xfId="1">
      <alignment horizontal="left" vertical="center" wrapText="1"/>
    </xf>
    <xf numFmtId="0" fontId="0" fillId="0" borderId="16" applyAlignment="1" pivotButton="0" quotePrefix="0" xfId="0">
      <alignment horizontal="center"/>
    </xf>
    <xf numFmtId="14" fontId="0" fillId="4" borderId="6" applyAlignment="1" pivotButton="0" quotePrefix="0" xfId="0">
      <alignment horizontal="center"/>
    </xf>
    <xf numFmtId="164" fontId="0" fillId="4" borderId="6" applyAlignment="1" pivotButton="0" quotePrefix="0" xfId="0">
      <alignment horizontal="center"/>
    </xf>
    <xf numFmtId="164" fontId="0" fillId="4" borderId="1" applyAlignment="1" pivotButton="0" quotePrefix="0" xfId="0">
      <alignment horizontal="center"/>
    </xf>
    <xf numFmtId="0" fontId="3" fillId="0" borderId="17" applyAlignment="1" pivotButton="0" quotePrefix="0" xfId="0">
      <alignment horizontal="center"/>
    </xf>
    <xf numFmtId="0" fontId="4" fillId="3" borderId="3" applyAlignment="1" pivotButton="0" quotePrefix="0" xfId="1">
      <alignment horizontal="center" vertical="center" wrapText="1"/>
    </xf>
    <xf numFmtId="0" fontId="4" fillId="3" borderId="4" applyAlignment="1" pivotButton="0" quotePrefix="0" xfId="1">
      <alignment horizontal="center" vertical="center" wrapText="1"/>
    </xf>
    <xf numFmtId="0" fontId="4" fillId="3" borderId="5" applyAlignment="1" pivotButton="0" quotePrefix="0" xfId="1">
      <alignment horizontal="center" vertical="center" wrapText="1"/>
    </xf>
    <xf numFmtId="17" fontId="0" fillId="0" borderId="1" applyAlignment="1" pivotButton="0" quotePrefix="0" xfId="0">
      <alignment horizontal="center"/>
    </xf>
    <xf numFmtId="0" fontId="0" fillId="4" borderId="6" applyAlignment="1" pivotButton="0" quotePrefix="0" xfId="0">
      <alignment horizontal="center"/>
    </xf>
    <xf numFmtId="0" fontId="7" fillId="0" borderId="0" applyAlignment="1" pivotButton="0" quotePrefix="0" xfId="0">
      <alignment horizontal="center"/>
    </xf>
    <xf numFmtId="14" fontId="7" fillId="0" borderId="0" applyAlignment="1" pivotButton="0" quotePrefix="0" xfId="0">
      <alignment horizontal="center"/>
    </xf>
    <xf numFmtId="0" fontId="7" fillId="0" borderId="0" applyAlignment="1" pivotButton="0" quotePrefix="0" xfId="0">
      <alignment horizontal="center" vertical="center"/>
    </xf>
    <xf numFmtId="17" fontId="7" fillId="0" borderId="0" applyAlignment="1" pivotButton="0" quotePrefix="0" xfId="0">
      <alignment horizontal="center"/>
    </xf>
    <xf numFmtId="0" fontId="7" fillId="0" borderId="0" applyAlignment="1" pivotButton="0" quotePrefix="0" xfId="0">
      <alignment horizontal="center" wrapText="1"/>
    </xf>
    <xf numFmtId="2" fontId="3" fillId="0" borderId="12" applyAlignment="1" pivotButton="0" quotePrefix="0" xfId="0">
      <alignment horizontal="center"/>
    </xf>
    <xf numFmtId="2" fontId="3" fillId="0" borderId="13" applyAlignment="1" pivotButton="0" quotePrefix="0" xfId="0">
      <alignment horizontal="center"/>
    </xf>
    <xf numFmtId="2" fontId="3" fillId="0" borderId="14" applyAlignment="1" pivotButton="0" quotePrefix="0" xfId="0">
      <alignment horizontal="center"/>
    </xf>
    <xf numFmtId="2" fontId="3" fillId="0" borderId="19" applyAlignment="1" pivotButton="0" quotePrefix="0" xfId="0">
      <alignment horizontal="center"/>
    </xf>
    <xf numFmtId="0" fontId="0" fillId="0" borderId="13" applyAlignment="1" pivotButton="0" quotePrefix="0" xfId="0">
      <alignment horizontal="center"/>
    </xf>
    <xf numFmtId="20" fontId="0" fillId="4" borderId="6" applyAlignment="1" pivotButton="0" quotePrefix="0" xfId="0">
      <alignment horizontal="center"/>
    </xf>
    <xf numFmtId="20" fontId="0" fillId="4" borderId="1" applyAlignment="1" pivotButton="0" quotePrefix="0" xfId="0">
      <alignment horizontal="center"/>
    </xf>
    <xf numFmtId="0" fontId="0" fillId="0" borderId="20" applyAlignment="1" pivotButton="0" quotePrefix="0" xfId="0">
      <alignment horizontal="center"/>
    </xf>
    <xf numFmtId="2" fontId="3" fillId="7" borderId="18" applyAlignment="1" pivotButton="0" quotePrefix="0" xfId="0">
      <alignment horizontal="center"/>
    </xf>
    <xf numFmtId="0" fontId="3" fillId="0" borderId="21" applyAlignment="1" pivotButton="0" quotePrefix="0" xfId="0">
      <alignment horizontal="center"/>
    </xf>
    <xf numFmtId="2" fontId="0" fillId="4" borderId="22" applyAlignment="1" pivotButton="0" quotePrefix="0" xfId="0">
      <alignment horizontal="center"/>
    </xf>
    <xf numFmtId="2" fontId="1" fillId="4" borderId="22" applyAlignment="1" pivotButton="0" quotePrefix="0" xfId="0">
      <alignment horizontal="center"/>
    </xf>
    <xf numFmtId="2" fontId="0" fillId="4" borderId="18" applyAlignment="1" pivotButton="0" quotePrefix="0" xfId="0">
      <alignment horizontal="center"/>
    </xf>
    <xf numFmtId="2" fontId="1" fillId="4" borderId="18" applyAlignment="1" pivotButton="0" quotePrefix="0" xfId="0">
      <alignment horizontal="center"/>
    </xf>
    <xf numFmtId="164" fontId="0" fillId="4" borderId="22" applyAlignment="1" pivotButton="0" quotePrefix="0" xfId="0">
      <alignment horizontal="center"/>
    </xf>
    <xf numFmtId="164" fontId="0" fillId="4" borderId="18" applyAlignment="1" pivotButton="0" quotePrefix="0" xfId="0">
      <alignment horizontal="center"/>
    </xf>
    <xf numFmtId="0" fontId="0" fillId="0" borderId="0" applyAlignment="1" pivotButton="0" quotePrefix="0" xfId="0">
      <alignment horizontal="center" vertical="center" wrapText="1"/>
    </xf>
    <xf numFmtId="0" fontId="3" fillId="0" borderId="1" applyAlignment="1" pivotButton="0" quotePrefix="0" xfId="0">
      <alignment horizontal="center"/>
    </xf>
    <xf numFmtId="0" fontId="3" fillId="0" borderId="13" applyAlignment="1" pivotButton="0" quotePrefix="0" xfId="0">
      <alignment horizontal="center"/>
    </xf>
    <xf numFmtId="20" fontId="0" fillId="7" borderId="6" applyAlignment="1" pivotButton="0" quotePrefix="0" xfId="0">
      <alignment horizontal="center"/>
    </xf>
    <xf numFmtId="20" fontId="0" fillId="7" borderId="1" applyAlignment="1" pivotButton="0" quotePrefix="0" xfId="0">
      <alignment horizontal="center"/>
    </xf>
    <xf numFmtId="0" fontId="0" fillId="7" borderId="7" applyAlignment="1" pivotButton="0" quotePrefix="0" xfId="0">
      <alignment horizontal="center"/>
    </xf>
    <xf numFmtId="164" fontId="3" fillId="4" borderId="13" applyAlignment="1" pivotButton="0" quotePrefix="0" xfId="0">
      <alignment horizontal="center"/>
    </xf>
    <xf numFmtId="0" fontId="0" fillId="0" borderId="23" applyAlignment="1" pivotButton="0" quotePrefix="0" xfId="0">
      <alignment horizontal="center"/>
    </xf>
    <xf numFmtId="0" fontId="0" fillId="7" borderId="0" pivotButton="0" quotePrefix="0" xfId="0"/>
    <xf numFmtId="20" fontId="1" fillId="4" borderId="6" applyAlignment="1" pivotButton="0" quotePrefix="0" xfId="0">
      <alignment horizontal="center"/>
    </xf>
    <xf numFmtId="20" fontId="1" fillId="4" borderId="1" applyAlignment="1" pivotButton="0" quotePrefix="0" xfId="0">
      <alignment horizontal="center"/>
    </xf>
    <xf numFmtId="46" fontId="3" fillId="4" borderId="13" applyAlignment="1" pivotButton="0" quotePrefix="0" xfId="0">
      <alignment horizontal="center"/>
    </xf>
    <xf numFmtId="0" fontId="0" fillId="4" borderId="0" pivotButton="0" quotePrefix="0" xfId="0"/>
    <xf numFmtId="0" fontId="0" fillId="4" borderId="16" applyAlignment="1" pivotButton="0" quotePrefix="0" xfId="0">
      <alignment horizontal="center"/>
    </xf>
    <xf numFmtId="0" fontId="0" fillId="4" borderId="0" applyAlignment="1" pivotButton="0" quotePrefix="0" xfId="0">
      <alignment horizontal="center"/>
    </xf>
    <xf numFmtId="0" fontId="0" fillId="4" borderId="23" applyAlignment="1" pivotButton="0" quotePrefix="0" xfId="0">
      <alignment horizontal="center"/>
    </xf>
    <xf numFmtId="0" fontId="0" fillId="4" borderId="2" applyAlignment="1" pivotButton="0" quotePrefix="0" xfId="0">
      <alignment horizontal="center"/>
    </xf>
    <xf numFmtId="0" fontId="1" fillId="4" borderId="2" applyAlignment="1" pivotButton="0" quotePrefix="0" xfId="0">
      <alignment horizontal="center"/>
    </xf>
    <xf numFmtId="2" fontId="1" fillId="4" borderId="25" applyAlignment="1" pivotButton="0" quotePrefix="0" xfId="0">
      <alignment horizontal="center"/>
    </xf>
    <xf numFmtId="0" fontId="0" fillId="4" borderId="24" applyAlignment="1" pivotButton="0" quotePrefix="0" xfId="0">
      <alignment horizontal="center"/>
    </xf>
    <xf numFmtId="0" fontId="0" fillId="4" borderId="26" applyAlignment="1" pivotButton="0" quotePrefix="0" xfId="0">
      <alignment horizontal="center"/>
    </xf>
    <xf numFmtId="2" fontId="0" fillId="7" borderId="7" applyAlignment="1" pivotButton="0" quotePrefix="0" xfId="0">
      <alignment horizontal="center"/>
    </xf>
    <xf numFmtId="20" fontId="1" fillId="7" borderId="1" applyAlignment="1" pivotButton="0" quotePrefix="0" xfId="0">
      <alignment horizontal="center"/>
    </xf>
    <xf numFmtId="2" fontId="0" fillId="0" borderId="1" applyAlignment="1" pivotButton="0" quotePrefix="0" xfId="0">
      <alignment horizontal="center"/>
    </xf>
    <xf numFmtId="20" fontId="0" fillId="0" borderId="1" applyAlignment="1" pivotButton="0" quotePrefix="0" xfId="0">
      <alignment horizontal="center"/>
    </xf>
    <xf numFmtId="0" fontId="3" fillId="0" borderId="1" applyAlignment="1" pivotButton="0" quotePrefix="0" xfId="0">
      <alignment horizontal="center" vertical="center"/>
    </xf>
    <xf numFmtId="0" fontId="3" fillId="0" borderId="0" applyAlignment="1" pivotButton="0" quotePrefix="0" xfId="0">
      <alignment vertical="center"/>
    </xf>
    <xf numFmtId="0" fontId="3" fillId="0" borderId="1" pivotButton="0" quotePrefix="0" xfId="0"/>
    <xf numFmtId="14" fontId="0" fillId="0" borderId="6" applyAlignment="1" pivotButton="0" quotePrefix="0" xfId="0">
      <alignment horizontal="center"/>
    </xf>
    <xf numFmtId="0" fontId="1" fillId="0" borderId="1" applyAlignment="1" pivotButton="0" quotePrefix="0" xfId="0">
      <alignment horizontal="center"/>
    </xf>
    <xf numFmtId="2" fontId="1" fillId="0" borderId="1" applyAlignment="1" pivotButton="0" quotePrefix="0" xfId="0">
      <alignment horizontal="center"/>
    </xf>
    <xf numFmtId="20" fontId="1" fillId="0" borderId="6" applyAlignment="1" pivotButton="0" quotePrefix="0" xfId="0">
      <alignment horizontal="center"/>
    </xf>
    <xf numFmtId="20" fontId="1" fillId="0" borderId="1" applyAlignment="1" pivotButton="0" quotePrefix="0" xfId="0">
      <alignment horizontal="center"/>
    </xf>
    <xf numFmtId="2" fontId="0" fillId="0" borderId="7" applyAlignment="1" pivotButton="0" quotePrefix="0" xfId="0">
      <alignment horizontal="center"/>
    </xf>
    <xf numFmtId="14" fontId="0" fillId="0" borderId="0" applyAlignment="1" pivotButton="0" quotePrefix="0" xfId="0">
      <alignment horizontal="left"/>
    </xf>
    <xf numFmtId="20" fontId="0" fillId="4" borderId="24" applyAlignment="1" pivotButton="0" quotePrefix="0" xfId="0">
      <alignment horizontal="center"/>
    </xf>
    <xf numFmtId="20" fontId="0" fillId="4" borderId="2" applyAlignment="1" pivotButton="0" quotePrefix="0" xfId="0">
      <alignment horizontal="center"/>
    </xf>
    <xf numFmtId="0" fontId="3" fillId="4" borderId="1" applyAlignment="1" pivotButton="0" quotePrefix="0" xfId="0">
      <alignment horizontal="center"/>
    </xf>
    <xf numFmtId="2" fontId="3" fillId="4" borderId="7" applyAlignment="1" pivotButton="0" quotePrefix="0" xfId="0">
      <alignment horizontal="center"/>
    </xf>
    <xf numFmtId="164" fontId="1" fillId="4" borderId="6" applyAlignment="1" pivotButton="0" quotePrefix="0" xfId="0">
      <alignment horizontal="center"/>
    </xf>
    <xf numFmtId="46" fontId="1" fillId="4" borderId="1" applyAlignment="1" pivotButton="0" quotePrefix="0" xfId="0">
      <alignment horizontal="center"/>
    </xf>
    <xf numFmtId="165" fontId="1" fillId="4" borderId="1" applyAlignment="1" pivotButton="0" quotePrefix="0" xfId="0">
      <alignment horizontal="center"/>
    </xf>
    <xf numFmtId="165" fontId="0" fillId="4" borderId="1" applyAlignment="1" pivotButton="0" quotePrefix="0" xfId="0">
      <alignment horizontal="center"/>
    </xf>
    <xf numFmtId="165" fontId="1" fillId="4" borderId="6" applyAlignment="1" pivotButton="0" quotePrefix="0" xfId="0">
      <alignment horizontal="center"/>
    </xf>
    <xf numFmtId="165" fontId="1" fillId="4" borderId="18" applyAlignment="1" pivotButton="0" quotePrefix="0" xfId="0">
      <alignment horizontal="center"/>
    </xf>
    <xf numFmtId="165" fontId="0" fillId="4" borderId="18" applyAlignment="1" pivotButton="0" quotePrefix="0" xfId="0">
      <alignment horizontal="center"/>
    </xf>
    <xf numFmtId="165" fontId="0" fillId="4" borderId="2" applyAlignment="1" pivotButton="0" quotePrefix="0" xfId="0">
      <alignment horizontal="center"/>
    </xf>
    <xf numFmtId="165" fontId="0" fillId="4" borderId="6" applyAlignment="1" pivotButton="0" quotePrefix="0" xfId="0">
      <alignment horizontal="center"/>
    </xf>
    <xf numFmtId="165" fontId="1" fillId="0" borderId="6" applyAlignment="1" pivotButton="0" quotePrefix="0" xfId="0">
      <alignment horizontal="center"/>
    </xf>
    <xf numFmtId="165" fontId="1" fillId="0" borderId="1" applyAlignment="1" pivotButton="0" quotePrefix="0" xfId="0">
      <alignment horizontal="center"/>
    </xf>
    <xf numFmtId="165" fontId="0" fillId="4" borderId="24" applyAlignment="1" pivotButton="0" quotePrefix="0" xfId="0">
      <alignment horizontal="center"/>
    </xf>
    <xf numFmtId="166" fontId="3" fillId="4" borderId="13" applyAlignment="1" pivotButton="0" quotePrefix="0" xfId="0">
      <alignment horizontal="center"/>
    </xf>
    <xf numFmtId="167" fontId="3" fillId="4" borderId="13" applyAlignment="1" pivotButton="0" quotePrefix="0" xfId="0">
      <alignment horizontal="center"/>
    </xf>
    <xf numFmtId="167" fontId="0" fillId="4" borderId="2" applyAlignment="1" pivotButton="0" quotePrefix="0" xfId="0">
      <alignment horizontal="center"/>
    </xf>
    <xf numFmtId="15" fontId="0" fillId="4" borderId="6" applyAlignment="1" pivotButton="0" quotePrefix="0" xfId="0">
      <alignment horizontal="center"/>
    </xf>
    <xf numFmtId="167" fontId="0" fillId="4" borderId="1" applyAlignment="1" pivotButton="0" quotePrefix="0" xfId="0">
      <alignment horizontal="center"/>
    </xf>
    <xf numFmtId="167" fontId="1" fillId="0" borderId="1" applyAlignment="1" pivotButton="0" quotePrefix="0" xfId="0">
      <alignment horizontal="center"/>
    </xf>
    <xf numFmtId="167" fontId="1" fillId="4" borderId="1" applyAlignment="1" pivotButton="0" quotePrefix="0" xfId="0">
      <alignment horizontal="center"/>
    </xf>
    <xf numFmtId="167" fontId="0" fillId="4" borderId="18" applyAlignment="1" pivotButton="0" quotePrefix="0" xfId="0">
      <alignment horizontal="center"/>
    </xf>
    <xf numFmtId="20" fontId="0" fillId="4" borderId="22" applyAlignment="1" pivotButton="0" quotePrefix="0" xfId="0">
      <alignment horizontal="center"/>
    </xf>
    <xf numFmtId="167" fontId="1" fillId="4" borderId="18" applyAlignment="1" pivotButton="0" quotePrefix="0" xfId="0">
      <alignment horizontal="center"/>
    </xf>
    <xf numFmtId="20" fontId="1" fillId="4" borderId="22" applyAlignment="1" pivotButton="0" quotePrefix="0" xfId="0">
      <alignment horizontal="center"/>
    </xf>
    <xf numFmtId="167" fontId="1" fillId="4" borderId="6" applyAlignment="1" pivotButton="0" quotePrefix="0" xfId="0">
      <alignment horizontal="center"/>
    </xf>
    <xf numFmtId="0" fontId="9" fillId="8" borderId="2" applyAlignment="1" pivotButton="0" quotePrefix="0" xfId="0">
      <alignment horizontal="center"/>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0" fillId="0" borderId="1" applyAlignment="1" pivotButton="0" quotePrefix="0" xfId="0">
      <alignment vertical="center" wrapText="1"/>
    </xf>
    <xf numFmtId="14" fontId="0" fillId="0" borderId="1" applyAlignment="1" pivotButton="0" quotePrefix="0" xfId="0">
      <alignment vertical="center" wrapText="1"/>
    </xf>
    <xf numFmtId="0" fontId="10" fillId="0" borderId="1" applyAlignment="1" pivotButton="0" quotePrefix="0" xfId="2">
      <alignment vertical="center" wrapText="1"/>
    </xf>
    <xf numFmtId="0" fontId="3" fillId="0" borderId="8" applyAlignment="1" pivotButton="0" quotePrefix="0" xfId="0">
      <alignment horizontal="center"/>
    </xf>
    <xf numFmtId="0" fontId="0" fillId="0" borderId="29" pivotButton="0" quotePrefix="0" xfId="0"/>
    <xf numFmtId="0" fontId="0" fillId="0" borderId="21" pivotButton="0" quotePrefix="0" xfId="0"/>
    <xf numFmtId="0" fontId="3" fillId="0" borderId="6" applyAlignment="1" pivotButton="0" quotePrefix="0" xfId="0">
      <alignment horizontal="center"/>
    </xf>
    <xf numFmtId="0" fontId="0" fillId="0" borderId="31" pivotButton="0" quotePrefix="0" xfId="0"/>
    <xf numFmtId="0" fontId="0" fillId="0" borderId="18" pivotButton="0" quotePrefix="0" xfId="0"/>
    <xf numFmtId="0" fontId="6" fillId="5" borderId="11" applyAlignment="1" pivotButton="0" quotePrefix="0" xfId="0">
      <alignment horizontal="center"/>
    </xf>
    <xf numFmtId="0" fontId="0" fillId="0" borderId="15" pivotButton="0" quotePrefix="0" xfId="0"/>
    <xf numFmtId="0" fontId="1" fillId="4" borderId="7" applyAlignment="1" pivotButton="0" quotePrefix="0" xfId="0">
      <alignment horizontal="center" vertical="center"/>
    </xf>
    <xf numFmtId="0" fontId="0" fillId="0" borderId="26" pivotButton="0" quotePrefix="0" xfId="0"/>
    <xf numFmtId="0" fontId="0" fillId="4" borderId="7" applyAlignment="1" pivotButton="0" quotePrefix="0" xfId="0">
      <alignment horizontal="center"/>
    </xf>
    <xf numFmtId="0" fontId="0" fillId="0" borderId="28" pivotButton="0" quotePrefix="0" xfId="0"/>
    <xf numFmtId="0" fontId="3" fillId="0" borderId="12" applyAlignment="1" pivotButton="0" quotePrefix="0" xfId="0">
      <alignment horizontal="center"/>
    </xf>
    <xf numFmtId="0" fontId="0" fillId="0" borderId="30" pivotButton="0" quotePrefix="0" xfId="0"/>
    <xf numFmtId="0" fontId="0" fillId="0" borderId="20" pivotButton="0" quotePrefix="0" xfId="0"/>
    <xf numFmtId="0" fontId="5" fillId="6" borderId="25" applyAlignment="1" pivotButton="0" quotePrefix="0" xfId="0">
      <alignment horizontal="center" vertical="center"/>
    </xf>
    <xf numFmtId="0" fontId="0" fillId="0" borderId="27" pivotButton="0" quotePrefix="0" xfId="0"/>
  </cellXfs>
  <cellStyles count="3">
    <cellStyle name="Normal" xfId="0" builtinId="0"/>
    <cellStyle name="Good" xfId="1" builtinId="26"/>
    <cellStyle name="Hyperlink"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EKTAENTERPRISES1@GMAIL.COM" TargetMode="External" Id="rId1"/><Relationship Type="http://schemas.openxmlformats.org/officeDocument/2006/relationships/hyperlink" Target="mailto:Sk.Rafi@adani.com" TargetMode="External" Id="rId2"/></Relationships>
</file>

<file path=xl/worksheets/sheet1.xml><?xml version="1.0" encoding="utf-8"?>
<worksheet xmlns="http://schemas.openxmlformats.org/spreadsheetml/2006/main">
  <sheetPr>
    <outlinePr summaryBelow="1" summaryRight="1"/>
    <pageSetUpPr/>
  </sheetPr>
  <dimension ref="A1:H72"/>
  <sheetViews>
    <sheetView topLeftCell="B24" workbookViewId="0">
      <selection activeCell="H31" sqref="H31"/>
    </sheetView>
  </sheetViews>
  <sheetFormatPr baseColWidth="8" defaultRowHeight="15.75"/>
  <cols>
    <col width="28.85546875" bestFit="1" customWidth="1" style="11" min="1" max="1"/>
    <col width="34.42578125" bestFit="1" customWidth="1" style="51" min="2" max="2"/>
    <col width="37.28515625" customWidth="1" style="5" min="3" max="3"/>
    <col width="31.7109375" bestFit="1" customWidth="1" min="4" max="4"/>
    <col width="19.140625" bestFit="1" customWidth="1" min="5" max="5"/>
    <col width="28.42578125" bestFit="1" customWidth="1" min="7" max="7"/>
    <col width="35.7109375" customWidth="1" min="8" max="8"/>
  </cols>
  <sheetData>
    <row r="1">
      <c r="A1" s="11" t="inlineStr">
        <is>
          <t>Company Name</t>
        </is>
      </c>
      <c r="B1" s="51" t="inlineStr">
        <is>
          <t>Adani</t>
        </is>
      </c>
      <c r="C1" s="51" t="inlineStr">
        <is>
          <t>Adani</t>
        </is>
      </c>
      <c r="E1" t="inlineStr">
        <is>
          <t>New Po: 4802071344</t>
        </is>
      </c>
      <c r="G1" s="136" t="inlineStr">
        <is>
          <t>Key Detail</t>
        </is>
      </c>
      <c r="H1" s="136" t="inlineStr">
        <is>
          <t>Details</t>
        </is>
      </c>
    </row>
    <row r="2" ht="30" customHeight="1">
      <c r="A2" s="11" t="inlineStr">
        <is>
          <t xml:space="preserve">Po# </t>
        </is>
      </c>
      <c r="B2" s="5" t="n">
        <v>4802065297</v>
      </c>
      <c r="C2" s="5" t="inlineStr">
        <is>
          <t>Po not received yet till 5-5-25</t>
        </is>
      </c>
      <c r="G2" s="137" t="inlineStr">
        <is>
          <t>Company Name</t>
        </is>
      </c>
      <c r="H2" s="138" t="inlineStr">
        <is>
          <t>Adani Ennore Container Terminal Private Limited (AECTPL)</t>
        </is>
      </c>
    </row>
    <row r="3" ht="30" customHeight="1">
      <c r="A3" s="11" t="inlineStr">
        <is>
          <t>PO Date</t>
        </is>
      </c>
      <c r="B3" s="52" t="n">
        <v>45733</v>
      </c>
      <c r="G3" s="137" t="inlineStr">
        <is>
          <t>Site Location</t>
        </is>
      </c>
      <c r="H3" s="138" t="inlineStr">
        <is>
          <t>Adani Ennore Container Terminal, C/O Kamarajar Port Ltd</t>
        </is>
      </c>
    </row>
    <row r="4">
      <c r="A4" s="11" t="inlineStr">
        <is>
          <t>PO Start Date</t>
        </is>
      </c>
      <c r="B4" s="52" t="n">
        <v>45689</v>
      </c>
      <c r="G4" s="137" t="inlineStr">
        <is>
          <t>State</t>
        </is>
      </c>
      <c r="H4" s="138" t="inlineStr">
        <is>
          <t>Tamil Nadu</t>
        </is>
      </c>
    </row>
    <row r="5">
      <c r="A5" s="11" t="inlineStr">
        <is>
          <t>PO End Date</t>
        </is>
      </c>
      <c r="B5" s="52" t="n">
        <v>46112</v>
      </c>
      <c r="G5" s="137" t="inlineStr">
        <is>
          <t>PO #</t>
        </is>
      </c>
      <c r="H5" s="138" t="n">
        <v>4802087477</v>
      </c>
    </row>
    <row r="6">
      <c r="A6" s="16" t="inlineStr">
        <is>
          <t>Billing</t>
        </is>
      </c>
      <c r="B6" s="53" t="inlineStr">
        <is>
          <t>Monthly Billing 
Diesel Billing</t>
        </is>
      </c>
      <c r="G6" s="137" t="inlineStr">
        <is>
          <t>PO Release Date</t>
        </is>
      </c>
      <c r="H6" s="139" t="n">
        <v>46150</v>
      </c>
    </row>
    <row r="7">
      <c r="A7" s="11" t="inlineStr">
        <is>
          <t>Asset</t>
        </is>
      </c>
      <c r="B7" s="51" t="n">
        <v>1</v>
      </c>
      <c r="C7" s="5" t="n">
        <v>1</v>
      </c>
      <c r="G7" s="137" t="inlineStr">
        <is>
          <t>PO Start Date</t>
        </is>
      </c>
      <c r="H7" s="139" t="n">
        <v>46113</v>
      </c>
    </row>
    <row r="8">
      <c r="A8" s="11" t="inlineStr">
        <is>
          <t xml:space="preserve">Asset Type </t>
        </is>
      </c>
      <c r="B8" s="51" t="inlineStr">
        <is>
          <t>Reach Stacker</t>
        </is>
      </c>
      <c r="C8" s="5" t="inlineStr">
        <is>
          <t>Reach Stacker</t>
        </is>
      </c>
      <c r="G8" s="137" t="inlineStr">
        <is>
          <t>PO End Date</t>
        </is>
      </c>
      <c r="H8" s="139" t="n">
        <v>46477</v>
      </c>
    </row>
    <row r="9">
      <c r="A9" s="11" t="inlineStr">
        <is>
          <t>Make</t>
        </is>
      </c>
      <c r="B9" s="51" t="inlineStr">
        <is>
          <t>SANY</t>
        </is>
      </c>
      <c r="C9" s="5" t="inlineStr">
        <is>
          <t>Hyster</t>
        </is>
      </c>
      <c r="G9" s="137" t="inlineStr">
        <is>
          <t>Contract Period</t>
        </is>
      </c>
      <c r="H9" s="138" t="inlineStr">
        <is>
          <t>1 Year</t>
        </is>
      </c>
    </row>
    <row r="10">
      <c r="A10" s="11" t="inlineStr">
        <is>
          <t>Qty</t>
        </is>
      </c>
      <c r="B10" s="51" t="n">
        <v>1</v>
      </c>
      <c r="C10" s="5" t="n">
        <v>1</v>
      </c>
      <c r="G10" s="137" t="inlineStr">
        <is>
          <t>Seller / Vendor</t>
        </is>
      </c>
      <c r="H10" s="138" t="inlineStr">
        <is>
          <t>EKTA ENTERPRISES</t>
        </is>
      </c>
    </row>
    <row r="11">
      <c r="A11" s="11" t="inlineStr">
        <is>
          <t>Working Start</t>
        </is>
      </c>
      <c r="B11" s="12" t="n">
        <v>45689</v>
      </c>
      <c r="C11" s="12" t="n">
        <v>45748</v>
      </c>
      <c r="G11" s="137" t="inlineStr">
        <is>
          <t>Vendor Code</t>
        </is>
      </c>
      <c r="H11" s="138" t="n">
        <v>201315</v>
      </c>
    </row>
    <row r="12" ht="30" customHeight="1">
      <c r="A12" s="11" t="inlineStr">
        <is>
          <t>Asset#</t>
        </is>
      </c>
      <c r="G12" s="137" t="inlineStr">
        <is>
          <t>Vendor Address</t>
        </is>
      </c>
      <c r="H12" s="138" t="inlineStr">
        <is>
          <t>Kanakpura Mal Godown Road, Jaipur, Rajasthan – 302001</t>
        </is>
      </c>
    </row>
    <row r="13">
      <c r="A13" s="11" t="inlineStr">
        <is>
          <t>Loading Capacity</t>
        </is>
      </c>
      <c r="B13" s="51" t="inlineStr">
        <is>
          <t>45 MT</t>
        </is>
      </c>
      <c r="C13" s="51" t="inlineStr">
        <is>
          <t>45 MT</t>
        </is>
      </c>
      <c r="G13" s="137" t="inlineStr">
        <is>
          <t>Vendor PAN</t>
        </is>
      </c>
      <c r="H13" s="138" t="inlineStr">
        <is>
          <t>AABFE4085A</t>
        </is>
      </c>
    </row>
    <row r="14">
      <c r="A14" s="11" t="inlineStr">
        <is>
          <t>Model</t>
        </is>
      </c>
      <c r="B14" s="54" t="n">
        <v>45689</v>
      </c>
      <c r="C14" s="54" t="n">
        <v>45689</v>
      </c>
      <c r="G14" s="137" t="inlineStr">
        <is>
          <t>Vendor GSTIN</t>
        </is>
      </c>
      <c r="H14" s="138" t="inlineStr">
        <is>
          <t>08AABFE4085A1ZU</t>
        </is>
      </c>
    </row>
    <row r="15">
      <c r="A15" s="11" t="inlineStr">
        <is>
          <t>Work Type</t>
        </is>
      </c>
      <c r="B15" s="51" t="inlineStr">
        <is>
          <t xml:space="preserve">Handling containers </t>
        </is>
      </c>
      <c r="C15" s="51" t="inlineStr">
        <is>
          <t xml:space="preserve">Handling containers </t>
        </is>
      </c>
      <c r="G15" s="137" t="inlineStr">
        <is>
          <t>Vendor Email</t>
        </is>
      </c>
      <c r="H15" s="140" t="inlineStr">
        <is>
          <t>EKTAENTERPRISES1@GMAIL.COM</t>
        </is>
      </c>
    </row>
    <row r="16">
      <c r="A16" s="11" t="inlineStr">
        <is>
          <t>SANY Monthly Hiring Charges</t>
        </is>
      </c>
      <c r="B16" s="51" t="inlineStr">
        <is>
          <t>8,50,000</t>
        </is>
      </c>
      <c r="C16" s="51" t="inlineStr">
        <is>
          <t>8,50,000</t>
        </is>
      </c>
      <c r="G16" s="137" t="inlineStr">
        <is>
          <t>Client Contact Person</t>
        </is>
      </c>
      <c r="H16" s="138" t="inlineStr">
        <is>
          <t>SK RAFI</t>
        </is>
      </c>
    </row>
    <row r="17">
      <c r="A17" s="11" t="inlineStr">
        <is>
          <t>Max Running Hour</t>
        </is>
      </c>
      <c r="B17" s="51" t="inlineStr">
        <is>
          <t>520 hrs per month</t>
        </is>
      </c>
      <c r="C17" s="51" t="inlineStr">
        <is>
          <t>520 hrs per month</t>
        </is>
      </c>
      <c r="G17" s="137" t="inlineStr">
        <is>
          <t>Client Contact Number</t>
        </is>
      </c>
      <c r="H17" s="138" t="inlineStr">
        <is>
          <t>+91 9100902064</t>
        </is>
      </c>
    </row>
    <row r="18">
      <c r="A18" s="11" t="inlineStr">
        <is>
          <t>Moves per Hour</t>
        </is>
      </c>
      <c r="B18" s="51" t="inlineStr">
        <is>
          <t>Not applicable</t>
        </is>
      </c>
      <c r="C18" s="51" t="inlineStr">
        <is>
          <t>Not applicable</t>
        </is>
      </c>
      <c r="G18" s="137" t="inlineStr">
        <is>
          <t>Client Email</t>
        </is>
      </c>
      <c r="H18" s="140" t="inlineStr">
        <is>
          <t>Sk.Rafi@adani.com</t>
        </is>
      </c>
    </row>
    <row r="19">
      <c r="A19" s="11" t="inlineStr">
        <is>
          <t>Diesel</t>
        </is>
      </c>
      <c r="B19" s="51" t="inlineStr">
        <is>
          <t>Adani</t>
        </is>
      </c>
      <c r="C19" s="51" t="inlineStr">
        <is>
          <t>Adani</t>
        </is>
      </c>
      <c r="G19" s="137" t="inlineStr">
        <is>
          <t>Asset Type</t>
        </is>
      </c>
      <c r="H19" s="138" t="inlineStr">
        <is>
          <t>Reach Stacker</t>
        </is>
      </c>
    </row>
    <row r="20">
      <c r="A20" s="11" t="inlineStr">
        <is>
          <t>Diesel Cap</t>
        </is>
      </c>
      <c r="B20" s="51" t="inlineStr">
        <is>
          <t>18 Ltrs per hour</t>
        </is>
      </c>
      <c r="C20" s="51" t="inlineStr">
        <is>
          <t>18 Ltrs per hour</t>
        </is>
      </c>
      <c r="G20" s="137" t="inlineStr">
        <is>
          <t>Asset Qty</t>
        </is>
      </c>
      <c r="H20" s="138" t="inlineStr">
        <is>
          <t>2 Nos.</t>
        </is>
      </c>
    </row>
    <row r="21">
      <c r="A21" s="11" t="inlineStr">
        <is>
          <t>Breakdwon Allowed</t>
        </is>
      </c>
      <c r="B21" s="51" t="inlineStr">
        <is>
          <t>48 hrs per month</t>
        </is>
      </c>
      <c r="C21" s="51" t="inlineStr">
        <is>
          <t>48 hrs per month</t>
        </is>
      </c>
      <c r="D21" s="51" t="inlineStr">
        <is>
          <t>Double charges will be deducted</t>
        </is>
      </c>
      <c r="G21" s="137" t="inlineStr">
        <is>
          <t>Minimum Capacity</t>
        </is>
      </c>
      <c r="H21" s="138" t="inlineStr">
        <is>
          <t>45 Tonnes</t>
        </is>
      </c>
    </row>
    <row r="22">
      <c r="A22" s="11" t="inlineStr">
        <is>
          <t>Site Location</t>
        </is>
      </c>
      <c r="B22" s="51" t="inlineStr">
        <is>
          <t>Ennore</t>
        </is>
      </c>
      <c r="C22" s="51" t="inlineStr">
        <is>
          <t>Ennore</t>
        </is>
      </c>
      <c r="G22" s="137" t="inlineStr">
        <is>
          <t>Make</t>
        </is>
      </c>
      <c r="H22" s="138" t="inlineStr">
        <is>
          <t>XCMG / SANY / HYSTER</t>
        </is>
      </c>
    </row>
    <row r="23" ht="30" customHeight="1">
      <c r="A23" s="11" t="inlineStr">
        <is>
          <t>State</t>
        </is>
      </c>
      <c r="B23" s="51" t="inlineStr">
        <is>
          <t>Chennai</t>
        </is>
      </c>
      <c r="C23" s="51" t="inlineStr">
        <is>
          <t>Chennai</t>
        </is>
      </c>
      <c r="G23" s="137" t="inlineStr">
        <is>
          <t>Application</t>
        </is>
      </c>
      <c r="H23" s="138" t="inlineStr">
        <is>
          <t>Handling loaded &amp; empty 20' / 40' ISO containers</t>
        </is>
      </c>
    </row>
    <row r="24">
      <c r="A24" s="11" t="inlineStr">
        <is>
          <t>Supervisor</t>
        </is>
      </c>
      <c r="B24" s="51" t="inlineStr">
        <is>
          <t>Ajit</t>
        </is>
      </c>
      <c r="C24" s="51" t="inlineStr">
        <is>
          <t>Ajit</t>
        </is>
      </c>
      <c r="G24" s="137" t="inlineStr">
        <is>
          <t>Monthly Hiring Charges / RS</t>
        </is>
      </c>
      <c r="H24" s="138" t="inlineStr">
        <is>
          <t>₹8,50,000</t>
        </is>
      </c>
    </row>
    <row r="25">
      <c r="A25" s="11" t="inlineStr">
        <is>
          <t>Supervisor Contact Number</t>
        </is>
      </c>
      <c r="G25" s="137" t="inlineStr">
        <is>
          <t>Total Monthly Hiring Charges</t>
        </is>
      </c>
      <c r="H25" s="138" t="inlineStr">
        <is>
          <t>₹17,00,000 for 2 RS</t>
        </is>
      </c>
    </row>
    <row r="26">
      <c r="A26" s="11" t="inlineStr">
        <is>
          <t>Operator</t>
        </is>
      </c>
      <c r="B26" s="51" t="n">
        <v>3</v>
      </c>
      <c r="C26" s="51" t="n">
        <v>3</v>
      </c>
      <c r="G26" s="137" t="inlineStr">
        <is>
          <t>Basic PO Value</t>
        </is>
      </c>
      <c r="H26" s="138" t="inlineStr">
        <is>
          <t>₹1,70,00,000</t>
        </is>
      </c>
    </row>
    <row r="27">
      <c r="A27" s="11" t="inlineStr">
        <is>
          <t>Helper</t>
        </is>
      </c>
      <c r="B27" s="51" t="n">
        <v>0</v>
      </c>
      <c r="C27" s="51" t="n">
        <v>0</v>
      </c>
      <c r="G27" s="137" t="inlineStr">
        <is>
          <t>GST @ 18%</t>
        </is>
      </c>
      <c r="H27" s="138" t="inlineStr">
        <is>
          <t>₹30,60,000</t>
        </is>
      </c>
    </row>
    <row r="28">
      <c r="A28" s="16" t="inlineStr">
        <is>
          <t>Billing Cycle</t>
        </is>
      </c>
      <c r="B28" s="55" t="inlineStr">
        <is>
          <t xml:space="preserve">Monthly Billing </t>
        </is>
      </c>
      <c r="C28" s="55" t="inlineStr">
        <is>
          <t xml:space="preserve">Monthly Billing </t>
        </is>
      </c>
      <c r="G28" s="137" t="inlineStr">
        <is>
          <t>Total PO Value incl. GST</t>
        </is>
      </c>
      <c r="H28" s="138" t="inlineStr">
        <is>
          <t>₹2,00,60,000</t>
        </is>
      </c>
    </row>
    <row r="29">
      <c r="A29" s="10" t="inlineStr">
        <is>
          <t>document required</t>
        </is>
      </c>
      <c r="G29" s="137" t="inlineStr">
        <is>
          <t>Diesel</t>
        </is>
      </c>
      <c r="H29" s="138" t="inlineStr">
        <is>
          <t>Adani / AECTPL</t>
        </is>
      </c>
    </row>
    <row r="30">
      <c r="A30" s="10" t="inlineStr">
        <is>
          <t>Billing medium</t>
        </is>
      </c>
      <c r="G30" s="137" t="inlineStr">
        <is>
          <t>Diesel Billing</t>
        </is>
      </c>
      <c r="H30" s="138" t="inlineStr">
        <is>
          <t>❌</t>
        </is>
      </c>
    </row>
    <row r="31">
      <c r="A31" s="10" t="inlineStr">
        <is>
          <t>Email ID Used</t>
        </is>
      </c>
      <c r="G31" s="137" t="inlineStr">
        <is>
          <t>Reference Fuel Consumption</t>
        </is>
      </c>
      <c r="H31" s="138" t="inlineStr">
        <is>
          <t>Maximum 18 Litre/Hour</t>
        </is>
      </c>
    </row>
    <row r="32" ht="45" customHeight="1">
      <c r="A32" s="10" t="inlineStr">
        <is>
          <t xml:space="preserve">Sent to </t>
        </is>
      </c>
      <c r="G32" s="137" t="inlineStr">
        <is>
          <t>Benchmark Consumption</t>
        </is>
      </c>
      <c r="H32" s="138" t="inlineStr">
        <is>
          <t>Mutually agreed within first 15 days; variance beyond ±10% to be investigated</t>
        </is>
      </c>
    </row>
    <row r="33" ht="45" customHeight="1">
      <c r="A33" s="10" t="inlineStr">
        <is>
          <t>CC</t>
        </is>
      </c>
      <c r="G33" s="137" t="inlineStr">
        <is>
          <t>Extra Working Hours</t>
        </is>
      </c>
      <c r="H33" s="138" t="inlineStr">
        <is>
          <t>Yes – as directed by Terminal Head, including extended shifts/weekends/holidays</t>
        </is>
      </c>
    </row>
    <row r="34" ht="30" customHeight="1">
      <c r="A34" s="10" t="inlineStr">
        <is>
          <t>Subject Line</t>
        </is>
      </c>
      <c r="G34" s="137" t="inlineStr">
        <is>
          <t>Breakdown Allowed</t>
        </is>
      </c>
      <c r="H34" s="138" t="inlineStr">
        <is>
          <t>48 Hours/Month/RS – non-carry-forward</t>
        </is>
      </c>
    </row>
    <row r="35" ht="30" customHeight="1">
      <c r="A35" s="10" t="inlineStr">
        <is>
          <t>Company's Contact Person</t>
        </is>
      </c>
      <c r="G35" s="137" t="inlineStr">
        <is>
          <t>Breakdown Beyond Allowance</t>
        </is>
      </c>
      <c r="H35" s="138" t="inlineStr">
        <is>
          <t>Pro-rata deduction on monthly hire charges</t>
        </is>
      </c>
    </row>
    <row r="36">
      <c r="A36" s="10" t="inlineStr">
        <is>
          <t>Company's Contact Number</t>
        </is>
      </c>
      <c r="G36" s="137" t="inlineStr">
        <is>
          <t>Minimum Hire Period</t>
        </is>
      </c>
      <c r="H36" s="138" t="inlineStr">
        <is>
          <t>6 Months from date of mobilization</t>
        </is>
      </c>
    </row>
    <row r="37">
      <c r="A37" s="10" t="inlineStr">
        <is>
          <t>Termission of contract</t>
        </is>
      </c>
      <c r="G37" s="137" t="inlineStr">
        <is>
          <t>Mobilization Charges</t>
        </is>
      </c>
      <c r="H37" s="138" t="inlineStr">
        <is>
          <t>Included in monthly hiring charges</t>
        </is>
      </c>
    </row>
    <row r="38" ht="220.5" customHeight="1">
      <c r="A38" s="16" t="inlineStr">
        <is>
          <t>Note</t>
        </is>
      </c>
      <c r="B38" s="72" t="inlineStr">
        <is>
          <t>1
Need to mail to Jayraj (41009961@adani.com) with subject line "Request for Diesel Issued Details – August 2025" for diesel qty matched
CC: resourcesplanner.MIDPL@adani.com
ajitbhardwaj843@gmail.com</t>
        </is>
      </c>
      <c r="C38" s="55" t="inlineStr">
        <is>
          <t xml:space="preserve">2
After complete tha logsheet, need to send it to Site Supervisor (Ajit) for verification, and then send it to Sunil Sharma for invoice creation FOR MACHINE and then need to create the service sheet and after getting the approval on it need to submit the final bill. 
After submitting ss on ariba sent invoices and logsheets through email to Dharmendra G Dabhi @ esourcesplanner.MIDPL@adani.com. </t>
        </is>
      </c>
      <c r="G38" s="137" t="inlineStr">
        <is>
          <t>Demobilization Charges</t>
        </is>
      </c>
      <c r="H38" s="138" t="inlineStr">
        <is>
          <t>Included in monthly hiring charges</t>
        </is>
      </c>
    </row>
    <row r="39" ht="30" customHeight="1">
      <c r="G39" s="137" t="inlineStr">
        <is>
          <t>Replacement Equipment</t>
        </is>
      </c>
      <c r="H39" s="138" t="inlineStr">
        <is>
          <t>Required if breakdown exceeds 4 continuous shifts</t>
        </is>
      </c>
    </row>
    <row r="40" ht="30" customHeight="1">
      <c r="G40" s="137" t="inlineStr">
        <is>
          <t>Operator</t>
        </is>
      </c>
      <c r="H40" s="138" t="inlineStr">
        <is>
          <t>Experienced &amp; licensed Reach Stacker operator</t>
        </is>
      </c>
    </row>
    <row r="41" ht="45" customHeight="1">
      <c r="G41" s="137" t="inlineStr">
        <is>
          <t>Manpower</t>
        </is>
      </c>
      <c r="H41" s="138" t="inlineStr">
        <is>
          <t>3 operators/helpers per RS per shift as per port requirement, 2D/2N/2OFF rotation</t>
        </is>
      </c>
    </row>
    <row r="42">
      <c r="G42" s="137" t="inlineStr">
        <is>
          <t>Shift Duration</t>
        </is>
      </c>
      <c r="H42" s="138" t="inlineStr">
        <is>
          <t>12 Hours</t>
        </is>
      </c>
    </row>
    <row r="43">
      <c r="G43" s="137" t="inlineStr">
        <is>
          <t>Relievers</t>
        </is>
      </c>
      <c r="H43" s="138" t="inlineStr">
        <is>
          <t>Contractor / Vendor scope</t>
        </is>
      </c>
    </row>
    <row r="44">
      <c r="G44" s="137" t="inlineStr">
        <is>
          <t>Safety Training</t>
        </is>
      </c>
      <c r="H44" s="138" t="inlineStr">
        <is>
          <t>Mandatory before deployment</t>
        </is>
      </c>
    </row>
    <row r="45">
      <c r="G45" s="137" t="inlineStr">
        <is>
          <t>PPE &amp; Statutory Requirements</t>
        </is>
      </c>
      <c r="H45" s="138" t="inlineStr">
        <is>
          <t>Vendor scope</t>
        </is>
      </c>
    </row>
    <row r="46">
      <c r="G46" s="137" t="inlineStr">
        <is>
          <t>Food &amp; Refreshments</t>
        </is>
      </c>
      <c r="H46" s="138" t="inlineStr">
        <is>
          <t>Vendor scope</t>
        </is>
      </c>
    </row>
    <row r="47">
      <c r="G47" s="137" t="inlineStr">
        <is>
          <t>Accommodation &amp; Transport</t>
        </is>
      </c>
      <c r="H47" s="138" t="inlineStr">
        <is>
          <t>Vendor scope</t>
        </is>
      </c>
    </row>
    <row r="48">
      <c r="G48" s="137" t="inlineStr">
        <is>
          <t>Insurance</t>
        </is>
      </c>
      <c r="H48" s="138" t="inlineStr">
        <is>
          <t>Vendor scope</t>
        </is>
      </c>
    </row>
    <row r="49">
      <c r="G49" s="137" t="inlineStr">
        <is>
          <t>Maintenance &amp; Repairs</t>
        </is>
      </c>
      <c r="H49" s="138" t="inlineStr">
        <is>
          <t>Vendor scope</t>
        </is>
      </c>
    </row>
    <row r="50" ht="30" customHeight="1">
      <c r="G50" s="137" t="inlineStr">
        <is>
          <t>Spares / Lubricants / Tyres / Consumables</t>
        </is>
      </c>
      <c r="H50" s="138" t="inlineStr">
        <is>
          <t>Vendor scope, except diesel</t>
        </is>
      </c>
    </row>
    <row r="51" ht="30" customHeight="1">
      <c r="G51" s="137" t="inlineStr">
        <is>
          <t>Operating Surface</t>
        </is>
      </c>
      <c r="H51" s="138" t="inlineStr">
        <is>
          <t>Paver block / bitumen surfaces within port</t>
        </is>
      </c>
    </row>
    <row r="52" ht="45" customHeight="1">
      <c r="G52" s="137" t="inlineStr">
        <is>
          <t>Payment Terms</t>
        </is>
      </c>
      <c r="H52" s="138" t="inlineStr">
        <is>
          <t>RA Bills within 30 days from bill submission and certification by site in-charge</t>
        </is>
      </c>
    </row>
    <row r="53">
      <c r="G53" s="137" t="inlineStr">
        <is>
          <t>GST</t>
        </is>
      </c>
      <c r="H53" s="138" t="inlineStr">
        <is>
          <t>As applicable</t>
        </is>
      </c>
    </row>
    <row r="54">
      <c r="G54" s="137" t="inlineStr">
        <is>
          <t>Delivery Term</t>
        </is>
      </c>
      <c r="H54" s="138" t="inlineStr">
        <is>
          <t>DAP – Delivered at Place</t>
        </is>
      </c>
    </row>
    <row r="55" ht="45" customHeight="1">
      <c r="G55" s="137" t="inlineStr">
        <is>
          <t>Delivery Point</t>
        </is>
      </c>
      <c r="H55" s="138" t="inlineStr">
        <is>
          <t>AECTPL, Central Stores, Chennai District, Thiruvallur – 600120, Tamil Nadu</t>
        </is>
      </c>
    </row>
    <row r="56" ht="30" customHeight="1">
      <c r="G56" s="137" t="inlineStr">
        <is>
          <t>Availability Requirement</t>
        </is>
      </c>
      <c r="H56" s="138" t="inlineStr">
        <is>
          <t>95% minimum operator/driver availability</t>
        </is>
      </c>
    </row>
    <row r="57">
      <c r="G57" s="137" t="inlineStr">
        <is>
          <t>Absenteeism Penalty</t>
        </is>
      </c>
      <c r="H57" s="138" t="inlineStr">
        <is>
          <t>₹1,500/shift beyond 5% allowance</t>
        </is>
      </c>
    </row>
    <row r="58" ht="45" customHeight="1">
      <c r="G58" s="137" t="inlineStr">
        <is>
          <t>3-Warning Rule</t>
        </is>
      </c>
      <c r="H58" s="138" t="inlineStr">
        <is>
          <t>Full daily hire deduction for subsequent absence after 3 warning instances in a month, plus ₹1,500/shift</t>
        </is>
      </c>
    </row>
    <row r="59" ht="45" customHeight="1">
      <c r="G59" s="137" t="inlineStr">
        <is>
          <t>Idle Time</t>
        </is>
      </c>
      <c r="H59" s="138" t="inlineStr">
        <is>
          <t>No penalty/deduction when RS is available but not utilized due to Employer reasons</t>
        </is>
      </c>
    </row>
    <row r="60">
      <c r="G60" s="137" t="inlineStr">
        <is>
          <t>Free Breakdown / Detention</t>
        </is>
      </c>
      <c r="H60" s="138" t="inlineStr">
        <is>
          <t>48 Hours/Calendar Month</t>
        </is>
      </c>
    </row>
    <row r="61" ht="30" customHeight="1">
      <c r="G61" s="137" t="inlineStr">
        <is>
          <t>Fuel Pilferage</t>
        </is>
      </c>
      <c r="H61" s="138" t="inlineStr">
        <is>
          <t>Recoverable from running bills at prevailing market rate</t>
        </is>
      </c>
    </row>
    <row r="62" ht="60" customHeight="1">
      <c r="G62" s="137" t="inlineStr">
        <is>
          <t>Daily Fuel Log</t>
        </is>
      </c>
      <c r="H62" s="138" t="inlineStr">
        <is>
          <t>Opening reading, closing reading, litres filled &amp; hours operated; countersigned by terminal representative</t>
        </is>
      </c>
    </row>
    <row r="63" ht="45" customHeight="1">
      <c r="G63" s="137" t="inlineStr">
        <is>
          <t>Safety Violation</t>
        </is>
      </c>
      <c r="H63" s="138" t="inlineStr">
        <is>
          <t>May result in suspension of equipment without waiver of hire charges</t>
        </is>
      </c>
    </row>
    <row r="64" ht="30" customHeight="1">
      <c r="G64" s="137" t="inlineStr">
        <is>
          <t>Termination</t>
        </is>
      </c>
      <c r="H64" s="138" t="inlineStr">
        <is>
          <t>Either party may terminate with 30 days' written notice</t>
        </is>
      </c>
    </row>
    <row r="65" ht="45" customHeight="1">
      <c r="G65" s="137" t="inlineStr">
        <is>
          <t>Immediate Termination</t>
        </is>
      </c>
      <c r="H65" s="138" t="inlineStr">
        <is>
          <t>Employer may terminate for repeated safety violations, persistent breakdown or operator misconduct</t>
        </is>
      </c>
    </row>
    <row r="66">
      <c r="G66" s="137" t="inlineStr">
        <is>
          <t>Utilities &amp; Facilities</t>
        </is>
      </c>
      <c r="H66" s="138" t="inlineStr">
        <is>
          <t>Vendor scope</t>
        </is>
      </c>
    </row>
    <row r="67" ht="30" customHeight="1">
      <c r="G67" s="137" t="inlineStr">
        <is>
          <t>Loss / Damage</t>
        </is>
      </c>
      <c r="H67" s="138" t="inlineStr">
        <is>
          <t>Recoverable from Contractor's monthly RA bills</t>
        </is>
      </c>
    </row>
    <row r="68">
      <c r="G68" s="137" t="inlineStr">
        <is>
          <t>Billing / Order Platform</t>
        </is>
      </c>
      <c r="H68" s="138" t="inlineStr">
        <is>
          <t>Ariba Network (AN)</t>
        </is>
      </c>
    </row>
    <row r="69">
      <c r="G69" s="137" t="inlineStr">
        <is>
          <t>PO Liquidated Damages</t>
        </is>
      </c>
      <c r="H69" s="138" t="inlineStr">
        <is>
          <t>NA</t>
        </is>
      </c>
    </row>
    <row r="70">
      <c r="G70" s="137" t="inlineStr">
        <is>
          <t>PO Securities</t>
        </is>
      </c>
      <c r="H70" s="138" t="inlineStr">
        <is>
          <t>NA</t>
        </is>
      </c>
    </row>
    <row r="71">
      <c r="G71" s="137" t="inlineStr">
        <is>
          <t>Dispatch Documents</t>
        </is>
      </c>
      <c r="H71" s="138" t="inlineStr">
        <is>
          <t>NA</t>
        </is>
      </c>
    </row>
    <row r="72">
      <c r="G72" s="137" t="inlineStr">
        <is>
          <t>Enclosures</t>
        </is>
      </c>
      <c r="H72" s="138" t="inlineStr">
        <is>
          <t>NA</t>
        </is>
      </c>
    </row>
  </sheetData>
  <hyperlinks>
    <hyperlink xmlns:r="http://schemas.openxmlformats.org/officeDocument/2006/relationships" ref="H15" display="mailto:EKTAENTERPRISES1@GMAIL.COM" r:id="rId1"/>
    <hyperlink xmlns:r="http://schemas.openxmlformats.org/officeDocument/2006/relationships" ref="H18" display="mailto:Sk.Rafi@adani.com" r:id="rId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G68"/>
  <sheetViews>
    <sheetView zoomScale="85" zoomScaleNormal="85" workbookViewId="0">
      <pane xSplit="2" ySplit="3" topLeftCell="C38" activePane="bottomRight" state="frozen"/>
      <selection pane="topRight" activeCell="C1" sqref="C1"/>
      <selection pane="bottomLeft" activeCell="A4" sqref="A4"/>
      <selection pane="bottomRight" activeCell="I66" sqref="I66"/>
    </sheetView>
  </sheetViews>
  <sheetFormatPr baseColWidth="8" defaultRowHeight="15"/>
  <cols>
    <col width="12.140625" customWidth="1" min="6" max="6"/>
    <col width="11.7109375" customWidth="1" min="8" max="8"/>
    <col width="10.7109375" customWidth="1" min="12" max="12"/>
    <col width="14.5703125" customWidth="1" min="13" max="13"/>
    <col width="11" customWidth="1" min="14" max="14"/>
    <col width="11.7109375" customWidth="1" min="15" max="15"/>
    <col width="11.85546875" customWidth="1" min="16" max="16"/>
    <col width="11.28515625" customWidth="1" min="22" max="22"/>
    <col width="12" customWidth="1" min="23" max="23"/>
    <col width="11.28515625" customWidth="1" min="25" max="25"/>
    <col width="12.5703125" customWidth="1" min="29" max="29"/>
    <col width="12.28515625" bestFit="1" customWidth="1" min="30" max="30"/>
    <col width="10.7109375" customWidth="1" min="31" max="31"/>
    <col width="11.28515625" customWidth="1" min="32" max="32"/>
    <col width="11.140625" customWidth="1" min="33" max="33"/>
  </cols>
  <sheetData>
    <row r="1" ht="24" customHeight="1" thickBot="1">
      <c r="A1" s="147" t="inlineStr">
        <is>
          <t>SANY-2025-650 Ltr (RS-02)</t>
        </is>
      </c>
      <c r="B1" s="148" t="n"/>
      <c r="C1" s="148" t="n"/>
      <c r="D1" s="148" t="n"/>
      <c r="E1" s="148" t="n"/>
      <c r="F1" s="148" t="n"/>
      <c r="G1" s="148" t="n"/>
      <c r="H1" s="148" t="n"/>
      <c r="I1" s="148" t="n"/>
      <c r="J1" s="148" t="n"/>
      <c r="K1" s="148" t="n"/>
      <c r="L1" s="148" t="n"/>
      <c r="M1" s="148" t="n"/>
      <c r="N1" s="25" t="n"/>
      <c r="O1" s="25" t="n"/>
      <c r="P1" s="25" t="n"/>
      <c r="R1" s="147" t="inlineStr">
        <is>
          <t>Hyster-2025 (RS-03)</t>
        </is>
      </c>
      <c r="S1" s="148" t="n"/>
      <c r="T1" s="148" t="n"/>
      <c r="U1" s="148" t="n"/>
      <c r="V1" s="148" t="n"/>
      <c r="W1" s="148" t="n"/>
      <c r="X1" s="148" t="n"/>
      <c r="Y1" s="148" t="n"/>
      <c r="Z1" s="148" t="n"/>
      <c r="AA1" s="148" t="n"/>
      <c r="AB1" s="148" t="n"/>
      <c r="AC1" s="148" t="n"/>
      <c r="AD1" s="148" t="n"/>
    </row>
    <row r="2" ht="55.5" customHeight="1" thickBot="1">
      <c r="A2" s="28" t="inlineStr">
        <is>
          <t>DATE</t>
        </is>
      </c>
      <c r="B2" s="40" t="inlineStr">
        <is>
          <t>SHIFT</t>
        </is>
      </c>
      <c r="C2" s="29" t="inlineStr">
        <is>
          <t>START HMR</t>
        </is>
      </c>
      <c r="D2" s="29" t="inlineStr">
        <is>
          <t>END HMR</t>
        </is>
      </c>
      <c r="E2" s="29" t="inlineStr">
        <is>
          <t>WORKING HMR</t>
        </is>
      </c>
      <c r="F2" s="29" t="inlineStr">
        <is>
          <t>DIESEL RECEIVED</t>
        </is>
      </c>
      <c r="G2" s="29" t="inlineStr">
        <is>
          <t>HMR</t>
        </is>
      </c>
      <c r="H2" s="29" t="inlineStr">
        <is>
          <t>Running Hours</t>
        </is>
      </c>
      <c r="I2" s="30" t="inlineStr">
        <is>
          <t>Average</t>
        </is>
      </c>
      <c r="J2" s="28" t="inlineStr">
        <is>
          <t>B/D Start Time</t>
        </is>
      </c>
      <c r="K2" s="29" t="inlineStr">
        <is>
          <t>B/D End Time</t>
        </is>
      </c>
      <c r="L2" s="29" t="inlineStr">
        <is>
          <t>Total B/D Hours</t>
        </is>
      </c>
      <c r="M2" s="30" t="inlineStr">
        <is>
          <t>B/D Reason</t>
        </is>
      </c>
      <c r="N2" s="46" t="inlineStr">
        <is>
          <t>Start Conatiner</t>
        </is>
      </c>
      <c r="O2" s="47" t="inlineStr">
        <is>
          <t>End Conatiner</t>
        </is>
      </c>
      <c r="P2" s="48" t="inlineStr">
        <is>
          <t>Per Day Container Count</t>
        </is>
      </c>
      <c r="R2" s="28" t="inlineStr">
        <is>
          <t>DATE</t>
        </is>
      </c>
      <c r="S2" s="40" t="inlineStr">
        <is>
          <t>SHIFT</t>
        </is>
      </c>
      <c r="T2" s="29" t="inlineStr">
        <is>
          <t>START HMR</t>
        </is>
      </c>
      <c r="U2" s="29" t="inlineStr">
        <is>
          <t>END HMR</t>
        </is>
      </c>
      <c r="V2" s="29" t="inlineStr">
        <is>
          <t>WORKING HMR</t>
        </is>
      </c>
      <c r="W2" s="29" t="inlineStr">
        <is>
          <t>DIESEL RECEIVED</t>
        </is>
      </c>
      <c r="X2" s="29" t="inlineStr">
        <is>
          <t>HMR</t>
        </is>
      </c>
      <c r="Y2" s="29" t="inlineStr">
        <is>
          <t>Running Hours</t>
        </is>
      </c>
      <c r="Z2" s="29" t="inlineStr">
        <is>
          <t>Average</t>
        </is>
      </c>
      <c r="AA2" s="28" t="inlineStr">
        <is>
          <t>B/D Start Time</t>
        </is>
      </c>
      <c r="AB2" s="29" t="inlineStr">
        <is>
          <t>B/D End Time</t>
        </is>
      </c>
      <c r="AC2" s="29" t="inlineStr">
        <is>
          <t>Total B/D Hours</t>
        </is>
      </c>
      <c r="AD2" s="30" t="inlineStr">
        <is>
          <t>B/D Reason</t>
        </is>
      </c>
      <c r="AE2" s="46" t="inlineStr">
        <is>
          <t>Start Conatiner</t>
        </is>
      </c>
      <c r="AF2" s="47" t="inlineStr">
        <is>
          <t>End Conatiner</t>
        </is>
      </c>
      <c r="AG2" s="48" t="inlineStr">
        <is>
          <t>Per Day Container Count</t>
        </is>
      </c>
    </row>
    <row r="3" ht="15.75" customHeight="1">
      <c r="A3" s="17" t="inlineStr">
        <is>
          <t>Prev</t>
        </is>
      </c>
      <c r="B3" s="8" t="n"/>
      <c r="C3" s="2" t="n"/>
      <c r="D3" s="2" t="n"/>
      <c r="E3" s="2" t="n"/>
      <c r="F3" s="6" t="n"/>
      <c r="G3" s="14" t="n">
        <v>3548</v>
      </c>
      <c r="H3" s="6" t="n"/>
      <c r="I3" s="18" t="n"/>
      <c r="J3" s="31" t="n"/>
      <c r="K3" s="6" t="n"/>
      <c r="L3" s="6" t="n"/>
      <c r="M3" s="18" t="n"/>
      <c r="N3" s="31" t="n"/>
      <c r="O3" s="6" t="n"/>
      <c r="P3" s="18" t="n"/>
      <c r="Q3" s="13" t="n"/>
      <c r="R3" s="17" t="inlineStr">
        <is>
          <t>Prev</t>
        </is>
      </c>
      <c r="S3" s="8" t="n"/>
      <c r="T3" s="2" t="n"/>
      <c r="U3" s="2" t="n"/>
      <c r="V3" s="2" t="n"/>
      <c r="W3" s="6" t="n"/>
      <c r="X3" s="14" t="n">
        <v>2277</v>
      </c>
      <c r="Y3" s="6" t="n"/>
      <c r="Z3" s="6" t="n"/>
      <c r="AA3" s="31" t="n"/>
      <c r="AB3" s="6" t="n"/>
      <c r="AC3" s="6" t="n"/>
      <c r="AD3" s="18" t="n"/>
      <c r="AE3" s="31" t="n"/>
      <c r="AF3" s="6" t="n"/>
      <c r="AG3" s="18" t="n"/>
    </row>
    <row r="4">
      <c r="A4" s="42" t="n">
        <v>46023</v>
      </c>
      <c r="B4" s="24" t="inlineStr">
        <is>
          <t>DAY</t>
        </is>
      </c>
      <c r="C4" s="14" t="n">
        <v>3555</v>
      </c>
      <c r="D4" s="14" t="n">
        <v>3559</v>
      </c>
      <c r="E4" s="14">
        <f>D4-C4</f>
        <v/>
      </c>
      <c r="F4" s="3" t="n"/>
      <c r="G4" s="3" t="n"/>
      <c r="H4" s="3" t="n"/>
      <c r="I4" s="34" t="n"/>
      <c r="J4" s="32" t="n"/>
      <c r="K4" s="3" t="n"/>
      <c r="L4" s="3" t="n"/>
      <c r="M4" s="19" t="n"/>
      <c r="N4" s="1" t="n">
        <v>50519</v>
      </c>
      <c r="O4" s="1" t="n">
        <v>50566</v>
      </c>
      <c r="P4" s="9">
        <f>O4-N4</f>
        <v/>
      </c>
      <c r="R4" s="42" t="n">
        <v>46023</v>
      </c>
      <c r="S4" s="24" t="inlineStr">
        <is>
          <t>DAY</t>
        </is>
      </c>
      <c r="T4" s="14" t="n">
        <v>2280</v>
      </c>
      <c r="U4" s="14" t="n">
        <v>2281</v>
      </c>
      <c r="V4" s="14">
        <f>U4-T4</f>
        <v/>
      </c>
      <c r="W4" s="3" t="n"/>
      <c r="X4" s="3" t="n"/>
      <c r="Y4" s="3" t="n"/>
      <c r="Z4" s="4" t="n"/>
      <c r="AA4" s="32" t="n"/>
      <c r="AB4" s="3" t="n"/>
      <c r="AC4" s="3" t="n"/>
      <c r="AD4" s="19" t="n"/>
      <c r="AE4" s="1" t="n">
        <v>36810</v>
      </c>
      <c r="AF4" s="1" t="n">
        <v>36818</v>
      </c>
      <c r="AG4" s="9">
        <f>AF4-AE4</f>
        <v/>
      </c>
    </row>
    <row r="5">
      <c r="A5" s="42">
        <f>A4</f>
        <v/>
      </c>
      <c r="B5" s="24" t="inlineStr">
        <is>
          <t>NIGHT</t>
        </is>
      </c>
      <c r="C5" s="14">
        <f>D4</f>
        <v/>
      </c>
      <c r="D5" s="14" t="n">
        <v>3562</v>
      </c>
      <c r="E5" s="14">
        <f>D5-C5</f>
        <v/>
      </c>
      <c r="F5" s="3" t="n"/>
      <c r="G5" s="3" t="n"/>
      <c r="H5" s="3" t="n"/>
      <c r="I5" s="34" t="n"/>
      <c r="J5" s="32" t="n"/>
      <c r="K5" s="3" t="n"/>
      <c r="L5" s="3" t="n"/>
      <c r="M5" s="19" t="n"/>
      <c r="N5" s="1">
        <f>O4</f>
        <v/>
      </c>
      <c r="O5" s="1" t="n">
        <v>50611</v>
      </c>
      <c r="P5" s="9">
        <f>O5-N5</f>
        <v/>
      </c>
      <c r="R5" s="42">
        <f>R4</f>
        <v/>
      </c>
      <c r="S5" s="24" t="inlineStr">
        <is>
          <t>NIGHT</t>
        </is>
      </c>
      <c r="T5" s="14">
        <f>U4</f>
        <v/>
      </c>
      <c r="U5" s="14" t="n">
        <v>2282</v>
      </c>
      <c r="V5" s="14">
        <f>U5-T5</f>
        <v/>
      </c>
      <c r="W5" s="3" t="n"/>
      <c r="X5" s="3" t="n"/>
      <c r="Y5" s="3" t="n"/>
      <c r="Z5" s="4" t="n"/>
      <c r="AA5" s="32" t="n"/>
      <c r="AB5" s="3" t="n"/>
      <c r="AC5" s="3" t="n"/>
      <c r="AD5" s="19" t="n"/>
      <c r="AE5" s="41">
        <f>AF4</f>
        <v/>
      </c>
      <c r="AF5" s="1" t="n">
        <v>36867</v>
      </c>
      <c r="AG5" s="9">
        <f>AF5-AE5</f>
        <v/>
      </c>
    </row>
    <row r="6">
      <c r="A6" s="42">
        <f>A4+1</f>
        <v/>
      </c>
      <c r="B6" s="24" t="inlineStr">
        <is>
          <t>DAY</t>
        </is>
      </c>
      <c r="C6" s="14">
        <f>D5</f>
        <v/>
      </c>
      <c r="D6" s="14" t="n">
        <v>3565</v>
      </c>
      <c r="E6" s="14">
        <f>D6-C6</f>
        <v/>
      </c>
      <c r="F6" s="3" t="n">
        <v>300</v>
      </c>
      <c r="G6" s="3" t="n">
        <v>3562</v>
      </c>
      <c r="H6" s="3">
        <f>G6-G3</f>
        <v/>
      </c>
      <c r="I6" s="34">
        <f>F6/H6</f>
        <v/>
      </c>
      <c r="J6" s="33" t="n"/>
      <c r="K6" s="4" t="n"/>
      <c r="L6" s="4" t="n"/>
      <c r="M6" s="34" t="n"/>
      <c r="N6" s="1">
        <f>O5</f>
        <v/>
      </c>
      <c r="O6" s="1" t="n">
        <v>50645</v>
      </c>
      <c r="P6" s="9">
        <f>O6-N6</f>
        <v/>
      </c>
      <c r="R6" s="42">
        <f>R4+1</f>
        <v/>
      </c>
      <c r="S6" s="24" t="inlineStr">
        <is>
          <t>DAY</t>
        </is>
      </c>
      <c r="T6" s="14">
        <f>U5</f>
        <v/>
      </c>
      <c r="U6" s="14" t="n">
        <v>2285</v>
      </c>
      <c r="V6" s="14">
        <f>U6-T6</f>
        <v/>
      </c>
      <c r="W6" s="3" t="n"/>
      <c r="X6" s="3" t="n"/>
      <c r="Y6" s="3" t="n"/>
      <c r="Z6" s="4" t="n"/>
      <c r="AA6" s="33" t="n"/>
      <c r="AB6" s="4" t="n"/>
      <c r="AC6" s="4" t="n"/>
      <c r="AD6" s="34" t="n"/>
      <c r="AE6" s="41">
        <f>AF5</f>
        <v/>
      </c>
      <c r="AF6" s="1" t="n">
        <v>36911</v>
      </c>
      <c r="AG6" s="9">
        <f>AF6-AE6</f>
        <v/>
      </c>
    </row>
    <row r="7">
      <c r="A7" s="42">
        <f>A6</f>
        <v/>
      </c>
      <c r="B7" s="24" t="inlineStr">
        <is>
          <t>NIGHT</t>
        </is>
      </c>
      <c r="C7" s="14">
        <f>D6</f>
        <v/>
      </c>
      <c r="D7" s="14" t="n">
        <v>3566</v>
      </c>
      <c r="E7" s="14">
        <f>D7-C7</f>
        <v/>
      </c>
      <c r="F7" s="3" t="n"/>
      <c r="G7" s="3" t="n"/>
      <c r="H7" s="3" t="n"/>
      <c r="I7" s="34" t="n"/>
      <c r="J7" s="33" t="n"/>
      <c r="K7" s="4" t="n"/>
      <c r="L7" s="4" t="n"/>
      <c r="M7" s="34" t="n"/>
      <c r="N7" s="1">
        <f>O6</f>
        <v/>
      </c>
      <c r="O7" s="1" t="n">
        <v>50663</v>
      </c>
      <c r="P7" s="9">
        <f>O7-N7</f>
        <v/>
      </c>
      <c r="R7" s="42">
        <f>R6</f>
        <v/>
      </c>
      <c r="S7" s="24" t="inlineStr">
        <is>
          <t>NIGHT</t>
        </is>
      </c>
      <c r="T7" s="14">
        <f>U6</f>
        <v/>
      </c>
      <c r="U7" s="14" t="n">
        <v>2289</v>
      </c>
      <c r="V7" s="14">
        <f>U7-T7</f>
        <v/>
      </c>
      <c r="W7" s="3" t="n"/>
      <c r="X7" s="3" t="n"/>
      <c r="Y7" s="3" t="n"/>
      <c r="Z7" s="4" t="n"/>
      <c r="AA7" s="33" t="n"/>
      <c r="AB7" s="4" t="n"/>
      <c r="AC7" s="4" t="n"/>
      <c r="AD7" s="34" t="n"/>
      <c r="AE7" s="41">
        <f>AF6</f>
        <v/>
      </c>
      <c r="AF7" s="1" t="n">
        <v>36954</v>
      </c>
      <c r="AG7" s="9">
        <f>AF7-AE7</f>
        <v/>
      </c>
    </row>
    <row r="8">
      <c r="A8" s="42">
        <f>A6+1</f>
        <v/>
      </c>
      <c r="B8" s="24" t="inlineStr">
        <is>
          <t>DAY</t>
        </is>
      </c>
      <c r="C8" s="14">
        <f>D7</f>
        <v/>
      </c>
      <c r="D8" s="14" t="n">
        <v>3573</v>
      </c>
      <c r="E8" s="14">
        <f>D8-C8</f>
        <v/>
      </c>
      <c r="F8" s="3" t="n">
        <v>120</v>
      </c>
      <c r="G8" s="3" t="n">
        <v>3569</v>
      </c>
      <c r="H8" s="3">
        <f>G8-G6</f>
        <v/>
      </c>
      <c r="I8" s="34">
        <f>F8/H8</f>
        <v/>
      </c>
      <c r="J8" s="35" t="n"/>
      <c r="K8" s="15" t="n"/>
      <c r="L8" s="15" t="n"/>
      <c r="M8" s="36" t="n"/>
      <c r="N8" s="1">
        <f>O7</f>
        <v/>
      </c>
      <c r="O8" s="1" t="n">
        <v>50749</v>
      </c>
      <c r="P8" s="9">
        <f>O8-N8</f>
        <v/>
      </c>
      <c r="R8" s="42">
        <f>R6+1</f>
        <v/>
      </c>
      <c r="S8" s="24" t="inlineStr">
        <is>
          <t>DAY</t>
        </is>
      </c>
      <c r="T8" s="14">
        <f>U7</f>
        <v/>
      </c>
      <c r="U8" s="14" t="n">
        <v>2297</v>
      </c>
      <c r="V8" s="14">
        <f>U8-T8</f>
        <v/>
      </c>
      <c r="W8" s="3" t="n">
        <v>210</v>
      </c>
      <c r="X8" s="3" t="n">
        <v>2293</v>
      </c>
      <c r="Y8" s="3">
        <f>X8-X3</f>
        <v/>
      </c>
      <c r="Z8" s="4">
        <f>W8/Y8</f>
        <v/>
      </c>
      <c r="AA8" s="35" t="n"/>
      <c r="AB8" s="15" t="n"/>
      <c r="AC8" s="15" t="n"/>
      <c r="AD8" s="36" t="n"/>
      <c r="AE8" s="41">
        <f>AF7</f>
        <v/>
      </c>
      <c r="AF8" s="41" t="n">
        <v>37037</v>
      </c>
      <c r="AG8" s="9">
        <f>AF8-AE8</f>
        <v/>
      </c>
    </row>
    <row r="9">
      <c r="A9" s="42">
        <f>A8</f>
        <v/>
      </c>
      <c r="B9" s="24" t="inlineStr">
        <is>
          <t>NIGHT</t>
        </is>
      </c>
      <c r="C9" s="14">
        <f>D8</f>
        <v/>
      </c>
      <c r="D9" s="14" t="n">
        <v>3580</v>
      </c>
      <c r="E9" s="14">
        <f>D9-C9</f>
        <v/>
      </c>
      <c r="F9" s="3" t="n"/>
      <c r="G9" s="3" t="n"/>
      <c r="H9" s="3" t="n"/>
      <c r="I9" s="34" t="n"/>
      <c r="J9" s="33" t="n"/>
      <c r="K9" s="4" t="n"/>
      <c r="L9" s="4" t="n"/>
      <c r="M9" s="34" t="n"/>
      <c r="N9" s="1">
        <f>O8</f>
        <v/>
      </c>
      <c r="O9" s="1" t="n">
        <v>50862</v>
      </c>
      <c r="P9" s="9">
        <f>O9-N9</f>
        <v/>
      </c>
      <c r="R9" s="42">
        <f>R8</f>
        <v/>
      </c>
      <c r="S9" s="24" t="inlineStr">
        <is>
          <t>NIGHT</t>
        </is>
      </c>
      <c r="T9" s="14">
        <f>U8</f>
        <v/>
      </c>
      <c r="U9" s="14" t="n">
        <v>2299</v>
      </c>
      <c r="V9" s="14">
        <f>U9-T9</f>
        <v/>
      </c>
      <c r="W9" s="3" t="n"/>
      <c r="X9" s="3" t="n"/>
      <c r="Y9" s="3" t="n"/>
      <c r="Z9" s="4" t="n"/>
      <c r="AA9" s="33" t="n"/>
      <c r="AB9" s="4" t="n"/>
      <c r="AC9" s="4" t="n"/>
      <c r="AD9" s="34" t="n"/>
      <c r="AE9" s="41">
        <f>AF8</f>
        <v/>
      </c>
      <c r="AF9" s="41" t="n">
        <v>37064</v>
      </c>
      <c r="AG9" s="9">
        <f>AF9-AE9</f>
        <v/>
      </c>
    </row>
    <row r="10">
      <c r="A10" s="42">
        <f>A8+1</f>
        <v/>
      </c>
      <c r="B10" s="24" t="inlineStr">
        <is>
          <t>DAY</t>
        </is>
      </c>
      <c r="C10" s="14">
        <f>D9</f>
        <v/>
      </c>
      <c r="D10" s="14" t="n">
        <v>3588</v>
      </c>
      <c r="E10" s="14">
        <f>D10-C10</f>
        <v/>
      </c>
      <c r="F10" s="3" t="n"/>
      <c r="G10" s="3" t="n"/>
      <c r="H10" s="3" t="n"/>
      <c r="I10" s="34" t="n"/>
      <c r="J10" s="32" t="n"/>
      <c r="K10" s="3" t="n"/>
      <c r="L10" s="3" t="n"/>
      <c r="M10" s="19" t="n"/>
      <c r="N10" s="1">
        <f>O9</f>
        <v/>
      </c>
      <c r="O10" s="1" t="n">
        <v>50986</v>
      </c>
      <c r="P10" s="9">
        <f>O10-N10</f>
        <v/>
      </c>
      <c r="R10" s="42">
        <f>R8+1</f>
        <v/>
      </c>
      <c r="S10" s="24" t="inlineStr">
        <is>
          <t>DAY</t>
        </is>
      </c>
      <c r="T10" s="14">
        <f>U9</f>
        <v/>
      </c>
      <c r="U10" s="14" t="n">
        <v>2306</v>
      </c>
      <c r="V10" s="14">
        <f>U10-T10</f>
        <v/>
      </c>
      <c r="W10" s="3" t="n"/>
      <c r="X10" s="3" t="n"/>
      <c r="Y10" s="3" t="n"/>
      <c r="Z10" s="4" t="n"/>
      <c r="AA10" s="32" t="n"/>
      <c r="AB10" s="3" t="n"/>
      <c r="AC10" s="3" t="n"/>
      <c r="AD10" s="19" t="n"/>
      <c r="AE10" s="41">
        <f>AF9</f>
        <v/>
      </c>
      <c r="AF10" s="41" t="n">
        <v>37186</v>
      </c>
      <c r="AG10" s="9">
        <f>AF10-AE10</f>
        <v/>
      </c>
    </row>
    <row r="11">
      <c r="A11" s="42">
        <f>A10</f>
        <v/>
      </c>
      <c r="B11" s="24" t="inlineStr">
        <is>
          <t>NIGHT</t>
        </is>
      </c>
      <c r="C11" s="14">
        <f>D10</f>
        <v/>
      </c>
      <c r="D11" s="1" t="n">
        <v>3597</v>
      </c>
      <c r="E11" s="14">
        <f>D11-C11</f>
        <v/>
      </c>
      <c r="F11" s="3" t="n"/>
      <c r="G11" s="3" t="n"/>
      <c r="H11" s="3" t="n"/>
      <c r="I11" s="34" t="n"/>
      <c r="J11" s="32" t="n"/>
      <c r="K11" s="3" t="n"/>
      <c r="L11" s="3" t="n"/>
      <c r="M11" s="19" t="n"/>
      <c r="N11" s="1">
        <f>O10</f>
        <v/>
      </c>
      <c r="O11" s="1" t="n">
        <v>51097</v>
      </c>
      <c r="P11" s="9">
        <f>O11-N11</f>
        <v/>
      </c>
      <c r="R11" s="42">
        <f>R10</f>
        <v/>
      </c>
      <c r="S11" s="24" t="inlineStr">
        <is>
          <t>NIGHT</t>
        </is>
      </c>
      <c r="T11" s="14">
        <f>U10</f>
        <v/>
      </c>
      <c r="U11" s="14" t="n">
        <v>2311</v>
      </c>
      <c r="V11" s="14">
        <f>U11-T11</f>
        <v/>
      </c>
      <c r="W11" s="3" t="n"/>
      <c r="X11" s="3" t="n"/>
      <c r="Y11" s="3" t="n"/>
      <c r="Z11" s="4" t="n"/>
      <c r="AA11" s="32" t="n"/>
      <c r="AB11" s="3" t="n"/>
      <c r="AC11" s="3" t="n"/>
      <c r="AD11" s="19" t="n"/>
      <c r="AE11" s="41">
        <f>AF10</f>
        <v/>
      </c>
      <c r="AF11" s="41" t="n">
        <v>37309</v>
      </c>
      <c r="AG11" s="9">
        <f>AF11-AE11</f>
        <v/>
      </c>
    </row>
    <row r="12">
      <c r="A12" s="42">
        <f>A10+1</f>
        <v/>
      </c>
      <c r="B12" s="24" t="inlineStr">
        <is>
          <t>DAY</t>
        </is>
      </c>
      <c r="C12" s="14">
        <f>D11</f>
        <v/>
      </c>
      <c r="D12" s="14" t="n">
        <v>3606</v>
      </c>
      <c r="E12" s="14">
        <f>D12-C12</f>
        <v/>
      </c>
      <c r="F12" s="3" t="n">
        <v>250</v>
      </c>
      <c r="G12" s="14" t="n">
        <v>3598</v>
      </c>
      <c r="H12" s="3">
        <f>G12-G8</f>
        <v/>
      </c>
      <c r="I12" s="34">
        <f>F12/H12</f>
        <v/>
      </c>
      <c r="J12" s="32" t="n"/>
      <c r="K12" s="3" t="n"/>
      <c r="L12" s="3" t="n"/>
      <c r="M12" s="19" t="n"/>
      <c r="N12" s="1">
        <f>O11</f>
        <v/>
      </c>
      <c r="O12" s="1" t="n">
        <v>51203</v>
      </c>
      <c r="P12" s="9">
        <f>O12-N12</f>
        <v/>
      </c>
      <c r="R12" s="42">
        <f>R10+1</f>
        <v/>
      </c>
      <c r="S12" s="24" t="inlineStr">
        <is>
          <t>DAY</t>
        </is>
      </c>
      <c r="T12" s="14">
        <f>U11</f>
        <v/>
      </c>
      <c r="U12" s="14" t="n">
        <v>2321</v>
      </c>
      <c r="V12" s="14">
        <f>U12-T12</f>
        <v/>
      </c>
      <c r="W12" s="3" t="n"/>
      <c r="X12" s="3" t="n"/>
      <c r="Y12" s="3" t="n"/>
      <c r="Z12" s="4" t="n"/>
      <c r="AA12" s="32" t="n"/>
      <c r="AB12" s="3" t="n"/>
      <c r="AC12" s="3" t="n"/>
      <c r="AD12" s="19" t="n"/>
      <c r="AE12" s="41">
        <f>AF11</f>
        <v/>
      </c>
      <c r="AF12" s="41" t="n">
        <v>37450</v>
      </c>
      <c r="AG12" s="9">
        <f>AF12-AE12</f>
        <v/>
      </c>
    </row>
    <row r="13">
      <c r="A13" s="42">
        <f>A12</f>
        <v/>
      </c>
      <c r="B13" s="24" t="inlineStr">
        <is>
          <t>NIGHT</t>
        </is>
      </c>
      <c r="C13" s="14">
        <f>D12</f>
        <v/>
      </c>
      <c r="D13" s="14" t="n">
        <v>3612</v>
      </c>
      <c r="E13" s="14">
        <f>D13-C13</f>
        <v/>
      </c>
      <c r="F13" s="3" t="n"/>
      <c r="G13" s="3" t="n"/>
      <c r="H13" s="3" t="n"/>
      <c r="I13" s="34" t="n"/>
      <c r="J13" s="33" t="n"/>
      <c r="K13" s="4" t="n"/>
      <c r="L13" s="4" t="n"/>
      <c r="M13" s="34" t="n"/>
      <c r="N13" s="1">
        <f>O12</f>
        <v/>
      </c>
      <c r="O13" s="1" t="n">
        <v>51303</v>
      </c>
      <c r="P13" s="9">
        <f>O13-N13</f>
        <v/>
      </c>
      <c r="R13" s="42">
        <f>R12</f>
        <v/>
      </c>
      <c r="S13" s="24" t="inlineStr">
        <is>
          <t>NIGHT</t>
        </is>
      </c>
      <c r="T13" s="14">
        <f>U12</f>
        <v/>
      </c>
      <c r="U13" s="14" t="n">
        <v>2329</v>
      </c>
      <c r="V13" s="14">
        <f>U13-T13</f>
        <v/>
      </c>
      <c r="W13" s="3" t="n"/>
      <c r="X13" s="3" t="n"/>
      <c r="Y13" s="3" t="n"/>
      <c r="Z13" s="4" t="n"/>
      <c r="AA13" s="33" t="n"/>
      <c r="AB13" s="4" t="n"/>
      <c r="AC13" s="4" t="n"/>
      <c r="AD13" s="34" t="n"/>
      <c r="AE13" s="41">
        <f>AF12</f>
        <v/>
      </c>
      <c r="AF13" s="41" t="n">
        <v>37615</v>
      </c>
      <c r="AG13" s="9">
        <f>AF13-AE13</f>
        <v/>
      </c>
    </row>
    <row r="14">
      <c r="A14" s="42">
        <f>A12+1</f>
        <v/>
      </c>
      <c r="B14" s="24" t="inlineStr">
        <is>
          <t>DAY</t>
        </is>
      </c>
      <c r="C14" s="14">
        <f>D13</f>
        <v/>
      </c>
      <c r="D14" s="14" t="n">
        <v>3617</v>
      </c>
      <c r="E14" s="14">
        <f>D14-C14</f>
        <v/>
      </c>
      <c r="F14" s="3" t="n"/>
      <c r="G14" s="3" t="n"/>
      <c r="H14" s="3" t="n"/>
      <c r="I14" s="34" t="n"/>
      <c r="J14" s="35" t="n"/>
      <c r="K14" s="15" t="n"/>
      <c r="L14" s="15" t="n"/>
      <c r="M14" s="36" t="n"/>
      <c r="N14" s="1">
        <f>O13</f>
        <v/>
      </c>
      <c r="O14" s="1" t="n">
        <v>51407</v>
      </c>
      <c r="P14" s="9">
        <f>O14-N14</f>
        <v/>
      </c>
      <c r="R14" s="42">
        <f>R12+1</f>
        <v/>
      </c>
      <c r="S14" s="24" t="inlineStr">
        <is>
          <t>DAY</t>
        </is>
      </c>
      <c r="T14" s="14">
        <f>U13</f>
        <v/>
      </c>
      <c r="U14" s="14" t="n">
        <v>2334</v>
      </c>
      <c r="V14" s="14">
        <f>U14-T14</f>
        <v/>
      </c>
      <c r="W14" s="3" t="n">
        <v>300</v>
      </c>
      <c r="X14" s="3" t="n">
        <v>2334</v>
      </c>
      <c r="Y14" s="3">
        <f>X14-X8</f>
        <v/>
      </c>
      <c r="Z14" s="4">
        <f>W14/Y14</f>
        <v/>
      </c>
      <c r="AA14" s="35" t="n"/>
      <c r="AB14" s="15" t="n"/>
      <c r="AC14" s="15" t="n"/>
      <c r="AD14" s="36" t="n"/>
      <c r="AE14" s="41">
        <f>AF13</f>
        <v/>
      </c>
      <c r="AF14" s="41" t="n">
        <v>37682</v>
      </c>
      <c r="AG14" s="9">
        <f>AF14-AE14</f>
        <v/>
      </c>
    </row>
    <row r="15">
      <c r="A15" s="42">
        <f>A14</f>
        <v/>
      </c>
      <c r="B15" s="24" t="inlineStr">
        <is>
          <t>NIGHT</t>
        </is>
      </c>
      <c r="C15" s="14">
        <f>D14</f>
        <v/>
      </c>
      <c r="D15" s="14" t="n">
        <v>3624</v>
      </c>
      <c r="E15" s="14">
        <f>D15-C15</f>
        <v/>
      </c>
      <c r="F15" s="3" t="n"/>
      <c r="G15" s="3" t="n"/>
      <c r="H15" s="3" t="n"/>
      <c r="I15" s="34" t="n"/>
      <c r="J15" s="32" t="n"/>
      <c r="K15" s="3" t="n"/>
      <c r="L15" s="3" t="n"/>
      <c r="M15" s="19" t="n"/>
      <c r="N15" s="1">
        <f>O14</f>
        <v/>
      </c>
      <c r="O15" s="1" t="n">
        <v>51484</v>
      </c>
      <c r="P15" s="9">
        <f>O15-N15</f>
        <v/>
      </c>
      <c r="R15" s="42">
        <f>R14</f>
        <v/>
      </c>
      <c r="S15" s="24" t="inlineStr">
        <is>
          <t>NIGHT</t>
        </is>
      </c>
      <c r="T15" s="14">
        <f>U14</f>
        <v/>
      </c>
      <c r="U15" s="14" t="n">
        <v>2335</v>
      </c>
      <c r="V15" s="14">
        <f>U15-T15</f>
        <v/>
      </c>
      <c r="W15" s="3" t="n"/>
      <c r="X15" s="3" t="n"/>
      <c r="Y15" s="3" t="n"/>
      <c r="Z15" s="4" t="n"/>
      <c r="AA15" s="32" t="n"/>
      <c r="AB15" s="3" t="n"/>
      <c r="AC15" s="3" t="n"/>
      <c r="AD15" s="19" t="n"/>
      <c r="AE15" s="41">
        <f>AF14</f>
        <v/>
      </c>
      <c r="AF15" s="41" t="n">
        <v>37694</v>
      </c>
      <c r="AG15" s="9">
        <f>AF15-AE15</f>
        <v/>
      </c>
    </row>
    <row r="16">
      <c r="A16" s="42">
        <f>A14+1</f>
        <v/>
      </c>
      <c r="B16" s="24" t="inlineStr">
        <is>
          <t>DAY</t>
        </is>
      </c>
      <c r="C16" s="14">
        <f>D15</f>
        <v/>
      </c>
      <c r="D16" s="14" t="n">
        <v>3629</v>
      </c>
      <c r="E16" s="14">
        <f>D16-C16</f>
        <v/>
      </c>
      <c r="F16" s="3" t="n">
        <v>300</v>
      </c>
      <c r="G16" s="3" t="n">
        <v>3627</v>
      </c>
      <c r="H16" s="3">
        <f>G16-G12</f>
        <v/>
      </c>
      <c r="I16" s="34">
        <f>F16/H16</f>
        <v/>
      </c>
      <c r="J16" s="32" t="n"/>
      <c r="K16" s="3" t="n"/>
      <c r="L16" s="3" t="n"/>
      <c r="M16" s="19" t="n"/>
      <c r="N16" s="1">
        <f>O15</f>
        <v/>
      </c>
      <c r="O16" s="1" t="n">
        <v>51552</v>
      </c>
      <c r="P16" s="9">
        <f>O16-N16</f>
        <v/>
      </c>
      <c r="R16" s="42">
        <f>R14+1</f>
        <v/>
      </c>
      <c r="S16" s="24" t="inlineStr">
        <is>
          <t>DAY</t>
        </is>
      </c>
      <c r="T16" s="14">
        <f>U15</f>
        <v/>
      </c>
      <c r="U16" s="14" t="n">
        <v>2337</v>
      </c>
      <c r="V16" s="14">
        <f>U16-T16</f>
        <v/>
      </c>
      <c r="W16" s="3" t="n">
        <v>300</v>
      </c>
      <c r="X16" s="3" t="n">
        <v>2336</v>
      </c>
      <c r="Y16" s="3">
        <f>X16-X14</f>
        <v/>
      </c>
      <c r="Z16" s="4">
        <f>W16/Y16</f>
        <v/>
      </c>
      <c r="AA16" s="32" t="n"/>
      <c r="AB16" s="3" t="n"/>
      <c r="AC16" s="3" t="n"/>
      <c r="AD16" s="19" t="n"/>
      <c r="AE16" s="41">
        <f>AF15</f>
        <v/>
      </c>
      <c r="AF16" s="41" t="n">
        <v>37709</v>
      </c>
      <c r="AG16" s="9">
        <f>AF16-AE16</f>
        <v/>
      </c>
    </row>
    <row r="17">
      <c r="A17" s="42">
        <f>A16</f>
        <v/>
      </c>
      <c r="B17" s="24" t="inlineStr">
        <is>
          <t>NIGHT</t>
        </is>
      </c>
      <c r="C17" s="14">
        <f>D16</f>
        <v/>
      </c>
      <c r="D17" s="14" t="n">
        <v>3631</v>
      </c>
      <c r="E17" s="14">
        <f>D17-C17</f>
        <v/>
      </c>
      <c r="F17" s="3" t="n"/>
      <c r="G17" s="3" t="n"/>
      <c r="H17" s="3" t="n"/>
      <c r="I17" s="34" t="n"/>
      <c r="J17" s="32" t="n"/>
      <c r="K17" s="3" t="n"/>
      <c r="L17" s="3" t="n"/>
      <c r="M17" s="19" t="n"/>
      <c r="N17" s="1">
        <f>O16</f>
        <v/>
      </c>
      <c r="O17" s="1" t="n">
        <v>51581</v>
      </c>
      <c r="P17" s="9">
        <f>O17-N17</f>
        <v/>
      </c>
      <c r="R17" s="42">
        <f>R16</f>
        <v/>
      </c>
      <c r="S17" s="24" t="inlineStr">
        <is>
          <t>NIGHT</t>
        </is>
      </c>
      <c r="T17" s="14">
        <f>U16</f>
        <v/>
      </c>
      <c r="U17" s="14" t="n">
        <v>2338</v>
      </c>
      <c r="V17" s="14">
        <f>U17-T17</f>
        <v/>
      </c>
      <c r="W17" s="3" t="n"/>
      <c r="X17" s="3" t="n"/>
      <c r="Y17" s="3" t="n"/>
      <c r="Z17" s="4" t="n"/>
      <c r="AA17" s="33" t="n"/>
      <c r="AB17" s="4" t="n"/>
      <c r="AC17" s="4" t="n"/>
      <c r="AD17" s="34" t="n"/>
      <c r="AE17" s="41">
        <f>AF16</f>
        <v/>
      </c>
      <c r="AF17" s="41" t="n">
        <v>37738</v>
      </c>
      <c r="AG17" s="9">
        <f>AF17-AE17</f>
        <v/>
      </c>
    </row>
    <row r="18">
      <c r="A18" s="42">
        <f>A16+1</f>
        <v/>
      </c>
      <c r="B18" s="24" t="inlineStr">
        <is>
          <t>DAY</t>
        </is>
      </c>
      <c r="C18" s="14">
        <f>D17</f>
        <v/>
      </c>
      <c r="D18" s="14" t="n">
        <v>3634</v>
      </c>
      <c r="E18" s="14">
        <f>D18-C18</f>
        <v/>
      </c>
      <c r="F18" s="3" t="n"/>
      <c r="G18" s="3" t="n"/>
      <c r="H18" s="3" t="n"/>
      <c r="I18" s="34" t="n"/>
      <c r="J18" s="32" t="n"/>
      <c r="K18" s="3" t="n"/>
      <c r="L18" s="3" t="n"/>
      <c r="M18" s="19" t="n"/>
      <c r="N18" s="1">
        <f>O17</f>
        <v/>
      </c>
      <c r="O18" s="1" t="n">
        <v>51601</v>
      </c>
      <c r="P18" s="9">
        <f>O18-N18</f>
        <v/>
      </c>
      <c r="R18" s="42">
        <f>R16+1</f>
        <v/>
      </c>
      <c r="S18" s="24" t="inlineStr">
        <is>
          <t>DAY</t>
        </is>
      </c>
      <c r="T18" s="14">
        <f>U17</f>
        <v/>
      </c>
      <c r="U18" s="14" t="n">
        <v>2339</v>
      </c>
      <c r="V18" s="14">
        <f>U18-T18</f>
        <v/>
      </c>
      <c r="W18" s="3" t="n"/>
      <c r="X18" s="3" t="n"/>
      <c r="Y18" s="3" t="n"/>
      <c r="Z18" s="4" t="n"/>
      <c r="AA18" s="50" t="n"/>
      <c r="AB18" s="14" t="n"/>
      <c r="AC18" s="14" t="n"/>
      <c r="AD18" s="151" t="n"/>
      <c r="AE18" s="41">
        <f>AF17</f>
        <v/>
      </c>
      <c r="AF18" s="41" t="n">
        <v>37760</v>
      </c>
      <c r="AG18" s="9">
        <f>AF18-AE18</f>
        <v/>
      </c>
    </row>
    <row r="19">
      <c r="A19" s="42">
        <f>A18</f>
        <v/>
      </c>
      <c r="B19" s="24" t="inlineStr">
        <is>
          <t>NIGHT</t>
        </is>
      </c>
      <c r="C19" s="14">
        <f>D18</f>
        <v/>
      </c>
      <c r="D19" s="14" t="n">
        <v>3640</v>
      </c>
      <c r="E19" s="14">
        <f>D19-C19</f>
        <v/>
      </c>
      <c r="F19" s="3" t="n"/>
      <c r="G19" s="3" t="n"/>
      <c r="H19" s="3" t="n"/>
      <c r="I19" s="34" t="n"/>
      <c r="J19" s="32" t="n"/>
      <c r="K19" s="3" t="n"/>
      <c r="L19" s="3" t="n"/>
      <c r="M19" s="19" t="n"/>
      <c r="N19" s="1">
        <f>O18</f>
        <v/>
      </c>
      <c r="O19" s="1" t="n">
        <v>51756</v>
      </c>
      <c r="P19" s="9">
        <f>O19-N19</f>
        <v/>
      </c>
      <c r="R19" s="42">
        <f>R18</f>
        <v/>
      </c>
      <c r="S19" s="24" t="inlineStr">
        <is>
          <t>NIGHT</t>
        </is>
      </c>
      <c r="T19" s="14">
        <f>U18</f>
        <v/>
      </c>
      <c r="U19" s="14" t="n">
        <v>2340</v>
      </c>
      <c r="V19" s="14">
        <f>U19-T19</f>
        <v/>
      </c>
      <c r="W19" s="3" t="n"/>
      <c r="X19" s="3" t="n"/>
      <c r="Y19" s="3" t="n"/>
      <c r="Z19" s="4" t="n"/>
      <c r="AA19" s="75" t="n">
        <v>0.2916666666666667</v>
      </c>
      <c r="AB19" s="76" t="n">
        <v>0.7916666666666666</v>
      </c>
      <c r="AC19" s="76">
        <f>AB19-AA19</f>
        <v/>
      </c>
      <c r="AD19" s="77" t="inlineStr">
        <is>
          <t>No Operator</t>
        </is>
      </c>
      <c r="AE19" s="41">
        <f>AF18</f>
        <v/>
      </c>
      <c r="AF19" s="41" t="n">
        <v>37760</v>
      </c>
      <c r="AG19" s="9">
        <f>AF19-AE19</f>
        <v/>
      </c>
    </row>
    <row r="20">
      <c r="A20" s="42">
        <f>A18+1</f>
        <v/>
      </c>
      <c r="B20" s="24" t="inlineStr">
        <is>
          <t>DAY</t>
        </is>
      </c>
      <c r="C20" s="14">
        <f>D19</f>
        <v/>
      </c>
      <c r="D20" s="14" t="n">
        <v>3644</v>
      </c>
      <c r="E20" s="14">
        <f>D20-C20</f>
        <v/>
      </c>
      <c r="F20" s="3" t="n">
        <v>300</v>
      </c>
      <c r="G20" s="3" t="n">
        <v>3643</v>
      </c>
      <c r="H20" s="3">
        <f>G20-G16</f>
        <v/>
      </c>
      <c r="I20" s="34">
        <f>F20/H20</f>
        <v/>
      </c>
      <c r="J20" s="32" t="n"/>
      <c r="K20" s="3" t="n"/>
      <c r="L20" s="3" t="n"/>
      <c r="M20" s="19" t="n"/>
      <c r="N20" s="1">
        <f>O19</f>
        <v/>
      </c>
      <c r="O20" s="1" t="n">
        <v>51810</v>
      </c>
      <c r="P20" s="9">
        <f>O20-N20</f>
        <v/>
      </c>
      <c r="R20" s="42">
        <f>R18+1</f>
        <v/>
      </c>
      <c r="S20" s="24" t="inlineStr">
        <is>
          <t>DAY</t>
        </is>
      </c>
      <c r="T20" s="14">
        <f>U19</f>
        <v/>
      </c>
      <c r="U20" s="14" t="n">
        <v>2345</v>
      </c>
      <c r="V20" s="14">
        <f>U20-T20</f>
        <v/>
      </c>
      <c r="W20" s="3" t="n"/>
      <c r="X20" s="3" t="n"/>
      <c r="Y20" s="3" t="n"/>
      <c r="Z20" s="4" t="n"/>
      <c r="AA20" s="33" t="n"/>
      <c r="AB20" s="4" t="n"/>
      <c r="AC20" s="4" t="n"/>
      <c r="AD20" s="34" t="n"/>
      <c r="AE20" s="41">
        <f>AF19</f>
        <v/>
      </c>
      <c r="AF20" s="41" t="n">
        <v>37864</v>
      </c>
      <c r="AG20" s="9">
        <f>AF20-AE20</f>
        <v/>
      </c>
    </row>
    <row r="21">
      <c r="A21" s="42">
        <f>A20</f>
        <v/>
      </c>
      <c r="B21" s="24" t="inlineStr">
        <is>
          <t>NIGHT</t>
        </is>
      </c>
      <c r="C21" s="14">
        <f>D20</f>
        <v/>
      </c>
      <c r="D21" s="14" t="n">
        <v>3646</v>
      </c>
      <c r="E21" s="14">
        <f>D21-C21</f>
        <v/>
      </c>
      <c r="F21" s="3" t="n"/>
      <c r="G21" s="3" t="n"/>
      <c r="H21" s="3" t="n"/>
      <c r="I21" s="34" t="n"/>
      <c r="J21" s="32" t="n"/>
      <c r="K21" s="3" t="n"/>
      <c r="L21" s="3" t="n"/>
      <c r="M21" s="19" t="n"/>
      <c r="N21" s="1">
        <f>O20</f>
        <v/>
      </c>
      <c r="O21" s="1" t="n">
        <v>51840</v>
      </c>
      <c r="P21" s="9">
        <f>O21-N21</f>
        <v/>
      </c>
      <c r="R21" s="42">
        <f>R20</f>
        <v/>
      </c>
      <c r="S21" s="24" t="inlineStr">
        <is>
          <t>NIGHT</t>
        </is>
      </c>
      <c r="T21" s="14">
        <f>U20</f>
        <v/>
      </c>
      <c r="U21" s="14" t="n">
        <v>2349</v>
      </c>
      <c r="V21" s="14">
        <f>U21-T21</f>
        <v/>
      </c>
      <c r="W21" s="3" t="n"/>
      <c r="X21" s="3" t="n"/>
      <c r="Y21" s="3" t="n"/>
      <c r="Z21" s="4" t="n"/>
      <c r="AA21" s="50" t="n"/>
      <c r="AB21" s="14" t="n"/>
      <c r="AC21" s="14" t="n"/>
      <c r="AD21" s="151" t="n"/>
      <c r="AE21" s="41">
        <f>AF20</f>
        <v/>
      </c>
      <c r="AF21" s="41" t="n">
        <v>37940</v>
      </c>
      <c r="AG21" s="9">
        <f>AF21-AE21</f>
        <v/>
      </c>
    </row>
    <row r="22">
      <c r="A22" s="42">
        <f>A20+1</f>
        <v/>
      </c>
      <c r="B22" s="24" t="inlineStr">
        <is>
          <t>DAY</t>
        </is>
      </c>
      <c r="C22" s="14">
        <f>D21</f>
        <v/>
      </c>
      <c r="D22" s="14" t="n">
        <v>3651</v>
      </c>
      <c r="E22" s="14">
        <f>D22-C22</f>
        <v/>
      </c>
      <c r="F22" s="1" t="n"/>
      <c r="G22" s="5" t="n"/>
      <c r="H22" s="3" t="n"/>
      <c r="I22" s="34" t="n"/>
      <c r="J22" s="32" t="n"/>
      <c r="K22" s="3" t="n"/>
      <c r="L22" s="3" t="n"/>
      <c r="M22" s="19" t="n"/>
      <c r="N22" s="1">
        <f>O21</f>
        <v/>
      </c>
      <c r="O22" s="1" t="n">
        <v>51938</v>
      </c>
      <c r="P22" s="9">
        <f>O22-N22</f>
        <v/>
      </c>
      <c r="R22" s="42">
        <f>R20+1</f>
        <v/>
      </c>
      <c r="S22" s="24" t="inlineStr">
        <is>
          <t>DAY</t>
        </is>
      </c>
      <c r="T22" s="14">
        <f>U21</f>
        <v/>
      </c>
      <c r="U22" s="14" t="n">
        <v>2353</v>
      </c>
      <c r="V22" s="14">
        <f>U22-T22</f>
        <v/>
      </c>
      <c r="W22" s="3" t="n">
        <v>300</v>
      </c>
      <c r="X22" s="3" t="n">
        <v>2351</v>
      </c>
      <c r="Y22" s="3">
        <f>X22-X16</f>
        <v/>
      </c>
      <c r="Z22" s="4">
        <f>W22/Y22</f>
        <v/>
      </c>
      <c r="AA22" s="35" t="n"/>
      <c r="AB22" s="15" t="n"/>
      <c r="AC22" s="15" t="n"/>
      <c r="AD22" s="36" t="n"/>
      <c r="AE22" s="41">
        <f>AF21</f>
        <v/>
      </c>
      <c r="AF22" s="41" t="n">
        <v>38008</v>
      </c>
      <c r="AG22" s="9">
        <f>AF22-AE22</f>
        <v/>
      </c>
    </row>
    <row r="23">
      <c r="A23" s="42">
        <f>A22</f>
        <v/>
      </c>
      <c r="B23" s="24" t="inlineStr">
        <is>
          <t>NIGHT</t>
        </is>
      </c>
      <c r="C23" s="14">
        <f>D22</f>
        <v/>
      </c>
      <c r="D23" s="14" t="n">
        <v>3660</v>
      </c>
      <c r="E23" s="14">
        <f>D23-C23</f>
        <v/>
      </c>
      <c r="F23" s="3" t="n">
        <v>170</v>
      </c>
      <c r="G23" s="3" t="n">
        <v>3647</v>
      </c>
      <c r="H23" s="3">
        <f>G23-G20</f>
        <v/>
      </c>
      <c r="I23" s="34">
        <f>F23/H23</f>
        <v/>
      </c>
      <c r="J23" s="50" t="n"/>
      <c r="K23" s="14" t="n"/>
      <c r="L23" s="14" t="n"/>
      <c r="M23" s="151" t="n"/>
      <c r="N23" s="1">
        <f>O22</f>
        <v/>
      </c>
      <c r="O23" s="1" t="n">
        <v>52076</v>
      </c>
      <c r="P23" s="9">
        <f>O23-N23</f>
        <v/>
      </c>
      <c r="R23" s="42">
        <f>R22</f>
        <v/>
      </c>
      <c r="S23" s="24" t="inlineStr">
        <is>
          <t>NIGHT</t>
        </is>
      </c>
      <c r="T23" s="14">
        <f>U22</f>
        <v/>
      </c>
      <c r="U23" s="14" t="n">
        <v>2356</v>
      </c>
      <c r="V23" s="14">
        <f>U23-T23</f>
        <v/>
      </c>
      <c r="W23" s="3" t="n"/>
      <c r="X23" s="3" t="n"/>
      <c r="Y23" s="3" t="n"/>
      <c r="Z23" s="4" t="n"/>
      <c r="AA23" s="50" t="n"/>
      <c r="AB23" s="14" t="n"/>
      <c r="AC23" s="14" t="n"/>
      <c r="AD23" s="151" t="n"/>
      <c r="AE23" s="41">
        <f>AF22</f>
        <v/>
      </c>
      <c r="AF23" s="41" t="n">
        <v>38042</v>
      </c>
      <c r="AG23" s="9">
        <f>AF23-AE23</f>
        <v/>
      </c>
    </row>
    <row r="24">
      <c r="A24" s="42">
        <f>A22+1</f>
        <v/>
      </c>
      <c r="B24" s="24" t="inlineStr">
        <is>
          <t>DAY</t>
        </is>
      </c>
      <c r="C24" s="14">
        <f>D23</f>
        <v/>
      </c>
      <c r="D24" s="14" t="n">
        <v>3669</v>
      </c>
      <c r="E24" s="14">
        <f>D24-C24</f>
        <v/>
      </c>
      <c r="F24" s="3" t="n"/>
      <c r="G24" s="3" t="n"/>
      <c r="H24" s="3" t="n"/>
      <c r="I24" s="34" t="n"/>
      <c r="J24" s="50" t="n"/>
      <c r="K24" s="14" t="n"/>
      <c r="L24" s="14" t="n"/>
      <c r="M24" s="151" t="n"/>
      <c r="N24" s="1">
        <f>O23</f>
        <v/>
      </c>
      <c r="O24" s="1" t="n">
        <v>52177</v>
      </c>
      <c r="P24" s="9">
        <f>O24-N24</f>
        <v/>
      </c>
      <c r="R24" s="42">
        <f>R22+1</f>
        <v/>
      </c>
      <c r="S24" s="24" t="inlineStr">
        <is>
          <t>DAY</t>
        </is>
      </c>
      <c r="T24" s="14">
        <f>U23</f>
        <v/>
      </c>
      <c r="U24" s="14" t="n">
        <v>2363</v>
      </c>
      <c r="V24" s="14">
        <f>U24-T24</f>
        <v/>
      </c>
      <c r="W24" s="3" t="n"/>
      <c r="X24" s="3" t="n"/>
      <c r="Y24" s="3" t="n"/>
      <c r="Z24" s="4" t="n"/>
      <c r="AA24" s="50" t="n"/>
      <c r="AB24" s="14" t="n"/>
      <c r="AC24" s="14" t="n"/>
      <c r="AD24" s="151" t="n"/>
      <c r="AE24" s="41">
        <f>AF23</f>
        <v/>
      </c>
      <c r="AF24" s="41" t="n">
        <v>38154</v>
      </c>
      <c r="AG24" s="9">
        <f>AF24-AE24</f>
        <v/>
      </c>
    </row>
    <row r="25">
      <c r="A25" s="42">
        <f>A24</f>
        <v/>
      </c>
      <c r="B25" s="24" t="inlineStr">
        <is>
          <t>NIGHT</t>
        </is>
      </c>
      <c r="C25" s="14">
        <f>D24</f>
        <v/>
      </c>
      <c r="D25" s="14" t="n">
        <v>3677</v>
      </c>
      <c r="E25" s="14">
        <f>D25-C25</f>
        <v/>
      </c>
      <c r="F25" s="3" t="n"/>
      <c r="G25" s="3" t="n"/>
      <c r="H25" s="3" t="n"/>
      <c r="I25" s="34" t="n"/>
      <c r="J25" s="50" t="n"/>
      <c r="K25" s="14" t="n"/>
      <c r="L25" s="14" t="n"/>
      <c r="M25" s="151" t="n"/>
      <c r="N25" s="1">
        <f>O24</f>
        <v/>
      </c>
      <c r="O25" s="1" t="n">
        <v>52298</v>
      </c>
      <c r="P25" s="9">
        <f>O25-N25</f>
        <v/>
      </c>
      <c r="R25" s="42">
        <f>R24</f>
        <v/>
      </c>
      <c r="S25" s="24" t="inlineStr">
        <is>
          <t>NIGHT</t>
        </is>
      </c>
      <c r="T25" s="14">
        <f>U24</f>
        <v/>
      </c>
      <c r="U25" s="14" t="n">
        <v>2367</v>
      </c>
      <c r="V25" s="14">
        <f>U25-T25</f>
        <v/>
      </c>
      <c r="W25" s="3" t="n"/>
      <c r="X25" s="3" t="n"/>
      <c r="Y25" s="3" t="n"/>
      <c r="Z25" s="4" t="n"/>
      <c r="AA25" s="50" t="n"/>
      <c r="AB25" s="14" t="n"/>
      <c r="AC25" s="14" t="n"/>
      <c r="AD25" s="151" t="n"/>
      <c r="AE25" s="41">
        <f>AF24</f>
        <v/>
      </c>
      <c r="AF25" s="41" t="n">
        <v>38190</v>
      </c>
      <c r="AG25" s="9">
        <f>AF25-AE25</f>
        <v/>
      </c>
    </row>
    <row r="26">
      <c r="A26" s="42">
        <f>A24+1</f>
        <v/>
      </c>
      <c r="B26" s="24" t="inlineStr">
        <is>
          <t>DAY</t>
        </is>
      </c>
      <c r="C26" s="14">
        <f>D25</f>
        <v/>
      </c>
      <c r="D26" s="14" t="n">
        <v>3680</v>
      </c>
      <c r="E26" s="14">
        <f>D26-C26</f>
        <v/>
      </c>
      <c r="F26" s="3" t="n">
        <v>300</v>
      </c>
      <c r="G26" s="3" t="n">
        <v>3680</v>
      </c>
      <c r="H26" s="3">
        <f>G26-G23</f>
        <v/>
      </c>
      <c r="I26" s="34">
        <f>F26/H26</f>
        <v/>
      </c>
      <c r="J26" s="35" t="n"/>
      <c r="K26" s="15" t="n"/>
      <c r="L26" s="15" t="n"/>
      <c r="M26" s="36" t="n"/>
      <c r="N26" s="1">
        <f>O25</f>
        <v/>
      </c>
      <c r="O26" s="1" t="n">
        <v>52335</v>
      </c>
      <c r="P26" s="9">
        <f>O26-N26</f>
        <v/>
      </c>
      <c r="R26" s="42">
        <f>R24+1</f>
        <v/>
      </c>
      <c r="S26" s="24" t="inlineStr">
        <is>
          <t>DAY</t>
        </is>
      </c>
      <c r="T26" s="14">
        <f>U25</f>
        <v/>
      </c>
      <c r="U26" s="14" t="n">
        <v>2376</v>
      </c>
      <c r="V26" s="14">
        <f>U26-T26</f>
        <v/>
      </c>
      <c r="W26" s="3" t="n"/>
      <c r="X26" s="3" t="n"/>
      <c r="Y26" s="3" t="n"/>
      <c r="Z26" s="4" t="n"/>
      <c r="AA26" s="35" t="n"/>
      <c r="AB26" s="15" t="n"/>
      <c r="AC26" s="15" t="n"/>
      <c r="AD26" s="36" t="n"/>
      <c r="AE26" s="41">
        <f>AF25</f>
        <v/>
      </c>
      <c r="AF26" s="41" t="n">
        <v>38357</v>
      </c>
      <c r="AG26" s="9">
        <f>AF26-AE26</f>
        <v/>
      </c>
    </row>
    <row r="27">
      <c r="A27" s="42">
        <f>A26</f>
        <v/>
      </c>
      <c r="B27" s="24" t="inlineStr">
        <is>
          <t>NIGHT</t>
        </is>
      </c>
      <c r="C27" s="14">
        <f>D26</f>
        <v/>
      </c>
      <c r="D27" s="14" t="n">
        <v>3680</v>
      </c>
      <c r="E27" s="14">
        <f>D27-C27</f>
        <v/>
      </c>
      <c r="F27" s="3" t="n"/>
      <c r="G27" s="3" t="n"/>
      <c r="H27" s="3" t="n"/>
      <c r="I27" s="34" t="n"/>
      <c r="J27" s="75" t="n">
        <v>0.2916666666666667</v>
      </c>
      <c r="K27" s="76" t="n">
        <v>0.7916666666666666</v>
      </c>
      <c r="L27" s="76">
        <f>K27-J27</f>
        <v/>
      </c>
      <c r="M27" s="77" t="inlineStr">
        <is>
          <t>No Operator</t>
        </is>
      </c>
      <c r="N27" s="1">
        <f>O26</f>
        <v/>
      </c>
      <c r="O27" s="1" t="n">
        <v>52370</v>
      </c>
      <c r="P27" s="9">
        <f>O27-N27</f>
        <v/>
      </c>
      <c r="R27" s="42">
        <f>R26</f>
        <v/>
      </c>
      <c r="S27" s="24" t="inlineStr">
        <is>
          <t>NIGHT</t>
        </is>
      </c>
      <c r="T27" s="14">
        <f>U26</f>
        <v/>
      </c>
      <c r="U27" s="14" t="n">
        <v>2378</v>
      </c>
      <c r="V27" s="14">
        <f>U27-T27</f>
        <v/>
      </c>
      <c r="W27" s="3" t="n"/>
      <c r="X27" s="3" t="n"/>
      <c r="Y27" s="3" t="n"/>
      <c r="Z27" s="4" t="n"/>
      <c r="AA27" s="50" t="n"/>
      <c r="AB27" s="14" t="n"/>
      <c r="AC27" s="14" t="n"/>
      <c r="AD27" s="151" t="n"/>
      <c r="AE27" s="41">
        <f>AF26</f>
        <v/>
      </c>
      <c r="AF27" s="1" t="n">
        <v>38400</v>
      </c>
      <c r="AG27" s="9">
        <f>AF27-AE27</f>
        <v/>
      </c>
    </row>
    <row r="28">
      <c r="A28" s="42">
        <f>A26+1</f>
        <v/>
      </c>
      <c r="B28" s="24" t="inlineStr">
        <is>
          <t>DAY</t>
        </is>
      </c>
      <c r="C28" s="14">
        <f>D27</f>
        <v/>
      </c>
      <c r="D28" s="14" t="n">
        <v>3685</v>
      </c>
      <c r="E28" s="14">
        <f>D28-C28</f>
        <v/>
      </c>
      <c r="F28" s="3" t="n"/>
      <c r="G28" s="3" t="n"/>
      <c r="H28" s="3" t="n"/>
      <c r="I28" s="34" t="n"/>
      <c r="J28" s="50" t="n"/>
      <c r="K28" s="14" t="n"/>
      <c r="L28" s="14" t="n"/>
      <c r="M28" s="151" t="n"/>
      <c r="N28" s="1">
        <f>O27</f>
        <v/>
      </c>
      <c r="O28" s="1" t="n">
        <v>52401</v>
      </c>
      <c r="P28" s="9">
        <f>O28-N28</f>
        <v/>
      </c>
      <c r="R28" s="42">
        <f>R26+1</f>
        <v/>
      </c>
      <c r="S28" s="24" t="inlineStr">
        <is>
          <t>DAY</t>
        </is>
      </c>
      <c r="T28" s="14">
        <f>U27</f>
        <v/>
      </c>
      <c r="U28" s="14" t="n">
        <v>2379</v>
      </c>
      <c r="V28" s="14">
        <f>U28-T28</f>
        <v/>
      </c>
      <c r="W28" s="3" t="n">
        <v>300</v>
      </c>
      <c r="X28" s="3" t="n">
        <v>2378</v>
      </c>
      <c r="Y28" s="3">
        <f>X28-X22</f>
        <v/>
      </c>
      <c r="Z28" s="4">
        <f>W28/Y28</f>
        <v/>
      </c>
      <c r="AA28" s="50" t="n"/>
      <c r="AB28" s="14" t="n"/>
      <c r="AC28" s="14" t="n"/>
      <c r="AD28" s="151" t="n"/>
      <c r="AE28" s="41">
        <f>AF27</f>
        <v/>
      </c>
      <c r="AF28" s="1" t="n">
        <v>38412</v>
      </c>
      <c r="AG28" s="9">
        <f>AF28-AE28</f>
        <v/>
      </c>
    </row>
    <row r="29">
      <c r="A29" s="42">
        <f>A28</f>
        <v/>
      </c>
      <c r="B29" s="24" t="inlineStr">
        <is>
          <t>NIGHT</t>
        </is>
      </c>
      <c r="C29" s="14">
        <f>D28</f>
        <v/>
      </c>
      <c r="D29" s="14" t="n">
        <v>3689</v>
      </c>
      <c r="E29" s="14">
        <f>D29-C29</f>
        <v/>
      </c>
      <c r="F29" s="3" t="n"/>
      <c r="G29" s="3" t="n"/>
      <c r="H29" s="3" t="n"/>
      <c r="I29" s="34" t="n"/>
      <c r="J29" s="50" t="n"/>
      <c r="K29" s="14" t="n"/>
      <c r="L29" s="14" t="n"/>
      <c r="M29" s="151" t="n"/>
      <c r="N29" s="1">
        <f>O28</f>
        <v/>
      </c>
      <c r="O29" s="1" t="n">
        <v>52430</v>
      </c>
      <c r="P29" s="9">
        <f>O29-N29</f>
        <v/>
      </c>
      <c r="R29" s="42">
        <f>R28</f>
        <v/>
      </c>
      <c r="S29" s="24" t="inlineStr">
        <is>
          <t>NIGHT</t>
        </is>
      </c>
      <c r="T29" s="14">
        <f>U28</f>
        <v/>
      </c>
      <c r="U29" s="14" t="n">
        <v>2380</v>
      </c>
      <c r="V29" s="14">
        <f>U29-T29</f>
        <v/>
      </c>
      <c r="W29" s="3" t="n"/>
      <c r="X29" s="3" t="n"/>
      <c r="Y29" s="3" t="n"/>
      <c r="Z29" s="4" t="n"/>
      <c r="AA29" s="50" t="n"/>
      <c r="AB29" s="14" t="n"/>
      <c r="AC29" s="14" t="n"/>
      <c r="AD29" s="151" t="n"/>
      <c r="AE29" s="41">
        <f>AF28</f>
        <v/>
      </c>
      <c r="AF29" s="1" t="n">
        <v>38417</v>
      </c>
      <c r="AG29" s="9">
        <f>AF29-AE29</f>
        <v/>
      </c>
    </row>
    <row r="30">
      <c r="A30" s="42">
        <f>A28+1</f>
        <v/>
      </c>
      <c r="B30" s="24" t="inlineStr">
        <is>
          <t>DAY</t>
        </is>
      </c>
      <c r="C30" s="14">
        <f>D29</f>
        <v/>
      </c>
      <c r="D30" s="14" t="n">
        <v>3696</v>
      </c>
      <c r="E30" s="14">
        <f>D30-C30</f>
        <v/>
      </c>
      <c r="F30" s="3" t="n">
        <v>240</v>
      </c>
      <c r="G30" s="3" t="n">
        <v>3692</v>
      </c>
      <c r="H30" s="3">
        <f>G30-G26</f>
        <v/>
      </c>
      <c r="I30" s="34">
        <f>F30/H30</f>
        <v/>
      </c>
      <c r="J30" s="67" t="n"/>
      <c r="K30" s="4" t="n"/>
      <c r="L30" s="69" t="n"/>
      <c r="M30" s="34" t="n"/>
      <c r="N30" s="1">
        <f>O29</f>
        <v/>
      </c>
      <c r="O30" s="1" t="n">
        <v>52452</v>
      </c>
      <c r="P30" s="9">
        <f>O30-N30</f>
        <v/>
      </c>
      <c r="R30" s="42">
        <f>R28+1</f>
        <v/>
      </c>
      <c r="S30" s="24" t="inlineStr">
        <is>
          <t>DAY</t>
        </is>
      </c>
      <c r="T30" s="14">
        <f>U29</f>
        <v/>
      </c>
      <c r="U30" s="14" t="n">
        <v>2386</v>
      </c>
      <c r="V30" s="14">
        <f>U30-T30</f>
        <v/>
      </c>
      <c r="W30" s="3" t="n">
        <v>170</v>
      </c>
      <c r="X30" s="3" t="n">
        <v>2381</v>
      </c>
      <c r="Y30" s="3">
        <f>X30-X28</f>
        <v/>
      </c>
      <c r="Z30" s="4">
        <f>W30/Y30</f>
        <v/>
      </c>
      <c r="AA30" s="33" t="n"/>
      <c r="AB30" s="4" t="n"/>
      <c r="AC30" s="4" t="n"/>
      <c r="AD30" s="34" t="n"/>
      <c r="AE30" s="41">
        <f>AF29</f>
        <v/>
      </c>
      <c r="AF30" s="1" t="n">
        <v>38573</v>
      </c>
      <c r="AG30" s="9">
        <f>AF30-AE30</f>
        <v/>
      </c>
    </row>
    <row r="31">
      <c r="A31" s="42">
        <f>A30</f>
        <v/>
      </c>
      <c r="B31" s="24" t="inlineStr">
        <is>
          <t>NIGHT</t>
        </is>
      </c>
      <c r="C31" s="14">
        <f>D30</f>
        <v/>
      </c>
      <c r="D31" s="14" t="n">
        <v>3700</v>
      </c>
      <c r="E31" s="14">
        <f>D31-C31</f>
        <v/>
      </c>
      <c r="F31" s="3" t="n"/>
      <c r="G31" s="3" t="n"/>
      <c r="H31" s="3" t="n"/>
      <c r="I31" s="34" t="n"/>
      <c r="J31" s="66" t="n"/>
      <c r="K31" s="15" t="n"/>
      <c r="L31" s="68" t="n"/>
      <c r="M31" s="36" t="n"/>
      <c r="N31" s="1">
        <f>O30</f>
        <v/>
      </c>
      <c r="O31" s="1" t="n">
        <v>52492</v>
      </c>
      <c r="P31" s="9">
        <f>O31-N31</f>
        <v/>
      </c>
      <c r="R31" s="42">
        <f>R30</f>
        <v/>
      </c>
      <c r="S31" s="24" t="inlineStr">
        <is>
          <t>NIGHT</t>
        </is>
      </c>
      <c r="T31" s="14">
        <f>U30</f>
        <v/>
      </c>
      <c r="U31" s="14" t="n">
        <v>2390</v>
      </c>
      <c r="V31" s="14">
        <f>U31-T31</f>
        <v/>
      </c>
      <c r="W31" s="3" t="n"/>
      <c r="X31" s="3" t="n"/>
      <c r="Y31" s="3" t="n"/>
      <c r="Z31" s="4" t="n"/>
      <c r="AA31" s="35" t="n"/>
      <c r="AB31" s="15" t="n"/>
      <c r="AC31" s="15" t="n"/>
      <c r="AD31" s="36" t="n"/>
      <c r="AE31" s="41">
        <f>AF30</f>
        <v/>
      </c>
      <c r="AF31" s="1" t="n">
        <v>38609</v>
      </c>
      <c r="AG31" s="9">
        <f>AF31-AE31</f>
        <v/>
      </c>
    </row>
    <row r="32">
      <c r="A32" s="42">
        <f>A30+1</f>
        <v/>
      </c>
      <c r="B32" s="24" t="inlineStr">
        <is>
          <t>DAY</t>
        </is>
      </c>
      <c r="C32" s="14">
        <f>D31</f>
        <v/>
      </c>
      <c r="D32" s="14" t="n">
        <v>3708</v>
      </c>
      <c r="E32" s="14">
        <f>D32-C32</f>
        <v/>
      </c>
      <c r="F32" s="3" t="n"/>
      <c r="G32" s="3" t="n"/>
      <c r="H32" s="3" t="n"/>
      <c r="I32" s="34" t="n"/>
      <c r="J32" s="70" t="n"/>
      <c r="K32" s="44" t="n"/>
      <c r="L32" s="71" t="n"/>
      <c r="M32" s="36" t="n"/>
      <c r="N32" s="1">
        <f>O31</f>
        <v/>
      </c>
      <c r="O32" s="1" t="n">
        <v>52597</v>
      </c>
      <c r="P32" s="9">
        <f>O32-N32</f>
        <v/>
      </c>
      <c r="R32" s="42">
        <f>R30+1</f>
        <v/>
      </c>
      <c r="S32" s="24" t="inlineStr">
        <is>
          <t>DAY</t>
        </is>
      </c>
      <c r="T32" s="14">
        <f>U31</f>
        <v/>
      </c>
      <c r="U32" s="14" t="n">
        <v>2393</v>
      </c>
      <c r="V32" s="14">
        <f>U32-T32</f>
        <v/>
      </c>
      <c r="W32" s="3" t="n"/>
      <c r="X32" s="3" t="n"/>
      <c r="Y32" s="3" t="n"/>
      <c r="Z32" s="4" t="n"/>
      <c r="AA32" s="35" t="n"/>
      <c r="AB32" s="15" t="n"/>
      <c r="AC32" s="15" t="n"/>
      <c r="AD32" s="36" t="n"/>
      <c r="AE32" s="41">
        <f>AF31</f>
        <v/>
      </c>
      <c r="AF32" s="1" t="n">
        <v>38678</v>
      </c>
      <c r="AG32" s="9">
        <f>AF32-AE32</f>
        <v/>
      </c>
    </row>
    <row r="33">
      <c r="A33" s="42">
        <f>A32</f>
        <v/>
      </c>
      <c r="B33" s="24" t="inlineStr">
        <is>
          <t>NIGHT</t>
        </is>
      </c>
      <c r="C33" s="14">
        <f>D32</f>
        <v/>
      </c>
      <c r="D33" s="14" t="n">
        <v>3710</v>
      </c>
      <c r="E33" s="14">
        <f>D33-C33</f>
        <v/>
      </c>
      <c r="F33" s="3" t="n"/>
      <c r="G33" s="3" t="n"/>
      <c r="H33" s="3" t="n"/>
      <c r="I33" s="34" t="n"/>
      <c r="J33" s="70" t="n"/>
      <c r="K33" s="44" t="n"/>
      <c r="L33" s="71" t="n"/>
      <c r="M33" s="36" t="n"/>
      <c r="N33" s="1">
        <f>O32</f>
        <v/>
      </c>
      <c r="O33" s="1" t="n">
        <v>52650</v>
      </c>
      <c r="P33" s="9">
        <f>O33-N33</f>
        <v/>
      </c>
      <c r="R33" s="42">
        <f>R32</f>
        <v/>
      </c>
      <c r="S33" s="24" t="inlineStr">
        <is>
          <t>NIGHT</t>
        </is>
      </c>
      <c r="T33" s="14">
        <f>U32</f>
        <v/>
      </c>
      <c r="U33" s="14" t="n">
        <v>2397</v>
      </c>
      <c r="V33" s="14">
        <f>U33-T33</f>
        <v/>
      </c>
      <c r="W33" s="3" t="n"/>
      <c r="X33" s="3" t="n"/>
      <c r="Y33" s="3" t="n"/>
      <c r="Z33" s="4" t="n"/>
      <c r="AA33" s="43" t="n"/>
      <c r="AB33" s="44" t="n"/>
      <c r="AC33" s="44" t="n"/>
      <c r="AD33" s="36" t="n"/>
      <c r="AE33" s="41">
        <f>AF32</f>
        <v/>
      </c>
      <c r="AF33" s="1" t="n">
        <v>38754</v>
      </c>
      <c r="AG33" s="9">
        <f>AF33-AE33</f>
        <v/>
      </c>
    </row>
    <row r="34">
      <c r="A34" s="42">
        <f>A32+1</f>
        <v/>
      </c>
      <c r="B34" s="24" t="inlineStr">
        <is>
          <t>DAY</t>
        </is>
      </c>
      <c r="C34" s="14">
        <f>D33</f>
        <v/>
      </c>
      <c r="D34" s="14" t="n">
        <v>3711</v>
      </c>
      <c r="E34" s="14">
        <f>D34-C34</f>
        <v/>
      </c>
      <c r="F34" s="3" t="n">
        <v>250</v>
      </c>
      <c r="G34" s="3" t="n">
        <v>3710</v>
      </c>
      <c r="H34" s="3">
        <f>G34-G30</f>
        <v/>
      </c>
      <c r="I34" s="34">
        <f>F34/H34</f>
        <v/>
      </c>
      <c r="J34" s="70" t="n"/>
      <c r="K34" s="44" t="n"/>
      <c r="L34" s="71" t="n"/>
      <c r="M34" s="36" t="n"/>
      <c r="N34" s="1">
        <f>O33</f>
        <v/>
      </c>
      <c r="O34" s="1" t="n">
        <v>52736</v>
      </c>
      <c r="P34" s="9">
        <f>O34-N34</f>
        <v/>
      </c>
      <c r="R34" s="42">
        <f>R32+1</f>
        <v/>
      </c>
      <c r="S34" s="24" t="inlineStr">
        <is>
          <t>DAY</t>
        </is>
      </c>
      <c r="T34" s="14">
        <f>U33</f>
        <v/>
      </c>
      <c r="U34" s="14" t="n">
        <v>2398</v>
      </c>
      <c r="V34" s="14">
        <f>U34-T34</f>
        <v/>
      </c>
      <c r="W34" s="3" t="n"/>
      <c r="X34" s="3" t="n"/>
      <c r="Y34" s="3" t="n"/>
      <c r="Z34" s="4" t="n"/>
      <c r="AA34" s="43" t="n"/>
      <c r="AB34" s="44" t="n"/>
      <c r="AC34" s="44" t="n"/>
      <c r="AD34" s="36" t="n"/>
      <c r="AE34" s="41">
        <f>AF33</f>
        <v/>
      </c>
      <c r="AF34" s="1" t="n">
        <v>38756</v>
      </c>
      <c r="AG34" s="9">
        <f>AF34-AE34</f>
        <v/>
      </c>
    </row>
    <row r="35">
      <c r="A35" s="42">
        <f>A34</f>
        <v/>
      </c>
      <c r="B35" s="24" t="inlineStr">
        <is>
          <t>NIGHT</t>
        </is>
      </c>
      <c r="C35" s="14">
        <f>D34</f>
        <v/>
      </c>
      <c r="D35" s="14" t="n">
        <v>3715</v>
      </c>
      <c r="E35" s="14">
        <f>D35-C35</f>
        <v/>
      </c>
      <c r="F35" s="3" t="n"/>
      <c r="G35" s="3" t="n"/>
      <c r="H35" s="3" t="n"/>
      <c r="I35" s="34" t="n"/>
      <c r="J35" s="35" t="n"/>
      <c r="K35" s="15" t="n"/>
      <c r="L35" s="15" t="n"/>
      <c r="M35" s="36" t="n"/>
      <c r="N35" s="1">
        <f>O34</f>
        <v/>
      </c>
      <c r="O35" s="1" t="n">
        <v>52791</v>
      </c>
      <c r="P35" s="9">
        <f>O35-N35</f>
        <v/>
      </c>
      <c r="R35" s="42">
        <f>R34</f>
        <v/>
      </c>
      <c r="S35" s="24" t="inlineStr">
        <is>
          <t>NIGHT</t>
        </is>
      </c>
      <c r="T35" s="14">
        <f>U34</f>
        <v/>
      </c>
      <c r="U35" s="14" t="n">
        <v>2401</v>
      </c>
      <c r="V35" s="14">
        <f>U35-T35</f>
        <v/>
      </c>
      <c r="W35" s="3" t="n"/>
      <c r="X35" s="3" t="n"/>
      <c r="Y35" s="3" t="n"/>
      <c r="Z35" s="4" t="n"/>
      <c r="AA35" s="35" t="n"/>
      <c r="AB35" s="15" t="n"/>
      <c r="AC35" s="15" t="n"/>
      <c r="AD35" s="36" t="n"/>
      <c r="AE35" s="41">
        <f>AF34</f>
        <v/>
      </c>
      <c r="AF35" s="1" t="n">
        <v>38827</v>
      </c>
      <c r="AG35" s="9">
        <f>AF35-AE35</f>
        <v/>
      </c>
    </row>
    <row r="36">
      <c r="A36" s="42">
        <f>A34+1</f>
        <v/>
      </c>
      <c r="B36" s="24" t="inlineStr">
        <is>
          <t>DAY</t>
        </is>
      </c>
      <c r="C36" s="14">
        <f>D35</f>
        <v/>
      </c>
      <c r="D36" s="14" t="n">
        <v>3719</v>
      </c>
      <c r="E36" s="14">
        <f>D36-C36</f>
        <v/>
      </c>
      <c r="F36" s="3" t="n"/>
      <c r="G36" s="3" t="n"/>
      <c r="H36" s="3" t="n"/>
      <c r="I36" s="34" t="n"/>
      <c r="J36" s="35" t="n"/>
      <c r="K36" s="15" t="n"/>
      <c r="L36" s="15" t="n"/>
      <c r="M36" s="36" t="n"/>
      <c r="N36" s="1">
        <f>O35</f>
        <v/>
      </c>
      <c r="O36" s="1" t="n">
        <v>52820</v>
      </c>
      <c r="P36" s="9">
        <f>O36-N36</f>
        <v/>
      </c>
      <c r="R36" s="42">
        <f>R34+1</f>
        <v/>
      </c>
      <c r="S36" s="24" t="inlineStr">
        <is>
          <t>DAY</t>
        </is>
      </c>
      <c r="T36" s="14">
        <f>U35</f>
        <v/>
      </c>
      <c r="U36" s="14" t="n">
        <v>2402</v>
      </c>
      <c r="V36" s="14">
        <f>U36-T36</f>
        <v/>
      </c>
      <c r="W36" s="3" t="n">
        <v>400</v>
      </c>
      <c r="X36" s="3" t="n">
        <v>2402</v>
      </c>
      <c r="Y36" s="3">
        <f>X36-X30</f>
        <v/>
      </c>
      <c r="Z36" s="4">
        <f>W36/Y36</f>
        <v/>
      </c>
      <c r="AA36" s="35" t="n"/>
      <c r="AB36" s="15" t="n"/>
      <c r="AC36" s="15" t="n"/>
      <c r="AD36" s="36" t="n"/>
      <c r="AE36" s="41">
        <f>AF35</f>
        <v/>
      </c>
      <c r="AF36" s="1" t="n">
        <v>38832</v>
      </c>
      <c r="AG36" s="9">
        <f>AF36-AE36</f>
        <v/>
      </c>
    </row>
    <row r="37">
      <c r="A37" s="42">
        <f>A36</f>
        <v/>
      </c>
      <c r="B37" s="24" t="inlineStr">
        <is>
          <t>NIGHT</t>
        </is>
      </c>
      <c r="C37" s="14">
        <f>D36</f>
        <v/>
      </c>
      <c r="D37" s="14" t="n">
        <v>3728</v>
      </c>
      <c r="E37" s="14">
        <f>D37-C37</f>
        <v/>
      </c>
      <c r="F37" s="3" t="n"/>
      <c r="G37" s="3" t="n"/>
      <c r="H37" s="3" t="n"/>
      <c r="I37" s="34" t="n"/>
      <c r="J37" s="35" t="n"/>
      <c r="K37" s="15" t="n"/>
      <c r="L37" s="15" t="n"/>
      <c r="M37" s="36" t="n"/>
      <c r="N37" s="1">
        <f>O36</f>
        <v/>
      </c>
      <c r="O37" s="1" t="n">
        <v>52949</v>
      </c>
      <c r="P37" s="9">
        <f>O37-N37</f>
        <v/>
      </c>
      <c r="R37" s="42">
        <f>R36</f>
        <v/>
      </c>
      <c r="S37" s="24" t="inlineStr">
        <is>
          <t>NIGHT</t>
        </is>
      </c>
      <c r="T37" s="14">
        <f>U36</f>
        <v/>
      </c>
      <c r="U37" s="14" t="n">
        <v>2403</v>
      </c>
      <c r="V37" s="14">
        <f>U37-T37</f>
        <v/>
      </c>
      <c r="W37" s="3" t="n"/>
      <c r="X37" s="3" t="n"/>
      <c r="Y37" s="3" t="n"/>
      <c r="Z37" s="4" t="n"/>
      <c r="AA37" s="35" t="n"/>
      <c r="AB37" s="15" t="n"/>
      <c r="AC37" s="15" t="n"/>
      <c r="AD37" s="36" t="n"/>
      <c r="AE37" s="41">
        <f>AF36</f>
        <v/>
      </c>
      <c r="AF37" s="1" t="n">
        <v>38841</v>
      </c>
      <c r="AG37" s="9">
        <f>AF37-AE37</f>
        <v/>
      </c>
    </row>
    <row r="38">
      <c r="A38" s="42">
        <f>A36+1</f>
        <v/>
      </c>
      <c r="B38" s="24" t="inlineStr">
        <is>
          <t>DAY</t>
        </is>
      </c>
      <c r="C38" s="14">
        <f>D37</f>
        <v/>
      </c>
      <c r="D38" s="14" t="n">
        <v>3736</v>
      </c>
      <c r="E38" s="14">
        <f>D38-C38</f>
        <v/>
      </c>
      <c r="F38" s="3" t="n"/>
      <c r="G38" s="3" t="n"/>
      <c r="H38" s="3" t="n"/>
      <c r="I38" s="34" t="n"/>
      <c r="J38" s="35" t="n"/>
      <c r="K38" s="15" t="n"/>
      <c r="L38" s="15" t="n"/>
      <c r="M38" s="36" t="n"/>
      <c r="N38" s="1">
        <f>O37</f>
        <v/>
      </c>
      <c r="O38" s="1" t="n">
        <v>53100</v>
      </c>
      <c r="P38" s="9">
        <f>O38-N38</f>
        <v/>
      </c>
      <c r="R38" s="42">
        <f>R36+1</f>
        <v/>
      </c>
      <c r="S38" s="24" t="inlineStr">
        <is>
          <t>DAY</t>
        </is>
      </c>
      <c r="T38" s="14">
        <f>U37</f>
        <v/>
      </c>
      <c r="U38" s="14" t="n">
        <v>2410</v>
      </c>
      <c r="V38" s="14">
        <f>U38-T38</f>
        <v/>
      </c>
      <c r="W38" s="3" t="n"/>
      <c r="X38" s="3" t="n"/>
      <c r="Y38" s="3" t="n"/>
      <c r="Z38" s="4" t="n"/>
      <c r="AA38" s="35" t="n"/>
      <c r="AB38" s="15" t="n"/>
      <c r="AC38" s="15" t="n"/>
      <c r="AD38" s="36" t="n"/>
      <c r="AE38" s="41">
        <f>AF37</f>
        <v/>
      </c>
      <c r="AF38" s="1" t="n">
        <v>38993</v>
      </c>
      <c r="AG38" s="9">
        <f>AF38-AE38</f>
        <v/>
      </c>
    </row>
    <row r="39">
      <c r="A39" s="42">
        <f>A38</f>
        <v/>
      </c>
      <c r="B39" s="24" t="inlineStr">
        <is>
          <t>NIGHT</t>
        </is>
      </c>
      <c r="C39" s="14">
        <f>D38</f>
        <v/>
      </c>
      <c r="D39" s="14" t="n">
        <v>3743</v>
      </c>
      <c r="E39" s="14">
        <f>D39-C39</f>
        <v/>
      </c>
      <c r="F39" s="3" t="n"/>
      <c r="G39" s="3" t="n"/>
      <c r="H39" s="3" t="n"/>
      <c r="I39" s="34" t="n"/>
      <c r="J39" s="35" t="n"/>
      <c r="K39" s="15" t="n"/>
      <c r="L39" s="15" t="n"/>
      <c r="M39" s="36" t="n"/>
      <c r="N39" s="1">
        <f>O38</f>
        <v/>
      </c>
      <c r="O39" s="1" t="n">
        <v>53160</v>
      </c>
      <c r="P39" s="9">
        <f>O39-N39</f>
        <v/>
      </c>
      <c r="R39" s="42">
        <f>R38</f>
        <v/>
      </c>
      <c r="S39" s="24" t="inlineStr">
        <is>
          <t>NIGHT</t>
        </is>
      </c>
      <c r="T39" s="14">
        <f>U38</f>
        <v/>
      </c>
      <c r="U39" s="14" t="n">
        <v>2415</v>
      </c>
      <c r="V39" s="14">
        <f>U39-T39</f>
        <v/>
      </c>
      <c r="W39" s="3" t="n"/>
      <c r="X39" s="3" t="n"/>
      <c r="Y39" s="3" t="n"/>
      <c r="Z39" s="4" t="n"/>
      <c r="AA39" s="35" t="n"/>
      <c r="AB39" s="15" t="n"/>
      <c r="AC39" s="15" t="n"/>
      <c r="AD39" s="36" t="n"/>
      <c r="AE39" s="41">
        <f>AF38</f>
        <v/>
      </c>
      <c r="AF39" s="1" t="n">
        <v>39091</v>
      </c>
      <c r="AG39" s="9">
        <f>AF39-AE39</f>
        <v/>
      </c>
    </row>
    <row r="40">
      <c r="A40" s="42">
        <f>A38+1</f>
        <v/>
      </c>
      <c r="B40" s="24" t="inlineStr">
        <is>
          <t>DAY</t>
        </is>
      </c>
      <c r="C40" s="14">
        <f>D39</f>
        <v/>
      </c>
      <c r="D40" s="14" t="n">
        <v>3749</v>
      </c>
      <c r="E40" s="14">
        <f>D40-C40</f>
        <v/>
      </c>
      <c r="F40" s="3" t="n">
        <v>300</v>
      </c>
      <c r="G40" s="3" t="n">
        <v>3748</v>
      </c>
      <c r="H40" s="3">
        <f>G40-G34</f>
        <v/>
      </c>
      <c r="I40" s="34">
        <f>F40/H40</f>
        <v/>
      </c>
      <c r="J40" s="35" t="n"/>
      <c r="K40" s="15" t="n"/>
      <c r="L40" s="15" t="n"/>
      <c r="M40" s="36" t="n"/>
      <c r="N40" s="1">
        <f>O39</f>
        <v/>
      </c>
      <c r="O40" s="79" t="n">
        <v>53323</v>
      </c>
      <c r="P40" s="9">
        <f>O40-N40</f>
        <v/>
      </c>
      <c r="R40" s="42">
        <f>R38+1</f>
        <v/>
      </c>
      <c r="S40" s="24" t="inlineStr">
        <is>
          <t>DAY</t>
        </is>
      </c>
      <c r="T40" s="14">
        <f>U39</f>
        <v/>
      </c>
      <c r="U40" s="14" t="n">
        <v>2423</v>
      </c>
      <c r="V40" s="14">
        <f>U40-T40</f>
        <v/>
      </c>
      <c r="W40" s="3" t="n"/>
      <c r="X40" s="3" t="n"/>
      <c r="Y40" s="3" t="n"/>
      <c r="Z40" s="4" t="n"/>
      <c r="AA40" s="35" t="n"/>
      <c r="AB40" s="15" t="n"/>
      <c r="AC40" s="15" t="n"/>
      <c r="AD40" s="36" t="n"/>
      <c r="AE40" s="41">
        <f>AF39</f>
        <v/>
      </c>
      <c r="AF40" s="1" t="n">
        <v>39258</v>
      </c>
      <c r="AG40" s="9">
        <f>AF40-AE40</f>
        <v/>
      </c>
    </row>
    <row r="41">
      <c r="A41" s="42">
        <f>A40</f>
        <v/>
      </c>
      <c r="B41" s="24" t="inlineStr">
        <is>
          <t>NIGHT</t>
        </is>
      </c>
      <c r="C41" s="14">
        <f>D40</f>
        <v/>
      </c>
      <c r="D41" s="14" t="n">
        <v>3756</v>
      </c>
      <c r="E41" s="14">
        <f>D41-C41</f>
        <v/>
      </c>
      <c r="F41" s="3" t="n"/>
      <c r="G41" s="3" t="n"/>
      <c r="H41" s="3" t="n"/>
      <c r="I41" s="34" t="n"/>
      <c r="J41" s="35" t="n"/>
      <c r="K41" s="15" t="n"/>
      <c r="L41" s="15" t="n"/>
      <c r="M41" s="36" t="n"/>
      <c r="N41" s="1">
        <f>O40</f>
        <v/>
      </c>
      <c r="O41" s="1" t="n">
        <v>53528</v>
      </c>
      <c r="P41" s="9">
        <f>O41-N41</f>
        <v/>
      </c>
      <c r="R41" s="42">
        <f>R40</f>
        <v/>
      </c>
      <c r="S41" s="24" t="inlineStr">
        <is>
          <t>NIGHT</t>
        </is>
      </c>
      <c r="T41" s="14">
        <f>U40</f>
        <v/>
      </c>
      <c r="U41" s="14" t="n">
        <v>2427</v>
      </c>
      <c r="V41" s="14">
        <f>U41-T41</f>
        <v/>
      </c>
      <c r="W41" s="3" t="n"/>
      <c r="X41" s="3" t="n"/>
      <c r="Y41" s="3" t="n"/>
      <c r="Z41" s="4" t="n"/>
      <c r="AA41" s="35" t="n"/>
      <c r="AB41" s="15" t="n"/>
      <c r="AC41" s="15" t="n"/>
      <c r="AD41" s="36" t="n"/>
      <c r="AE41" s="41">
        <f>AF40</f>
        <v/>
      </c>
      <c r="AF41" s="1" t="n">
        <v>39347</v>
      </c>
      <c r="AG41" s="9">
        <f>AF41-AE41</f>
        <v/>
      </c>
    </row>
    <row r="42">
      <c r="A42" s="42">
        <f>A40+1</f>
        <v/>
      </c>
      <c r="B42" s="24" t="inlineStr">
        <is>
          <t>DAY</t>
        </is>
      </c>
      <c r="C42" s="14">
        <f>D41</f>
        <v/>
      </c>
      <c r="D42" s="14" t="n">
        <v>3765</v>
      </c>
      <c r="E42" s="14">
        <f>D42-C42</f>
        <v/>
      </c>
      <c r="F42" s="3" t="n">
        <v>300</v>
      </c>
      <c r="G42" s="3" t="n">
        <v>3764.32</v>
      </c>
      <c r="H42" s="3">
        <f>G42-G40</f>
        <v/>
      </c>
      <c r="I42" s="34">
        <f>F42/H42</f>
        <v/>
      </c>
      <c r="J42" s="33" t="n"/>
      <c r="K42" s="4" t="n"/>
      <c r="L42" s="4" t="n"/>
      <c r="M42" s="34" t="n"/>
      <c r="N42" s="1">
        <f>O41</f>
        <v/>
      </c>
      <c r="O42" s="1" t="n">
        <v>53550</v>
      </c>
      <c r="P42" s="9">
        <f>O42-N42</f>
        <v/>
      </c>
      <c r="R42" s="42">
        <f>R40+1</f>
        <v/>
      </c>
      <c r="S42" s="24" t="inlineStr">
        <is>
          <t>DAY</t>
        </is>
      </c>
      <c r="T42" s="14">
        <f>U41</f>
        <v/>
      </c>
      <c r="U42" s="14" t="n">
        <v>2434</v>
      </c>
      <c r="V42" s="14">
        <f>U42-T42</f>
        <v/>
      </c>
      <c r="W42" s="3" t="n">
        <v>300</v>
      </c>
      <c r="X42" s="3" t="n">
        <v>2431</v>
      </c>
      <c r="Y42" s="3">
        <f>X42-X36</f>
        <v/>
      </c>
      <c r="Z42" s="4">
        <f>W42/Y42</f>
        <v/>
      </c>
      <c r="AA42" s="33" t="n"/>
      <c r="AB42" s="4" t="n"/>
      <c r="AC42" s="4" t="n"/>
      <c r="AD42" s="34" t="n"/>
      <c r="AE42" s="41">
        <f>AF41</f>
        <v/>
      </c>
      <c r="AF42" s="1" t="n">
        <v>39432</v>
      </c>
      <c r="AG42" s="9">
        <f>AF42-AE42</f>
        <v/>
      </c>
    </row>
    <row r="43">
      <c r="A43" s="42">
        <f>A42</f>
        <v/>
      </c>
      <c r="B43" s="24" t="inlineStr">
        <is>
          <t>NIGHT</t>
        </is>
      </c>
      <c r="C43" s="14">
        <f>D42</f>
        <v/>
      </c>
      <c r="D43" s="14" t="n">
        <v>3768</v>
      </c>
      <c r="E43" s="14">
        <f>D43-C43</f>
        <v/>
      </c>
      <c r="F43" s="3" t="n"/>
      <c r="G43" s="3" t="n"/>
      <c r="H43" s="3" t="n"/>
      <c r="I43" s="34" t="n"/>
      <c r="J43" s="35" t="n"/>
      <c r="K43" s="15" t="n"/>
      <c r="L43" s="15" t="n"/>
      <c r="M43" s="36" t="n"/>
      <c r="N43" s="1">
        <f>O42</f>
        <v/>
      </c>
      <c r="O43" s="1" t="n">
        <v>53580</v>
      </c>
      <c r="P43" s="9">
        <f>O43-N43</f>
        <v/>
      </c>
      <c r="R43" s="42">
        <f>R42</f>
        <v/>
      </c>
      <c r="S43" s="24" t="inlineStr">
        <is>
          <t>NIGHT</t>
        </is>
      </c>
      <c r="T43" s="14">
        <f>U42</f>
        <v/>
      </c>
      <c r="U43" s="14" t="n">
        <v>2437</v>
      </c>
      <c r="V43" s="14">
        <f>U43-T43</f>
        <v/>
      </c>
      <c r="W43" s="3" t="n"/>
      <c r="X43" s="3" t="n"/>
      <c r="Y43" s="3" t="n"/>
      <c r="Z43" s="4" t="n"/>
      <c r="AA43" s="35" t="n"/>
      <c r="AB43" s="15" t="n"/>
      <c r="AC43" s="15" t="n"/>
      <c r="AD43" s="36" t="n"/>
      <c r="AE43" s="41">
        <f>AF42</f>
        <v/>
      </c>
      <c r="AF43" s="1" t="n">
        <v>39527</v>
      </c>
      <c r="AG43" s="9">
        <f>AF43-AE43</f>
        <v/>
      </c>
    </row>
    <row r="44">
      <c r="A44" s="42">
        <f>A42+1</f>
        <v/>
      </c>
      <c r="B44" s="24" t="inlineStr">
        <is>
          <t>DAY</t>
        </is>
      </c>
      <c r="C44" s="14">
        <f>D43</f>
        <v/>
      </c>
      <c r="D44" s="14" t="n">
        <v>3772</v>
      </c>
      <c r="E44" s="14">
        <f>D44-C44</f>
        <v/>
      </c>
      <c r="F44" s="3" t="n"/>
      <c r="G44" s="3" t="n"/>
      <c r="H44" s="3" t="n"/>
      <c r="I44" s="34" t="n"/>
      <c r="J44" s="43" t="n"/>
      <c r="K44" s="44" t="n"/>
      <c r="L44" s="44" t="n"/>
      <c r="M44" s="36" t="n"/>
      <c r="N44" s="1">
        <f>O43</f>
        <v/>
      </c>
      <c r="O44" s="1" t="n">
        <v>53580</v>
      </c>
      <c r="P44" s="9">
        <f>O44-N44</f>
        <v/>
      </c>
      <c r="R44" s="42">
        <f>R42+1</f>
        <v/>
      </c>
      <c r="S44" s="24" t="inlineStr">
        <is>
          <t>DAY</t>
        </is>
      </c>
      <c r="T44" s="14">
        <f>U43</f>
        <v/>
      </c>
      <c r="U44" s="14" t="n">
        <v>2440</v>
      </c>
      <c r="V44" s="14">
        <f>U44-T44</f>
        <v/>
      </c>
      <c r="W44" s="3" t="n"/>
      <c r="X44" s="3" t="n"/>
      <c r="Y44" s="3" t="n"/>
      <c r="Z44" s="4" t="n"/>
      <c r="AA44" s="35" t="n"/>
      <c r="AB44" s="15" t="n"/>
      <c r="AC44" s="15" t="n"/>
      <c r="AD44" s="36" t="n"/>
      <c r="AE44" s="41">
        <f>AF43</f>
        <v/>
      </c>
      <c r="AF44" s="1" t="n">
        <v>39589</v>
      </c>
      <c r="AG44" s="9">
        <f>AF44-AE44</f>
        <v/>
      </c>
    </row>
    <row r="45">
      <c r="A45" s="42">
        <f>A44</f>
        <v/>
      </c>
      <c r="B45" s="24" t="inlineStr">
        <is>
          <t>NIGHT</t>
        </is>
      </c>
      <c r="C45" s="14">
        <f>D44</f>
        <v/>
      </c>
      <c r="D45" s="14" t="n">
        <v>3772</v>
      </c>
      <c r="E45" s="14">
        <f>D45-C45</f>
        <v/>
      </c>
      <c r="F45" s="3" t="n"/>
      <c r="G45" s="3" t="n"/>
      <c r="H45" s="3" t="n"/>
      <c r="I45" s="34" t="n"/>
      <c r="J45" s="35" t="n"/>
      <c r="K45" s="15" t="n"/>
      <c r="L45" s="15" t="n"/>
      <c r="M45" s="36" t="n"/>
      <c r="N45" s="1">
        <f>O44</f>
        <v/>
      </c>
      <c r="O45" s="1" t="n">
        <v>53601</v>
      </c>
      <c r="P45" s="9">
        <f>O45-N45</f>
        <v/>
      </c>
      <c r="R45" s="42">
        <f>R44</f>
        <v/>
      </c>
      <c r="S45" s="24" t="inlineStr">
        <is>
          <t>NIGHT</t>
        </is>
      </c>
      <c r="T45" s="14">
        <f>U44</f>
        <v/>
      </c>
      <c r="U45" s="14" t="n">
        <v>2443</v>
      </c>
      <c r="V45" s="14">
        <f>U45-T45</f>
        <v/>
      </c>
      <c r="W45" s="3" t="n"/>
      <c r="X45" s="3" t="n"/>
      <c r="Y45" s="3" t="n"/>
      <c r="Z45" s="4" t="n"/>
      <c r="AA45" s="35" t="n"/>
      <c r="AB45" s="15" t="n"/>
      <c r="AC45" s="15" t="n"/>
      <c r="AD45" s="36" t="n"/>
      <c r="AE45" s="41">
        <f>AF44</f>
        <v/>
      </c>
      <c r="AF45" s="1" t="n">
        <v>39661</v>
      </c>
      <c r="AG45" s="9">
        <f>AF45-AE45</f>
        <v/>
      </c>
    </row>
    <row r="46">
      <c r="A46" s="42">
        <f>A44+1</f>
        <v/>
      </c>
      <c r="B46" s="24" t="inlineStr">
        <is>
          <t>DAY</t>
        </is>
      </c>
      <c r="C46" s="14">
        <f>D45</f>
        <v/>
      </c>
      <c r="D46" s="14" t="n">
        <v>3780</v>
      </c>
      <c r="E46" s="14">
        <f>D46-C46</f>
        <v/>
      </c>
      <c r="F46" s="3" t="n"/>
      <c r="G46" s="3" t="n"/>
      <c r="H46" s="3" t="n"/>
      <c r="I46" s="34" t="n"/>
      <c r="J46" s="35" t="n"/>
      <c r="K46" s="15" t="n"/>
      <c r="L46" s="15" t="n"/>
      <c r="M46" s="36" t="n"/>
      <c r="N46" s="1">
        <f>O45</f>
        <v/>
      </c>
      <c r="O46" s="1" t="n">
        <v>53690</v>
      </c>
      <c r="P46" s="9">
        <f>O46-N46</f>
        <v/>
      </c>
      <c r="R46" s="42">
        <f>R44+1</f>
        <v/>
      </c>
      <c r="S46" s="24" t="inlineStr">
        <is>
          <t>DAY</t>
        </is>
      </c>
      <c r="T46" s="14">
        <f>U45</f>
        <v/>
      </c>
      <c r="U46" s="14" t="n">
        <v>2447</v>
      </c>
      <c r="V46" s="14">
        <f>U46-T46</f>
        <v/>
      </c>
      <c r="W46" s="5" t="n">
        <v>300</v>
      </c>
      <c r="X46" s="3" t="n">
        <v>2443</v>
      </c>
      <c r="Y46" s="3">
        <f>X46-X42</f>
        <v/>
      </c>
      <c r="Z46" s="4">
        <f>W46/Y46</f>
        <v/>
      </c>
      <c r="AA46" s="35" t="n"/>
      <c r="AB46" s="15" t="n"/>
      <c r="AC46" s="15" t="n"/>
      <c r="AD46" s="36" t="n"/>
      <c r="AE46" s="41">
        <f>AF45</f>
        <v/>
      </c>
      <c r="AF46" s="1" t="n">
        <v>39694</v>
      </c>
      <c r="AG46" s="9">
        <f>AF46-AE46</f>
        <v/>
      </c>
    </row>
    <row r="47">
      <c r="A47" s="42">
        <f>A46</f>
        <v/>
      </c>
      <c r="B47" s="24" t="inlineStr">
        <is>
          <t>NIGHT</t>
        </is>
      </c>
      <c r="C47" s="14">
        <f>D46</f>
        <v/>
      </c>
      <c r="D47" s="14" t="n">
        <v>3787</v>
      </c>
      <c r="E47" s="14">
        <f>D47-C47</f>
        <v/>
      </c>
      <c r="F47" s="3" t="n"/>
      <c r="G47" s="3" t="n"/>
      <c r="H47" s="3" t="n"/>
      <c r="I47" s="34" t="n"/>
      <c r="J47" s="33" t="n"/>
      <c r="K47" s="4" t="n"/>
      <c r="L47" s="4" t="n"/>
      <c r="M47" s="34" t="n"/>
      <c r="N47" s="1">
        <f>O46</f>
        <v/>
      </c>
      <c r="O47" s="1" t="n">
        <v>53800</v>
      </c>
      <c r="P47" s="9">
        <f>O47-N47</f>
        <v/>
      </c>
      <c r="R47" s="42">
        <f>R46</f>
        <v/>
      </c>
      <c r="S47" s="24" t="inlineStr">
        <is>
          <t>NIGHT</t>
        </is>
      </c>
      <c r="T47" s="14">
        <f>U46</f>
        <v/>
      </c>
      <c r="U47" s="14" t="n">
        <v>2448</v>
      </c>
      <c r="V47" s="14">
        <f>U47-T47</f>
        <v/>
      </c>
      <c r="W47" s="3" t="n"/>
      <c r="X47" s="3" t="n"/>
      <c r="Y47" s="3" t="n"/>
      <c r="Z47" s="4" t="n"/>
      <c r="AA47" s="33" t="n"/>
      <c r="AB47" s="4" t="n"/>
      <c r="AC47" s="4" t="n"/>
      <c r="AD47" s="34" t="n"/>
      <c r="AE47" s="41">
        <f>AF46</f>
        <v/>
      </c>
      <c r="AF47" s="1" t="n">
        <v>39706</v>
      </c>
      <c r="AG47" s="9">
        <f>AF47-AE47</f>
        <v/>
      </c>
    </row>
    <row r="48">
      <c r="A48" s="42">
        <f>A46+1</f>
        <v/>
      </c>
      <c r="B48" s="24" t="inlineStr">
        <is>
          <t>DAY</t>
        </is>
      </c>
      <c r="C48" s="14">
        <f>D47</f>
        <v/>
      </c>
      <c r="D48" s="14" t="n">
        <v>3790</v>
      </c>
      <c r="E48" s="14">
        <f>D48-C48</f>
        <v/>
      </c>
      <c r="F48" s="3" t="n">
        <v>300</v>
      </c>
      <c r="G48" s="3" t="n">
        <v>3788</v>
      </c>
      <c r="H48" s="3">
        <f>G48-G42</f>
        <v/>
      </c>
      <c r="I48" s="34">
        <f>F48/H48</f>
        <v/>
      </c>
      <c r="J48" s="35" t="n"/>
      <c r="K48" s="15" t="n"/>
      <c r="L48" s="15" t="n"/>
      <c r="M48" s="36" t="n"/>
      <c r="N48" s="1">
        <f>O47</f>
        <v/>
      </c>
      <c r="O48" s="1" t="n">
        <v>53875</v>
      </c>
      <c r="P48" s="9">
        <f>O48-N48</f>
        <v/>
      </c>
      <c r="R48" s="42">
        <f>R46+1</f>
        <v/>
      </c>
      <c r="S48" s="24" t="inlineStr">
        <is>
          <t>DAY</t>
        </is>
      </c>
      <c r="T48" s="14">
        <f>U47</f>
        <v/>
      </c>
      <c r="U48" s="14" t="n">
        <v>2450</v>
      </c>
      <c r="V48" s="14">
        <f>U48-T48</f>
        <v/>
      </c>
      <c r="W48" s="3" t="n"/>
      <c r="X48" s="3" t="n"/>
      <c r="Y48" s="3" t="n"/>
      <c r="Z48" s="4" t="n"/>
      <c r="AA48" s="35" t="n"/>
      <c r="AB48" s="15" t="n"/>
      <c r="AC48" s="15" t="n"/>
      <c r="AD48" s="36" t="n"/>
      <c r="AE48" s="41">
        <f>AF47</f>
        <v/>
      </c>
      <c r="AF48" s="1" t="n">
        <v>39729</v>
      </c>
      <c r="AG48" s="9">
        <f>AF48-AE48</f>
        <v/>
      </c>
    </row>
    <row r="49">
      <c r="A49" s="42">
        <f>A48</f>
        <v/>
      </c>
      <c r="B49" s="24" t="inlineStr">
        <is>
          <t>NIGHT</t>
        </is>
      </c>
      <c r="C49" s="14">
        <f>D48</f>
        <v/>
      </c>
      <c r="D49" s="14" t="n">
        <v>3794</v>
      </c>
      <c r="E49" s="14">
        <f>D49-C49</f>
        <v/>
      </c>
      <c r="F49" s="3" t="n"/>
      <c r="G49" s="3" t="n"/>
      <c r="H49" s="3" t="n"/>
      <c r="I49" s="34" t="n"/>
      <c r="J49" s="35" t="n"/>
      <c r="K49" s="15" t="n"/>
      <c r="L49" s="15" t="n"/>
      <c r="M49" s="36" t="n"/>
      <c r="N49" s="1">
        <f>O48</f>
        <v/>
      </c>
      <c r="O49" s="1" t="n">
        <v>53959</v>
      </c>
      <c r="P49" s="9">
        <f>O49-N49</f>
        <v/>
      </c>
      <c r="R49" s="42">
        <f>R48</f>
        <v/>
      </c>
      <c r="S49" s="24" t="inlineStr">
        <is>
          <t>NIGHT</t>
        </is>
      </c>
      <c r="T49" s="14">
        <f>U48</f>
        <v/>
      </c>
      <c r="U49" s="14" t="n">
        <v>2453</v>
      </c>
      <c r="V49" s="14">
        <f>U49-T49</f>
        <v/>
      </c>
      <c r="W49" s="3" t="n"/>
      <c r="X49" s="3" t="n"/>
      <c r="Y49" s="3" t="n"/>
      <c r="Z49" s="4" t="n"/>
      <c r="AA49" s="35" t="n"/>
      <c r="AB49" s="15" t="n"/>
      <c r="AC49" s="15" t="n"/>
      <c r="AD49" s="36" t="n"/>
      <c r="AE49" s="41">
        <f>AF48</f>
        <v/>
      </c>
      <c r="AF49" s="1" t="n">
        <v>39803</v>
      </c>
      <c r="AG49" s="9">
        <f>AF49-AE49</f>
        <v/>
      </c>
    </row>
    <row r="50">
      <c r="A50" s="42">
        <f>A48+1</f>
        <v/>
      </c>
      <c r="B50" s="24" t="inlineStr">
        <is>
          <t>DAY</t>
        </is>
      </c>
      <c r="C50" s="14">
        <f>D49</f>
        <v/>
      </c>
      <c r="D50" s="14" t="n">
        <v>3802</v>
      </c>
      <c r="E50" s="14">
        <f>D50-C50</f>
        <v/>
      </c>
      <c r="F50" s="3" t="n">
        <v>220</v>
      </c>
      <c r="G50" s="3" t="n">
        <v>3798</v>
      </c>
      <c r="H50" s="3">
        <f>G50-G48</f>
        <v/>
      </c>
      <c r="I50" s="34">
        <f>F50/H50</f>
        <v/>
      </c>
      <c r="J50" s="35" t="n"/>
      <c r="K50" s="15" t="n"/>
      <c r="L50" s="15" t="n"/>
      <c r="M50" s="36" t="n"/>
      <c r="N50" s="1">
        <f>O49</f>
        <v/>
      </c>
      <c r="O50" s="1" t="n">
        <v>54084</v>
      </c>
      <c r="P50" s="9">
        <f>O50-N50</f>
        <v/>
      </c>
      <c r="R50" s="42">
        <f>R48+1</f>
        <v/>
      </c>
      <c r="S50" s="24" t="inlineStr">
        <is>
          <t>DAY</t>
        </is>
      </c>
      <c r="T50" s="14">
        <f>U49</f>
        <v/>
      </c>
      <c r="U50" s="14" t="n">
        <v>2460</v>
      </c>
      <c r="V50" s="14">
        <f>U50-T50</f>
        <v/>
      </c>
      <c r="W50" s="3" t="n">
        <v>400</v>
      </c>
      <c r="X50" s="3" t="n">
        <v>2457</v>
      </c>
      <c r="Y50" s="3">
        <f>X50-X46</f>
        <v/>
      </c>
      <c r="Z50" s="4">
        <f>W50/Y50</f>
        <v/>
      </c>
      <c r="AA50" s="35" t="n"/>
      <c r="AB50" s="15" t="n"/>
      <c r="AC50" s="15" t="n"/>
      <c r="AD50" s="36" t="n"/>
      <c r="AE50" s="41">
        <f>AF49</f>
        <v/>
      </c>
      <c r="AF50" s="1" t="n">
        <v>39899</v>
      </c>
      <c r="AG50" s="9">
        <f>AF50-AE50</f>
        <v/>
      </c>
    </row>
    <row r="51">
      <c r="A51" s="42">
        <f>A50</f>
        <v/>
      </c>
      <c r="B51" s="24" t="inlineStr">
        <is>
          <t>NIGHT</t>
        </is>
      </c>
      <c r="C51" s="14">
        <f>D50</f>
        <v/>
      </c>
      <c r="D51" s="14" t="n">
        <v>3807</v>
      </c>
      <c r="E51" s="14">
        <f>D51-C51</f>
        <v/>
      </c>
      <c r="F51" s="3" t="n"/>
      <c r="G51" s="3" t="n"/>
      <c r="H51" s="3" t="n"/>
      <c r="I51" s="34" t="n"/>
      <c r="J51" s="35" t="n"/>
      <c r="K51" s="15" t="n"/>
      <c r="L51" s="15" t="n"/>
      <c r="M51" s="36" t="n"/>
      <c r="N51" s="1">
        <f>O50</f>
        <v/>
      </c>
      <c r="O51" s="1" t="n">
        <v>54131</v>
      </c>
      <c r="P51" s="9">
        <f>O51-N51</f>
        <v/>
      </c>
      <c r="R51" s="42">
        <f>R50</f>
        <v/>
      </c>
      <c r="S51" s="24" t="inlineStr">
        <is>
          <t>NIGHT</t>
        </is>
      </c>
      <c r="T51" s="14">
        <f>U50</f>
        <v/>
      </c>
      <c r="U51" s="14" t="n">
        <v>2463</v>
      </c>
      <c r="V51" s="14">
        <f>U51-T51</f>
        <v/>
      </c>
      <c r="W51" s="3" t="n"/>
      <c r="X51" s="3" t="n"/>
      <c r="Y51" s="3" t="n"/>
      <c r="Z51" s="4" t="n"/>
      <c r="AA51" s="35" t="n"/>
      <c r="AB51" s="15" t="n"/>
      <c r="AC51" s="15" t="n"/>
      <c r="AD51" s="36" t="n"/>
      <c r="AE51" s="41">
        <f>AF50</f>
        <v/>
      </c>
      <c r="AF51" s="1" t="n">
        <v>39978</v>
      </c>
      <c r="AG51" s="9">
        <f>AF51-AE51</f>
        <v/>
      </c>
    </row>
    <row r="52">
      <c r="A52" s="42">
        <f>A50+1</f>
        <v/>
      </c>
      <c r="B52" s="24" t="inlineStr">
        <is>
          <t>DAY</t>
        </is>
      </c>
      <c r="C52" s="14">
        <f>D51</f>
        <v/>
      </c>
      <c r="D52" s="14" t="n">
        <v>3814</v>
      </c>
      <c r="E52" s="14">
        <f>D52-C52</f>
        <v/>
      </c>
      <c r="F52" s="3" t="n"/>
      <c r="G52" s="3" t="n"/>
      <c r="H52" s="3" t="n"/>
      <c r="I52" s="34" t="n"/>
      <c r="J52" s="35" t="n"/>
      <c r="K52" s="15" t="n"/>
      <c r="L52" s="15" t="n"/>
      <c r="M52" s="36" t="n"/>
      <c r="N52" s="1">
        <f>O51</f>
        <v/>
      </c>
      <c r="O52" s="1" t="n">
        <v>54245</v>
      </c>
      <c r="P52" s="9">
        <f>O52-N52</f>
        <v/>
      </c>
      <c r="R52" s="42">
        <f>R50+1</f>
        <v/>
      </c>
      <c r="S52" s="24" t="inlineStr">
        <is>
          <t>DAY</t>
        </is>
      </c>
      <c r="T52" s="14">
        <f>U51</f>
        <v/>
      </c>
      <c r="U52" s="14" t="n">
        <v>2466</v>
      </c>
      <c r="V52" s="14">
        <f>U52-T52</f>
        <v/>
      </c>
      <c r="W52" s="3" t="n"/>
      <c r="X52" s="3" t="n"/>
      <c r="Y52" s="3" t="n"/>
      <c r="Z52" s="4" t="n"/>
      <c r="AA52" s="35" t="n"/>
      <c r="AB52" s="15" t="n"/>
      <c r="AC52" s="15" t="n"/>
      <c r="AD52" s="36" t="n"/>
      <c r="AE52" s="41">
        <f>AF51</f>
        <v/>
      </c>
      <c r="AF52" s="1" t="n">
        <v>39999</v>
      </c>
      <c r="AG52" s="9">
        <f>AF52-AE52</f>
        <v/>
      </c>
    </row>
    <row r="53">
      <c r="A53" s="42">
        <f>A52</f>
        <v/>
      </c>
      <c r="B53" s="24" t="inlineStr">
        <is>
          <t>NIGHT</t>
        </is>
      </c>
      <c r="C53" s="14">
        <f>D52</f>
        <v/>
      </c>
      <c r="D53" s="14" t="n">
        <v>3819</v>
      </c>
      <c r="E53" s="14">
        <f>D53-C53</f>
        <v/>
      </c>
      <c r="F53" s="3" t="n"/>
      <c r="G53" s="3" t="n"/>
      <c r="H53" s="3" t="n"/>
      <c r="I53" s="34" t="n"/>
      <c r="J53" s="35" t="n"/>
      <c r="K53" s="15" t="n"/>
      <c r="L53" s="15" t="n"/>
      <c r="M53" s="36" t="n"/>
      <c r="N53" s="1">
        <f>O52</f>
        <v/>
      </c>
      <c r="O53" s="1" t="n">
        <v>54278</v>
      </c>
      <c r="P53" s="9">
        <f>O53-N53</f>
        <v/>
      </c>
      <c r="R53" s="42">
        <f>R52</f>
        <v/>
      </c>
      <c r="S53" s="24" t="inlineStr">
        <is>
          <t>NIGHT</t>
        </is>
      </c>
      <c r="T53" s="14">
        <f>U52</f>
        <v/>
      </c>
      <c r="U53" s="14" t="n">
        <v>2470</v>
      </c>
      <c r="V53" s="14">
        <f>U53-T53</f>
        <v/>
      </c>
      <c r="W53" s="3" t="n"/>
      <c r="X53" s="3" t="n"/>
      <c r="Y53" s="3" t="n"/>
      <c r="Z53" s="4" t="n"/>
      <c r="AA53" s="35" t="n"/>
      <c r="AB53" s="15" t="n"/>
      <c r="AC53" s="15" t="n"/>
      <c r="AD53" s="36" t="n"/>
      <c r="AE53" s="41">
        <f>AF52</f>
        <v/>
      </c>
      <c r="AF53" s="1" t="n">
        <v>40122</v>
      </c>
      <c r="AG53" s="9">
        <f>AF53-AE53</f>
        <v/>
      </c>
    </row>
    <row r="54">
      <c r="A54" s="42">
        <f>A52+1</f>
        <v/>
      </c>
      <c r="B54" s="24" t="inlineStr">
        <is>
          <t>DAY</t>
        </is>
      </c>
      <c r="C54" s="14">
        <f>D53</f>
        <v/>
      </c>
      <c r="D54" s="14" t="n">
        <v>3827</v>
      </c>
      <c r="E54" s="14">
        <f>D54-C54</f>
        <v/>
      </c>
      <c r="F54" s="3" t="n"/>
      <c r="G54" s="3" t="n"/>
      <c r="H54" s="3" t="n"/>
      <c r="I54" s="34" t="n"/>
      <c r="J54" s="35" t="n"/>
      <c r="K54" s="15" t="n"/>
      <c r="L54" s="15" t="n"/>
      <c r="M54" s="36" t="n"/>
      <c r="N54" s="1">
        <f>O53</f>
        <v/>
      </c>
      <c r="O54" s="1" t="n">
        <v>54441</v>
      </c>
      <c r="P54" s="9">
        <f>O54-N54</f>
        <v/>
      </c>
      <c r="R54" s="42">
        <f>R52+1</f>
        <v/>
      </c>
      <c r="S54" s="24" t="inlineStr">
        <is>
          <t>DAY</t>
        </is>
      </c>
      <c r="T54" s="14">
        <f>U53</f>
        <v/>
      </c>
      <c r="U54" s="14" t="n">
        <v>2476</v>
      </c>
      <c r="V54" s="14">
        <f>U54-T54</f>
        <v/>
      </c>
      <c r="W54" s="3" t="n"/>
      <c r="X54" s="3" t="n"/>
      <c r="Y54" s="3" t="n"/>
      <c r="Z54" s="4" t="n"/>
      <c r="AA54" s="35" t="n"/>
      <c r="AB54" s="15" t="n"/>
      <c r="AC54" s="15" t="n"/>
      <c r="AD54" s="36" t="n"/>
      <c r="AE54" s="41">
        <f>AF53</f>
        <v/>
      </c>
      <c r="AF54" s="1" t="n">
        <v>40172</v>
      </c>
      <c r="AG54" s="9">
        <f>AF54-AE54</f>
        <v/>
      </c>
    </row>
    <row r="55">
      <c r="A55" s="42">
        <f>A54</f>
        <v/>
      </c>
      <c r="B55" s="24" t="inlineStr">
        <is>
          <t>NIGHT</t>
        </is>
      </c>
      <c r="C55" s="14">
        <f>D54</f>
        <v/>
      </c>
      <c r="D55" s="14" t="n">
        <v>3834</v>
      </c>
      <c r="E55" s="14">
        <f>D55-C55</f>
        <v/>
      </c>
      <c r="F55" s="3" t="n"/>
      <c r="G55" s="3" t="n"/>
      <c r="H55" s="3" t="n"/>
      <c r="I55" s="34" t="n"/>
      <c r="J55" s="35" t="n"/>
      <c r="K55" s="15" t="n"/>
      <c r="L55" s="15" t="n"/>
      <c r="M55" s="36" t="n"/>
      <c r="N55" s="1">
        <f>O54</f>
        <v/>
      </c>
      <c r="O55" s="5" t="n">
        <v>54486</v>
      </c>
      <c r="P55" s="9">
        <f>O55-N55</f>
        <v/>
      </c>
      <c r="R55" s="42">
        <f>R54</f>
        <v/>
      </c>
      <c r="S55" s="24" t="inlineStr">
        <is>
          <t>NIGHT</t>
        </is>
      </c>
      <c r="T55" s="14">
        <f>U54</f>
        <v/>
      </c>
      <c r="U55" s="14" t="n">
        <v>2482</v>
      </c>
      <c r="V55" s="14">
        <f>U55-T55</f>
        <v/>
      </c>
      <c r="W55" s="3" t="n"/>
      <c r="X55" s="3" t="n"/>
      <c r="Y55" s="3" t="n"/>
      <c r="Z55" s="4" t="n"/>
      <c r="AA55" s="35" t="n"/>
      <c r="AB55" s="15" t="n"/>
      <c r="AC55" s="15" t="n"/>
      <c r="AD55" s="36" t="n"/>
      <c r="AE55" s="41">
        <f>AF54</f>
        <v/>
      </c>
      <c r="AF55" s="5" t="n">
        <v>40326</v>
      </c>
      <c r="AG55" s="9">
        <f>AF55-AE55</f>
        <v/>
      </c>
    </row>
    <row r="56">
      <c r="A56" s="42">
        <f>A54+1</f>
        <v/>
      </c>
      <c r="B56" s="24" t="inlineStr">
        <is>
          <t>DAY</t>
        </is>
      </c>
      <c r="C56" s="14">
        <f>D55</f>
        <v/>
      </c>
      <c r="D56" s="14" t="n">
        <v>3842</v>
      </c>
      <c r="E56" s="14">
        <f>D56-C56</f>
        <v/>
      </c>
      <c r="F56" s="3" t="n">
        <v>300</v>
      </c>
      <c r="G56" s="3" t="n">
        <v>3837</v>
      </c>
      <c r="H56" s="3">
        <f>G56-G50</f>
        <v/>
      </c>
      <c r="I56" s="34">
        <f>F56/H56</f>
        <v/>
      </c>
      <c r="J56" s="50" t="n"/>
      <c r="K56" s="14" t="n"/>
      <c r="L56" s="14" t="n"/>
      <c r="M56" s="151" t="n"/>
      <c r="N56" s="1">
        <f>O55</f>
        <v/>
      </c>
      <c r="O56" s="1" t="n">
        <v>54520</v>
      </c>
      <c r="P56" s="9">
        <f>O56-N56</f>
        <v/>
      </c>
      <c r="R56" s="42">
        <f>R54+1</f>
        <v/>
      </c>
      <c r="S56" s="24" t="inlineStr">
        <is>
          <t>DAY</t>
        </is>
      </c>
      <c r="T56" s="14">
        <f>U55</f>
        <v/>
      </c>
      <c r="U56" s="14" t="n">
        <v>2490</v>
      </c>
      <c r="V56" s="14">
        <f>U56-T56</f>
        <v/>
      </c>
      <c r="W56" s="3" t="n">
        <v>200</v>
      </c>
      <c r="X56" s="3" t="n">
        <v>2485</v>
      </c>
      <c r="Y56" s="3">
        <f>X56-X50</f>
        <v/>
      </c>
      <c r="Z56" s="4">
        <f>W56/Y56</f>
        <v/>
      </c>
      <c r="AA56" s="61" t="n"/>
      <c r="AB56" s="62" t="n"/>
      <c r="AC56" s="62" t="n"/>
      <c r="AD56" s="151" t="n"/>
      <c r="AE56" s="41">
        <f>AF55</f>
        <v/>
      </c>
      <c r="AF56" s="1" t="n">
        <v>40418</v>
      </c>
      <c r="AG56" s="9">
        <f>AF56-AE56</f>
        <v/>
      </c>
    </row>
    <row r="57">
      <c r="A57" s="42">
        <f>A56</f>
        <v/>
      </c>
      <c r="B57" s="24" t="inlineStr">
        <is>
          <t>NIGHT</t>
        </is>
      </c>
      <c r="C57" s="14">
        <f>D56</f>
        <v/>
      </c>
      <c r="D57" s="14" t="n">
        <v>3847</v>
      </c>
      <c r="E57" s="14">
        <f>D57-C57</f>
        <v/>
      </c>
      <c r="F57" s="3" t="n"/>
      <c r="G57" s="3" t="n"/>
      <c r="H57" s="3" t="n"/>
      <c r="I57" s="34" t="n"/>
      <c r="J57" s="50" t="n"/>
      <c r="K57" s="14" t="n"/>
      <c r="L57" s="14" t="n"/>
      <c r="M57" s="151" t="n"/>
      <c r="N57" s="1">
        <f>O56</f>
        <v/>
      </c>
      <c r="O57" s="1" t="n">
        <v>54660</v>
      </c>
      <c r="P57" s="9">
        <f>O57-N57</f>
        <v/>
      </c>
      <c r="R57" s="42">
        <f>R56</f>
        <v/>
      </c>
      <c r="S57" s="24" t="inlineStr">
        <is>
          <t>NIGHT</t>
        </is>
      </c>
      <c r="T57" s="14">
        <f>U56</f>
        <v/>
      </c>
      <c r="U57" s="14" t="n">
        <v>2494</v>
      </c>
      <c r="V57" s="14">
        <f>U57-T57</f>
        <v/>
      </c>
      <c r="W57" s="3" t="n"/>
      <c r="X57" s="3" t="n"/>
      <c r="Y57" s="3" t="n"/>
      <c r="Z57" s="4" t="n"/>
      <c r="AA57" s="50" t="n"/>
      <c r="AB57" s="14" t="n"/>
      <c r="AC57" s="14" t="n"/>
      <c r="AD57" s="151" t="n"/>
      <c r="AE57" s="41">
        <f>AF56</f>
        <v/>
      </c>
      <c r="AF57" s="1" t="n">
        <v>40503</v>
      </c>
      <c r="AG57" s="9">
        <f>AF57-AE57</f>
        <v/>
      </c>
    </row>
    <row r="58">
      <c r="A58" s="42">
        <f>A56+1</f>
        <v/>
      </c>
      <c r="B58" s="24" t="inlineStr">
        <is>
          <t>DAY</t>
        </is>
      </c>
      <c r="C58" s="14">
        <f>D57</f>
        <v/>
      </c>
      <c r="D58" s="14" t="n">
        <v>3854</v>
      </c>
      <c r="E58" s="14">
        <f>D58-C58</f>
        <v/>
      </c>
      <c r="F58" s="3" t="n"/>
      <c r="G58" s="3" t="n"/>
      <c r="H58" s="3" t="n"/>
      <c r="I58" s="34" t="n"/>
      <c r="J58" s="50" t="n"/>
      <c r="K58" s="14" t="n"/>
      <c r="L58" s="14" t="n"/>
      <c r="M58" s="151" t="n"/>
      <c r="N58" s="1">
        <f>O57</f>
        <v/>
      </c>
      <c r="O58" s="1" t="n">
        <v>54770</v>
      </c>
      <c r="P58" s="9">
        <f>O58-N58</f>
        <v/>
      </c>
      <c r="R58" s="42">
        <f>R56+1</f>
        <v/>
      </c>
      <c r="S58" s="24" t="inlineStr">
        <is>
          <t>DAY</t>
        </is>
      </c>
      <c r="T58" s="14">
        <f>U57</f>
        <v/>
      </c>
      <c r="U58" s="14" t="n">
        <v>2496</v>
      </c>
      <c r="V58" s="14">
        <f>U58-T58</f>
        <v/>
      </c>
      <c r="W58" s="3" t="n"/>
      <c r="X58" s="3" t="n"/>
      <c r="Y58" s="3" t="n"/>
      <c r="Z58" s="4" t="n"/>
      <c r="AA58" s="50" t="n"/>
      <c r="AB58" s="14" t="n"/>
      <c r="AC58" s="14" t="n"/>
      <c r="AD58" s="151" t="n"/>
      <c r="AE58" s="41">
        <f>AF57</f>
        <v/>
      </c>
      <c r="AF58" s="1" t="n">
        <v>40535</v>
      </c>
      <c r="AG58" s="9">
        <f>AF58-AE58</f>
        <v/>
      </c>
    </row>
    <row r="59">
      <c r="A59" s="42">
        <f>A58</f>
        <v/>
      </c>
      <c r="B59" s="24" t="inlineStr">
        <is>
          <t>NIGHT</t>
        </is>
      </c>
      <c r="C59" s="14">
        <f>D58</f>
        <v/>
      </c>
      <c r="D59" s="14" t="n">
        <v>3860</v>
      </c>
      <c r="E59" s="14">
        <f>D59-C59</f>
        <v/>
      </c>
      <c r="F59" s="3" t="n"/>
      <c r="G59" s="3" t="n"/>
      <c r="H59" s="3" t="n"/>
      <c r="I59" s="34" t="n"/>
      <c r="J59" s="50" t="n"/>
      <c r="K59" s="14" t="n"/>
      <c r="L59" s="14" t="n"/>
      <c r="M59" s="151" t="n"/>
      <c r="N59" s="1">
        <f>O58</f>
        <v/>
      </c>
      <c r="O59" s="1" t="n">
        <v>54884</v>
      </c>
      <c r="P59" s="9">
        <f>O59-N59</f>
        <v/>
      </c>
      <c r="R59" s="42">
        <f>R58</f>
        <v/>
      </c>
      <c r="S59" s="24" t="inlineStr">
        <is>
          <t>NIGHT</t>
        </is>
      </c>
      <c r="T59" s="14">
        <f>U58</f>
        <v/>
      </c>
      <c r="U59" s="14" t="n">
        <v>2496</v>
      </c>
      <c r="V59" s="14">
        <f>U59-T59</f>
        <v/>
      </c>
      <c r="W59" s="3" t="n"/>
      <c r="X59" s="3" t="n"/>
      <c r="Y59" s="3" t="n"/>
      <c r="Z59" s="4" t="n"/>
      <c r="AA59" s="50" t="n"/>
      <c r="AB59" s="14" t="n"/>
      <c r="AC59" s="14" t="n"/>
      <c r="AD59" s="151" t="n"/>
      <c r="AE59" s="41">
        <f>AF58</f>
        <v/>
      </c>
      <c r="AF59" s="1" t="n">
        <v>40537</v>
      </c>
      <c r="AG59" s="9">
        <f>AF59-AE59</f>
        <v/>
      </c>
    </row>
    <row r="60">
      <c r="A60" s="42">
        <f>A58+1</f>
        <v/>
      </c>
      <c r="B60" s="24" t="inlineStr">
        <is>
          <t>DAY</t>
        </is>
      </c>
      <c r="C60" s="14">
        <f>D59</f>
        <v/>
      </c>
      <c r="D60" s="14" t="n">
        <v>3868</v>
      </c>
      <c r="E60" s="14">
        <f>D60-C60</f>
        <v/>
      </c>
      <c r="F60" s="3" t="n">
        <v>400</v>
      </c>
      <c r="G60" s="3" t="n">
        <v>3865</v>
      </c>
      <c r="H60" s="3">
        <f>G60-G56</f>
        <v/>
      </c>
      <c r="I60" s="34">
        <f>F60/H60</f>
        <v/>
      </c>
      <c r="J60" s="33" t="n"/>
      <c r="K60" s="4" t="n"/>
      <c r="L60" s="4" t="n"/>
      <c r="M60" s="34" t="n"/>
      <c r="N60" s="1">
        <f>O59</f>
        <v/>
      </c>
      <c r="O60" s="1" t="n">
        <v>54990</v>
      </c>
      <c r="P60" s="9">
        <f>O60-N60</f>
        <v/>
      </c>
      <c r="R60" s="42">
        <f>R58+1</f>
        <v/>
      </c>
      <c r="S60" s="24" t="inlineStr">
        <is>
          <t>DAY</t>
        </is>
      </c>
      <c r="T60" s="14">
        <f>U59</f>
        <v/>
      </c>
      <c r="U60" s="14" t="n">
        <v>2502</v>
      </c>
      <c r="V60" s="14">
        <f>U60-T60</f>
        <v/>
      </c>
      <c r="W60" s="3" t="n">
        <v>400</v>
      </c>
      <c r="X60" s="3" t="n">
        <v>2498</v>
      </c>
      <c r="Y60" s="3">
        <f>X60-X56</f>
        <v/>
      </c>
      <c r="Z60" s="4">
        <f>W60/Y60</f>
        <v/>
      </c>
      <c r="AA60" s="33" t="n"/>
      <c r="AB60" s="4" t="n"/>
      <c r="AC60" s="4" t="n"/>
      <c r="AD60" s="34" t="n"/>
      <c r="AE60" s="41">
        <f>AF59</f>
        <v/>
      </c>
      <c r="AF60" s="1" t="n">
        <v>40641</v>
      </c>
      <c r="AG60" s="9">
        <f>AF60-AE60</f>
        <v/>
      </c>
    </row>
    <row r="61">
      <c r="A61" s="42">
        <f>A60</f>
        <v/>
      </c>
      <c r="B61" s="24" t="inlineStr">
        <is>
          <t>NIGHT</t>
        </is>
      </c>
      <c r="C61" s="14">
        <f>D60</f>
        <v/>
      </c>
      <c r="D61" s="14" t="n">
        <v>3877</v>
      </c>
      <c r="E61" s="14">
        <f>D61-C61</f>
        <v/>
      </c>
      <c r="F61" s="3" t="n"/>
      <c r="G61" s="3" t="n"/>
      <c r="H61" s="3" t="n"/>
      <c r="I61" s="34" t="n"/>
      <c r="J61" s="50" t="n"/>
      <c r="K61" s="14" t="n"/>
      <c r="L61" s="14" t="n"/>
      <c r="M61" s="151" t="n"/>
      <c r="N61" s="1">
        <f>O60</f>
        <v/>
      </c>
      <c r="O61" s="1" t="n">
        <v>55154</v>
      </c>
      <c r="P61" s="9">
        <f>O61-N61</f>
        <v/>
      </c>
      <c r="R61" s="42">
        <f>R60</f>
        <v/>
      </c>
      <c r="S61" s="24" t="inlineStr">
        <is>
          <t>NIGHT</t>
        </is>
      </c>
      <c r="T61" s="14">
        <f>U60</f>
        <v/>
      </c>
      <c r="U61" s="14" t="n">
        <v>2506</v>
      </c>
      <c r="V61" s="14">
        <f>U61-T61</f>
        <v/>
      </c>
      <c r="W61" s="3" t="n"/>
      <c r="X61" s="3" t="n"/>
      <c r="Y61" s="3" t="n"/>
      <c r="Z61" s="4" t="n"/>
      <c r="AA61" s="50" t="n"/>
      <c r="AB61" s="14" t="n"/>
      <c r="AC61" s="14" t="n"/>
      <c r="AD61" s="151" t="n"/>
      <c r="AE61" s="41">
        <f>AF60</f>
        <v/>
      </c>
      <c r="AF61" s="1" t="n">
        <v>40740</v>
      </c>
      <c r="AG61" s="9">
        <f>AF61-AE61</f>
        <v/>
      </c>
    </row>
    <row r="62">
      <c r="A62" s="42">
        <f>A60+1</f>
        <v/>
      </c>
      <c r="B62" s="24" t="inlineStr">
        <is>
          <t>DAY</t>
        </is>
      </c>
      <c r="C62" s="14">
        <f>D61</f>
        <v/>
      </c>
      <c r="D62" s="14" t="n">
        <v>3885</v>
      </c>
      <c r="E62" s="14">
        <f>D62-C62</f>
        <v/>
      </c>
      <c r="F62" s="3" t="n">
        <v>300</v>
      </c>
      <c r="G62" s="3" t="n">
        <v>3882</v>
      </c>
      <c r="H62" s="3">
        <f>G62-G60</f>
        <v/>
      </c>
      <c r="I62" s="34">
        <f>F62/H62</f>
        <v/>
      </c>
      <c r="J62" s="50" t="n"/>
      <c r="K62" s="14" t="n"/>
      <c r="L62" s="14" t="n"/>
      <c r="M62" s="151" t="n"/>
      <c r="N62" s="1">
        <f>O61</f>
        <v/>
      </c>
      <c r="O62" s="1" t="n">
        <v>55195</v>
      </c>
      <c r="P62" s="9">
        <f>O62-N62</f>
        <v/>
      </c>
      <c r="R62" s="42">
        <f>R60+1</f>
        <v/>
      </c>
      <c r="S62" s="24" t="inlineStr">
        <is>
          <t>DAY</t>
        </is>
      </c>
      <c r="T62" s="14">
        <f>U61</f>
        <v/>
      </c>
      <c r="U62" s="14" t="n">
        <v>2510</v>
      </c>
      <c r="V62" s="14">
        <f>U62-T62</f>
        <v/>
      </c>
      <c r="W62" s="3" t="n"/>
      <c r="X62" s="3" t="n"/>
      <c r="Y62" s="3" t="n"/>
      <c r="Z62" s="4" t="n"/>
      <c r="AA62" s="50" t="n"/>
      <c r="AB62" s="14" t="n"/>
      <c r="AC62" s="14" t="n"/>
      <c r="AD62" s="151" t="n"/>
      <c r="AE62" s="41">
        <f>AF61</f>
        <v/>
      </c>
      <c r="AF62" s="1" t="n">
        <v>40802</v>
      </c>
      <c r="AG62" s="9">
        <f>AF62-AE62</f>
        <v/>
      </c>
    </row>
    <row r="63">
      <c r="A63" s="42">
        <f>A61+1</f>
        <v/>
      </c>
      <c r="B63" s="7" t="inlineStr">
        <is>
          <t>NIGHT</t>
        </is>
      </c>
      <c r="C63" s="14">
        <f>D62</f>
        <v/>
      </c>
      <c r="D63" s="14" t="n">
        <v>3888</v>
      </c>
      <c r="E63" s="14">
        <f>D63-C63</f>
        <v/>
      </c>
      <c r="F63" s="3" t="n"/>
      <c r="G63" s="3" t="n"/>
      <c r="H63" s="3" t="n"/>
      <c r="I63" s="34" t="n"/>
      <c r="J63" s="50" t="n"/>
      <c r="K63" s="14" t="n"/>
      <c r="L63" s="14" t="n"/>
      <c r="M63" s="151" t="n"/>
      <c r="N63" s="1">
        <f>O62</f>
        <v/>
      </c>
      <c r="O63" s="1" t="n">
        <v>55229</v>
      </c>
      <c r="P63" s="9">
        <f>O63-N63</f>
        <v/>
      </c>
      <c r="R63" s="42">
        <f>R61+1</f>
        <v/>
      </c>
      <c r="S63" s="7" t="inlineStr">
        <is>
          <t>NIGHT</t>
        </is>
      </c>
      <c r="T63" s="14">
        <f>U62</f>
        <v/>
      </c>
      <c r="U63" s="14" t="n">
        <v>2515</v>
      </c>
      <c r="V63" s="14">
        <f>U63-T63</f>
        <v/>
      </c>
      <c r="W63" s="3" t="n"/>
      <c r="X63" s="3" t="n"/>
      <c r="Y63" s="3" t="n"/>
      <c r="Z63" s="4" t="n"/>
      <c r="AA63" s="50" t="n"/>
      <c r="AB63" s="14" t="n"/>
      <c r="AC63" s="14" t="n"/>
      <c r="AD63" s="151" t="n"/>
      <c r="AE63" s="41">
        <f>AF62</f>
        <v/>
      </c>
      <c r="AF63" s="1" t="n">
        <v>40906</v>
      </c>
      <c r="AG63" s="9">
        <f>AF63-AE63</f>
        <v/>
      </c>
    </row>
    <row r="64">
      <c r="A64" s="42">
        <f>A62+1</f>
        <v/>
      </c>
      <c r="B64" s="24" t="inlineStr">
        <is>
          <t>DAY</t>
        </is>
      </c>
      <c r="C64" s="14">
        <f>D63</f>
        <v/>
      </c>
      <c r="D64" s="14" t="n">
        <v>3895</v>
      </c>
      <c r="E64" s="14">
        <f>D64-C64</f>
        <v/>
      </c>
      <c r="F64" s="3" t="n">
        <v>170</v>
      </c>
      <c r="G64" s="3" t="n">
        <v>3889</v>
      </c>
      <c r="H64" s="14" t="inlineStr">
        <is>
          <t>N/F</t>
        </is>
      </c>
      <c r="I64" s="34" t="n"/>
      <c r="J64" s="50" t="n"/>
      <c r="K64" s="14" t="n"/>
      <c r="L64" s="14" t="n"/>
      <c r="M64" s="151" t="n"/>
      <c r="N64" s="1">
        <f>O63</f>
        <v/>
      </c>
      <c r="O64" s="1" t="n">
        <v>55330</v>
      </c>
      <c r="P64" s="9">
        <f>O64-N64</f>
        <v/>
      </c>
      <c r="R64" s="42">
        <f>R62+1</f>
        <v/>
      </c>
      <c r="S64" s="24" t="inlineStr">
        <is>
          <t>DAY</t>
        </is>
      </c>
      <c r="T64" s="14">
        <f>U63</f>
        <v/>
      </c>
      <c r="U64" s="14" t="n">
        <v>2522</v>
      </c>
      <c r="V64" s="14">
        <f>U64-T64</f>
        <v/>
      </c>
      <c r="W64" s="3" t="n">
        <v>350</v>
      </c>
      <c r="X64" s="3" t="n">
        <v>2516</v>
      </c>
      <c r="Y64" s="3">
        <f>X64-X60</f>
        <v/>
      </c>
      <c r="Z64" s="4">
        <f>W64/Y64</f>
        <v/>
      </c>
      <c r="AA64" s="50" t="n"/>
      <c r="AB64" s="14" t="n"/>
      <c r="AC64" s="14" t="n"/>
      <c r="AD64" s="151" t="n"/>
      <c r="AE64" s="41">
        <f>AF63</f>
        <v/>
      </c>
      <c r="AF64" s="1" t="n">
        <v>40962</v>
      </c>
      <c r="AG64" s="9">
        <f>AF64-AE64</f>
        <v/>
      </c>
    </row>
    <row r="65" ht="15.75" customHeight="1" thickBot="1">
      <c r="A65" s="42">
        <f>A63+1</f>
        <v/>
      </c>
      <c r="B65" s="7" t="inlineStr">
        <is>
          <t>NIGHT</t>
        </is>
      </c>
      <c r="C65" s="14">
        <f>D64</f>
        <v/>
      </c>
      <c r="D65" s="14" t="n">
        <v>3903</v>
      </c>
      <c r="E65" s="14">
        <f>D65-C65</f>
        <v/>
      </c>
      <c r="F65" s="3" t="n"/>
      <c r="G65" s="3" t="n"/>
      <c r="H65" s="3" t="n"/>
      <c r="I65" s="34" t="n"/>
      <c r="J65" s="37" t="n"/>
      <c r="K65" s="1" t="n"/>
      <c r="L65" s="1" t="n"/>
      <c r="M65" s="9" t="n"/>
      <c r="N65" s="1">
        <f>O64</f>
        <v/>
      </c>
      <c r="O65" s="1" t="n">
        <v>55459</v>
      </c>
      <c r="P65" s="9">
        <f>O65-N65</f>
        <v/>
      </c>
      <c r="R65" s="42">
        <f>R63+1</f>
        <v/>
      </c>
      <c r="S65" s="7" t="inlineStr">
        <is>
          <t>NIGHT</t>
        </is>
      </c>
      <c r="T65" s="14">
        <f>U64</f>
        <v/>
      </c>
      <c r="U65" s="14" t="n">
        <v>2528</v>
      </c>
      <c r="V65" s="14">
        <f>U65-T65</f>
        <v/>
      </c>
      <c r="W65" s="14" t="n"/>
      <c r="X65" s="14" t="n"/>
      <c r="Y65" s="14" t="n"/>
      <c r="Z65" s="14" t="n"/>
      <c r="AA65" s="50" t="n"/>
      <c r="AB65" s="14" t="n"/>
      <c r="AC65" s="14" t="n"/>
      <c r="AD65" s="151" t="n"/>
      <c r="AE65" s="41">
        <f>AF64</f>
        <v/>
      </c>
      <c r="AF65" s="1" t="n">
        <v>41094</v>
      </c>
      <c r="AG65" s="9">
        <f>AF65-AE65</f>
        <v/>
      </c>
    </row>
    <row r="66">
      <c r="A66" s="153" t="inlineStr">
        <is>
          <t>TOTAL HMR</t>
        </is>
      </c>
      <c r="B66" s="154" t="n"/>
      <c r="C66" s="154" t="n"/>
      <c r="D66" s="155" t="n"/>
      <c r="E66" s="74">
        <f>SUM(E4:E65)</f>
        <v/>
      </c>
      <c r="F66" s="74">
        <f>SUM(F4:F65)</f>
        <v/>
      </c>
      <c r="G66" s="74" t="n"/>
      <c r="H66" s="74">
        <f>SUM(H4:H65)</f>
        <v/>
      </c>
      <c r="I66" s="59">
        <f>F66/H66</f>
        <v/>
      </c>
      <c r="J66" s="56" t="n"/>
      <c r="K66" s="57" t="n"/>
      <c r="L66" s="78" t="inlineStr">
        <is>
          <t>12:00 Hours</t>
        </is>
      </c>
      <c r="M66" s="58" t="n"/>
      <c r="N66" s="63" t="n"/>
      <c r="O66" s="60" t="n"/>
      <c r="P66" s="74">
        <f>SUM(P4:P65)</f>
        <v/>
      </c>
      <c r="R66" s="153" t="inlineStr">
        <is>
          <t>TOTAL HMR</t>
        </is>
      </c>
      <c r="S66" s="154" t="n"/>
      <c r="T66" s="154" t="n"/>
      <c r="U66" s="155" t="n"/>
      <c r="V66" s="74">
        <f>SUM(V4:V65)</f>
        <v/>
      </c>
      <c r="W66" s="74">
        <f>SUM(W4:W65)</f>
        <v/>
      </c>
      <c r="X66" s="74" t="n"/>
      <c r="Y66" s="74">
        <f>SUM(Y4:Y65)</f>
        <v/>
      </c>
      <c r="Z66" s="59">
        <f>W66/Y66</f>
        <v/>
      </c>
      <c r="AA66" s="56" t="n"/>
      <c r="AB66" s="57" t="n"/>
      <c r="AC66" s="78" t="inlineStr">
        <is>
          <t>12:00 Hours</t>
        </is>
      </c>
      <c r="AD66" s="58" t="n"/>
      <c r="AE66" s="63" t="n"/>
      <c r="AF66" s="60" t="n"/>
      <c r="AG66" s="74">
        <f>SUM(AG4:AG65)</f>
        <v/>
      </c>
    </row>
    <row r="67">
      <c r="A67" s="144" t="inlineStr">
        <is>
          <t>FIX HMR INVOICE NO….........................</t>
        </is>
      </c>
      <c r="B67" s="145" t="n"/>
      <c r="C67" s="145" t="n"/>
      <c r="D67" s="146" t="n"/>
      <c r="E67" s="73" t="n">
        <v>520</v>
      </c>
      <c r="F67" s="22" t="n"/>
      <c r="G67" s="22" t="n"/>
      <c r="H67" s="22" t="n"/>
      <c r="I67" s="23">
        <f>F66/E66</f>
        <v/>
      </c>
      <c r="J67" s="38" t="n"/>
      <c r="K67" s="23" t="n"/>
      <c r="L67" s="23" t="n"/>
      <c r="M67" s="39" t="n"/>
      <c r="N67" s="64" t="n"/>
      <c r="O67" s="23" t="n"/>
      <c r="P67" s="39" t="n"/>
      <c r="R67" s="144" t="inlineStr">
        <is>
          <t>FIX HMR INVOICE NO….........................</t>
        </is>
      </c>
      <c r="S67" s="145" t="n"/>
      <c r="T67" s="145" t="n"/>
      <c r="U67" s="146" t="n"/>
      <c r="V67" s="73" t="n">
        <v>520</v>
      </c>
      <c r="W67" s="22" t="n"/>
      <c r="X67" s="22" t="n"/>
      <c r="Y67" s="22" t="n"/>
      <c r="Z67" s="23">
        <f>W66/V66</f>
        <v/>
      </c>
      <c r="AA67" s="38" t="n"/>
      <c r="AB67" s="23" t="n"/>
      <c r="AC67" s="23" t="n"/>
      <c r="AD67" s="39" t="n"/>
      <c r="AE67" s="64" t="n"/>
      <c r="AF67" s="23" t="n"/>
      <c r="AG67" s="39" t="n"/>
    </row>
    <row r="68" ht="15.75" customHeight="1" thickBot="1">
      <c r="A68" s="141" t="inlineStr">
        <is>
          <t>EXTRA HMR INVOICE NO. …..................</t>
        </is>
      </c>
      <c r="B68" s="142" t="n"/>
      <c r="C68" s="142" t="n"/>
      <c r="D68" s="143" t="n"/>
      <c r="E68" s="27">
        <f>IF(E66-E67&lt;0,0,E66-E67)</f>
        <v/>
      </c>
      <c r="F68" s="27" t="n"/>
      <c r="G68" s="27" t="n"/>
      <c r="H68" s="27" t="n"/>
      <c r="I68" s="45" t="n"/>
      <c r="J68" s="141" t="n"/>
      <c r="K68" s="27" t="n"/>
      <c r="L68" s="27" t="n"/>
      <c r="M68" s="21" t="n"/>
      <c r="N68" s="65" t="n"/>
      <c r="O68" s="27" t="n"/>
      <c r="P68" s="21" t="n"/>
      <c r="R68" s="141" t="inlineStr">
        <is>
          <t>EXTRA HMR INVOICE NO. …..................</t>
        </is>
      </c>
      <c r="S68" s="142" t="n"/>
      <c r="T68" s="142" t="n"/>
      <c r="U68" s="143" t="n"/>
      <c r="V68" s="27">
        <f>IF(V66-V67&lt;0,0,V66-V67)</f>
        <v/>
      </c>
      <c r="W68" s="27" t="n"/>
      <c r="X68" s="27" t="n"/>
      <c r="Y68" s="27" t="n"/>
      <c r="Z68" s="27" t="n"/>
      <c r="AA68" s="141" t="n"/>
      <c r="AB68" s="27" t="n"/>
      <c r="AC68" s="27" t="n"/>
      <c r="AD68" s="21" t="n"/>
      <c r="AE68" s="65" t="n"/>
      <c r="AF68" s="27" t="n"/>
      <c r="AG68" s="21" t="n"/>
    </row>
  </sheetData>
  <mergeCells count="8">
    <mergeCell ref="R66:U66"/>
    <mergeCell ref="A67:D67"/>
    <mergeCell ref="A1:M1"/>
    <mergeCell ref="R1:AD1"/>
    <mergeCell ref="R67:U67"/>
    <mergeCell ref="R68:U68"/>
    <mergeCell ref="A68:D68"/>
    <mergeCell ref="A66:D66"/>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G65"/>
  <sheetViews>
    <sheetView zoomScale="85" zoomScaleNormal="85" workbookViewId="0">
      <pane xSplit="1" ySplit="2" topLeftCell="B34" activePane="bottomRight" state="frozen"/>
      <selection pane="topRight" activeCell="B1" sqref="B1"/>
      <selection pane="bottomLeft" activeCell="A3" sqref="A3"/>
      <selection pane="bottomRight" activeCell="A64" sqref="A64"/>
    </sheetView>
  </sheetViews>
  <sheetFormatPr baseColWidth="8" defaultRowHeight="15"/>
  <cols>
    <col width="10.85546875" customWidth="1" min="5" max="5"/>
    <col width="10.140625" customWidth="1" min="6" max="6"/>
    <col width="12" bestFit="1" customWidth="1" min="13" max="13"/>
    <col width="10.42578125" customWidth="1" min="14" max="14"/>
    <col width="11.140625" customWidth="1" min="15" max="15"/>
    <col width="11.140625" customWidth="1" min="22" max="22"/>
    <col width="11.42578125" customWidth="1" min="23" max="23"/>
    <col width="12.85546875" bestFit="1" customWidth="1" min="30" max="30"/>
  </cols>
  <sheetData>
    <row r="1" ht="24" customHeight="1" thickBot="1">
      <c r="A1" s="147" t="inlineStr">
        <is>
          <t>SANY-2025-650 Ltr (RS-02)</t>
        </is>
      </c>
      <c r="B1" s="148" t="n"/>
      <c r="C1" s="148" t="n"/>
      <c r="D1" s="148" t="n"/>
      <c r="E1" s="148" t="n"/>
      <c r="F1" s="148" t="n"/>
      <c r="G1" s="148" t="n"/>
      <c r="H1" s="148" t="n"/>
      <c r="I1" s="148" t="n"/>
      <c r="J1" s="148" t="n"/>
      <c r="K1" s="148" t="n"/>
      <c r="L1" s="148" t="n"/>
      <c r="M1" s="148" t="n"/>
      <c r="N1" s="25" t="n"/>
      <c r="O1" s="25" t="n"/>
      <c r="P1" s="25" t="n"/>
      <c r="R1" s="147" t="inlineStr">
        <is>
          <t>Hyster-2025 (RS-03)</t>
        </is>
      </c>
      <c r="S1" s="148" t="n"/>
      <c r="T1" s="148" t="n"/>
      <c r="U1" s="148" t="n"/>
      <c r="V1" s="148" t="n"/>
      <c r="W1" s="148" t="n"/>
      <c r="X1" s="148" t="n"/>
      <c r="Y1" s="148" t="n"/>
      <c r="Z1" s="148" t="n"/>
      <c r="AA1" s="148" t="n"/>
      <c r="AB1" s="148" t="n"/>
      <c r="AC1" s="148" t="n"/>
      <c r="AD1" s="148" t="n"/>
    </row>
    <row r="2" ht="63.75" customHeight="1" thickBot="1">
      <c r="A2" s="28" t="inlineStr">
        <is>
          <t>DATE</t>
        </is>
      </c>
      <c r="B2" s="40" t="inlineStr">
        <is>
          <t>SHIFT</t>
        </is>
      </c>
      <c r="C2" s="29" t="inlineStr">
        <is>
          <t>START HMR</t>
        </is>
      </c>
      <c r="D2" s="29" t="inlineStr">
        <is>
          <t>END HMR</t>
        </is>
      </c>
      <c r="E2" s="29" t="inlineStr">
        <is>
          <t>WORKING HMR</t>
        </is>
      </c>
      <c r="F2" s="29" t="inlineStr">
        <is>
          <t>DIESEL RECEIVED</t>
        </is>
      </c>
      <c r="G2" s="29" t="inlineStr">
        <is>
          <t>HMR</t>
        </is>
      </c>
      <c r="H2" s="29" t="inlineStr">
        <is>
          <t>Running Hours</t>
        </is>
      </c>
      <c r="I2" s="30" t="inlineStr">
        <is>
          <t>Average</t>
        </is>
      </c>
      <c r="J2" s="28" t="inlineStr">
        <is>
          <t>B/D Start Time</t>
        </is>
      </c>
      <c r="K2" s="29" t="inlineStr">
        <is>
          <t>B/D End Time</t>
        </is>
      </c>
      <c r="L2" s="29" t="inlineStr">
        <is>
          <t>Total B/D Hours</t>
        </is>
      </c>
      <c r="M2" s="30" t="inlineStr">
        <is>
          <t>B/D Reason</t>
        </is>
      </c>
      <c r="N2" s="46" t="inlineStr">
        <is>
          <t>Start Conatiner</t>
        </is>
      </c>
      <c r="O2" s="47" t="inlineStr">
        <is>
          <t>End Conatiner</t>
        </is>
      </c>
      <c r="P2" s="48" t="inlineStr">
        <is>
          <t>Per Day Container Count</t>
        </is>
      </c>
      <c r="R2" s="28" t="inlineStr">
        <is>
          <t>DATE</t>
        </is>
      </c>
      <c r="S2" s="40" t="inlineStr">
        <is>
          <t>SHIFT</t>
        </is>
      </c>
      <c r="T2" s="29" t="inlineStr">
        <is>
          <t>START HMR</t>
        </is>
      </c>
      <c r="U2" s="29" t="inlineStr">
        <is>
          <t>END HMR</t>
        </is>
      </c>
      <c r="V2" s="29" t="inlineStr">
        <is>
          <t>WORKING HMR</t>
        </is>
      </c>
      <c r="W2" s="29" t="inlineStr">
        <is>
          <t>DIESEL RECEIVED</t>
        </is>
      </c>
      <c r="X2" s="29" t="inlineStr">
        <is>
          <t>HMR</t>
        </is>
      </c>
      <c r="Y2" s="29" t="inlineStr">
        <is>
          <t>Running Hours</t>
        </is>
      </c>
      <c r="Z2" s="29" t="inlineStr">
        <is>
          <t>Average</t>
        </is>
      </c>
      <c r="AA2" s="28" t="inlineStr">
        <is>
          <t>B/D Start Time</t>
        </is>
      </c>
      <c r="AB2" s="29" t="inlineStr">
        <is>
          <t>B/D End Time</t>
        </is>
      </c>
      <c r="AC2" s="29" t="inlineStr">
        <is>
          <t>Total B/D Hours</t>
        </is>
      </c>
      <c r="AD2" s="30" t="inlineStr">
        <is>
          <t>B/D Reason</t>
        </is>
      </c>
      <c r="AE2" s="46" t="inlineStr">
        <is>
          <t>Start Conatiner</t>
        </is>
      </c>
      <c r="AF2" s="47" t="inlineStr">
        <is>
          <t>End Conatiner</t>
        </is>
      </c>
      <c r="AG2" s="48" t="inlineStr">
        <is>
          <t>Per Day Container Count</t>
        </is>
      </c>
    </row>
    <row r="3" ht="15.75" customHeight="1">
      <c r="A3" s="17" t="inlineStr">
        <is>
          <t>Prev</t>
        </is>
      </c>
      <c r="B3" s="8" t="n"/>
      <c r="C3" s="2" t="n"/>
      <c r="D3" s="2" t="n"/>
      <c r="E3" s="2" t="n"/>
      <c r="F3" s="6" t="n"/>
      <c r="G3" s="3" t="n">
        <v>3882</v>
      </c>
      <c r="H3" s="6" t="n"/>
      <c r="I3" s="18" t="n"/>
      <c r="J3" s="31" t="n"/>
      <c r="K3" s="6" t="n"/>
      <c r="L3" s="6" t="n"/>
      <c r="M3" s="18" t="n"/>
      <c r="N3" s="31" t="n"/>
      <c r="O3" s="6" t="n"/>
      <c r="P3" s="18" t="n"/>
      <c r="Q3" s="13" t="n"/>
      <c r="R3" s="17" t="inlineStr">
        <is>
          <t>Prev</t>
        </is>
      </c>
      <c r="S3" s="8" t="n"/>
      <c r="T3" s="2" t="n"/>
      <c r="U3" s="2" t="n"/>
      <c r="V3" s="2" t="n"/>
      <c r="W3" s="6" t="n"/>
      <c r="X3" s="3" t="n">
        <v>2516</v>
      </c>
      <c r="Y3" s="6" t="n"/>
      <c r="Z3" s="6" t="n"/>
      <c r="AA3" s="31" t="n"/>
      <c r="AB3" s="6" t="n"/>
      <c r="AC3" s="6" t="n"/>
      <c r="AD3" s="18" t="n"/>
      <c r="AE3" s="31" t="n"/>
      <c r="AF3" s="6" t="n"/>
      <c r="AG3" s="18" t="n"/>
    </row>
    <row r="4">
      <c r="A4" s="42" t="n">
        <v>46054</v>
      </c>
      <c r="B4" s="24" t="inlineStr">
        <is>
          <t>DAY</t>
        </is>
      </c>
      <c r="C4" s="14" t="n">
        <v>3903</v>
      </c>
      <c r="D4" s="14" t="n">
        <v>3910</v>
      </c>
      <c r="E4" s="14">
        <f>D4-C4</f>
        <v/>
      </c>
      <c r="F4" s="3" t="n"/>
      <c r="G4" s="3" t="n"/>
      <c r="H4" s="3" t="n"/>
      <c r="I4" s="34" t="n"/>
      <c r="J4" s="32" t="n"/>
      <c r="K4" s="3" t="n"/>
      <c r="L4" s="3" t="n"/>
      <c r="M4" s="19" t="n"/>
      <c r="N4" s="14" t="n">
        <v>55459</v>
      </c>
      <c r="O4" s="14" t="n">
        <v>55532</v>
      </c>
      <c r="P4" s="151">
        <f>O4-N4</f>
        <v/>
      </c>
      <c r="Q4" s="84" t="n"/>
      <c r="R4" s="42" t="n">
        <v>46054</v>
      </c>
      <c r="S4" s="24" t="inlineStr">
        <is>
          <t>DAY</t>
        </is>
      </c>
      <c r="T4" s="14" t="n">
        <v>2528</v>
      </c>
      <c r="U4" s="14" t="n">
        <v>2534</v>
      </c>
      <c r="V4" s="14">
        <f>U4-T4</f>
        <v/>
      </c>
      <c r="W4" s="3" t="n"/>
      <c r="X4" s="3" t="n"/>
      <c r="Y4" s="3" t="n"/>
      <c r="Z4" s="4" t="n"/>
      <c r="AA4" s="32" t="n"/>
      <c r="AB4" s="3" t="n"/>
      <c r="AC4" s="3" t="n"/>
      <c r="AD4" s="19" t="n"/>
      <c r="AE4" s="14" t="n">
        <v>41094</v>
      </c>
      <c r="AF4" s="14" t="n">
        <v>41156</v>
      </c>
      <c r="AG4" s="151">
        <f>AF4-AE4</f>
        <v/>
      </c>
    </row>
    <row r="5">
      <c r="A5" s="42">
        <f>A4</f>
        <v/>
      </c>
      <c r="B5" s="24" t="inlineStr">
        <is>
          <t>NIGHT</t>
        </is>
      </c>
      <c r="C5" s="14">
        <f>D4</f>
        <v/>
      </c>
      <c r="D5" s="14" t="n">
        <v>3918</v>
      </c>
      <c r="E5" s="14">
        <f>D5-C5</f>
        <v/>
      </c>
      <c r="F5" s="3" t="n"/>
      <c r="G5" s="3" t="n"/>
      <c r="H5" s="3" t="n"/>
      <c r="I5" s="34" t="n"/>
      <c r="J5" s="32" t="n"/>
      <c r="K5" s="3" t="n"/>
      <c r="L5" s="3" t="n"/>
      <c r="M5" s="19" t="n"/>
      <c r="N5" s="14">
        <f>O4</f>
        <v/>
      </c>
      <c r="O5" s="14" t="n">
        <v>55646</v>
      </c>
      <c r="P5" s="151">
        <f>O5-N5</f>
        <v/>
      </c>
      <c r="Q5" s="84" t="n"/>
      <c r="R5" s="42">
        <f>R4</f>
        <v/>
      </c>
      <c r="S5" s="24" t="inlineStr">
        <is>
          <t>NIGHT</t>
        </is>
      </c>
      <c r="T5" s="14">
        <f>U4</f>
        <v/>
      </c>
      <c r="U5" s="14" t="n">
        <v>2542</v>
      </c>
      <c r="V5" s="14">
        <f>U5-T5</f>
        <v/>
      </c>
      <c r="W5" s="3" t="n"/>
      <c r="X5" s="3" t="n"/>
      <c r="Y5" s="3" t="n"/>
      <c r="Z5" s="4" t="n"/>
      <c r="AA5" s="32" t="n"/>
      <c r="AB5" s="3" t="n"/>
      <c r="AC5" s="3" t="n"/>
      <c r="AD5" s="19" t="n"/>
      <c r="AE5" s="85">
        <f>AF4</f>
        <v/>
      </c>
      <c r="AF5" s="14" t="n">
        <v>41216</v>
      </c>
      <c r="AG5" s="151">
        <f>AF5-AE5</f>
        <v/>
      </c>
    </row>
    <row r="6">
      <c r="A6" s="42">
        <f>A4+1</f>
        <v/>
      </c>
      <c r="B6" s="24" t="inlineStr">
        <is>
          <t>DAY</t>
        </is>
      </c>
      <c r="C6" s="14">
        <f>D5</f>
        <v/>
      </c>
      <c r="D6" s="14" t="n">
        <v>3926</v>
      </c>
      <c r="E6" s="14">
        <f>D6-C6</f>
        <v/>
      </c>
      <c r="F6" s="3" t="n">
        <v>300</v>
      </c>
      <c r="G6" s="3" t="n">
        <v>3922</v>
      </c>
      <c r="H6" s="3">
        <f>G6-G3</f>
        <v/>
      </c>
      <c r="I6" s="34">
        <f>F6/H6</f>
        <v/>
      </c>
      <c r="J6" s="33" t="n"/>
      <c r="K6" s="4" t="n"/>
      <c r="L6" s="4" t="n"/>
      <c r="M6" s="34" t="n"/>
      <c r="N6" s="14">
        <f>O5</f>
        <v/>
      </c>
      <c r="O6" s="14" t="n">
        <v>55804</v>
      </c>
      <c r="P6" s="151">
        <f>O6-N6</f>
        <v/>
      </c>
      <c r="Q6" s="84" t="n"/>
      <c r="R6" s="42">
        <f>R4+1</f>
        <v/>
      </c>
      <c r="S6" s="24" t="inlineStr">
        <is>
          <t>DAY</t>
        </is>
      </c>
      <c r="T6" s="14">
        <f>U5</f>
        <v/>
      </c>
      <c r="U6" s="14" t="n">
        <v>2549</v>
      </c>
      <c r="V6" s="14">
        <f>U6-T6</f>
        <v/>
      </c>
      <c r="W6" s="3" t="n">
        <v>300</v>
      </c>
      <c r="X6" s="3" t="n">
        <v>2544</v>
      </c>
      <c r="Y6" s="3">
        <f>X6-X3</f>
        <v/>
      </c>
      <c r="Z6" s="4">
        <f>W6/Y6</f>
        <v/>
      </c>
      <c r="AA6" s="33" t="n"/>
      <c r="AB6" s="4" t="n"/>
      <c r="AC6" s="4" t="n"/>
      <c r="AD6" s="34" t="n"/>
      <c r="AE6" s="85">
        <f>AF5</f>
        <v/>
      </c>
      <c r="AF6" s="14" t="n">
        <v>41382</v>
      </c>
      <c r="AG6" s="151">
        <f>AF6-AE6</f>
        <v/>
      </c>
    </row>
    <row r="7">
      <c r="A7" s="42">
        <f>A6</f>
        <v/>
      </c>
      <c r="B7" s="24" t="inlineStr">
        <is>
          <t>NIGHT</t>
        </is>
      </c>
      <c r="C7" s="14">
        <f>D6</f>
        <v/>
      </c>
      <c r="D7" s="14" t="n">
        <v>3928</v>
      </c>
      <c r="E7" s="14">
        <f>D7-C7</f>
        <v/>
      </c>
      <c r="F7" s="3" t="n"/>
      <c r="G7" s="3" t="n"/>
      <c r="H7" s="3" t="n"/>
      <c r="I7" s="34" t="n"/>
      <c r="J7" s="33" t="n"/>
      <c r="K7" s="4" t="n"/>
      <c r="L7" s="4" t="n"/>
      <c r="M7" s="34" t="n"/>
      <c r="N7" s="14">
        <f>O6</f>
        <v/>
      </c>
      <c r="O7" s="14" t="n">
        <v>55824</v>
      </c>
      <c r="P7" s="151">
        <f>O7-N7</f>
        <v/>
      </c>
      <c r="Q7" s="84" t="n"/>
      <c r="R7" s="42">
        <f>R6</f>
        <v/>
      </c>
      <c r="S7" s="24" t="inlineStr">
        <is>
          <t>NIGHT</t>
        </is>
      </c>
      <c r="T7" s="14">
        <f>U6</f>
        <v/>
      </c>
      <c r="U7" s="14" t="n">
        <v>2558</v>
      </c>
      <c r="V7" s="14">
        <f>U7-T7</f>
        <v/>
      </c>
      <c r="W7" s="3" t="n"/>
      <c r="X7" s="3" t="n"/>
      <c r="Y7" s="3" t="n"/>
      <c r="Z7" s="4" t="n"/>
      <c r="AA7" s="33" t="n"/>
      <c r="AB7" s="4" t="n"/>
      <c r="AC7" s="4" t="n"/>
      <c r="AD7" s="34" t="n"/>
      <c r="AE7" s="85">
        <f>AF6</f>
        <v/>
      </c>
      <c r="AF7" s="14" t="n">
        <v>41469</v>
      </c>
      <c r="AG7" s="151">
        <f>AF7-AE7</f>
        <v/>
      </c>
    </row>
    <row r="8">
      <c r="A8" s="42">
        <f>A6+1</f>
        <v/>
      </c>
      <c r="B8" s="24" t="inlineStr">
        <is>
          <t>DAY</t>
        </is>
      </c>
      <c r="C8" s="14">
        <f>D7</f>
        <v/>
      </c>
      <c r="D8" s="14" t="n">
        <v>3937</v>
      </c>
      <c r="E8" s="14">
        <f>D8-C8</f>
        <v/>
      </c>
      <c r="F8" s="3" t="n"/>
      <c r="G8" s="3" t="n"/>
      <c r="H8" s="3" t="n"/>
      <c r="I8" s="34" t="n"/>
      <c r="J8" s="35" t="n"/>
      <c r="K8" s="15" t="n"/>
      <c r="L8" s="15" t="n"/>
      <c r="M8" s="36" t="n"/>
      <c r="N8" s="14">
        <f>O7</f>
        <v/>
      </c>
      <c r="O8" s="14" t="n">
        <v>55995</v>
      </c>
      <c r="P8" s="151">
        <f>O8-N8</f>
        <v/>
      </c>
      <c r="Q8" s="84" t="n"/>
      <c r="R8" s="42">
        <f>R6+1</f>
        <v/>
      </c>
      <c r="S8" s="24" t="inlineStr">
        <is>
          <t>DAY</t>
        </is>
      </c>
      <c r="T8" s="14">
        <f>U7</f>
        <v/>
      </c>
      <c r="U8" s="14" t="n">
        <v>2565</v>
      </c>
      <c r="V8" s="14">
        <f>U8-T8</f>
        <v/>
      </c>
      <c r="W8" s="3" t="n"/>
      <c r="X8" s="3" t="n"/>
      <c r="Y8" s="3" t="n"/>
      <c r="Z8" s="4" t="n"/>
      <c r="AA8" s="35" t="n"/>
      <c r="AB8" s="15" t="n"/>
      <c r="AC8" s="15" t="n"/>
      <c r="AD8" s="36" t="n"/>
      <c r="AE8" s="85">
        <f>AF7</f>
        <v/>
      </c>
      <c r="AF8" s="85" t="n">
        <v>41572</v>
      </c>
      <c r="AG8" s="151">
        <f>AF8-AE8</f>
        <v/>
      </c>
    </row>
    <row r="9">
      <c r="A9" s="42">
        <f>A8</f>
        <v/>
      </c>
      <c r="B9" s="24" t="inlineStr">
        <is>
          <t>NIGHT</t>
        </is>
      </c>
      <c r="C9" s="14">
        <f>D8</f>
        <v/>
      </c>
      <c r="D9" s="14" t="n">
        <v>3941</v>
      </c>
      <c r="E9" s="14">
        <f>D9-C9</f>
        <v/>
      </c>
      <c r="F9" s="3" t="n"/>
      <c r="G9" s="3" t="n"/>
      <c r="H9" s="3" t="n"/>
      <c r="I9" s="34" t="n"/>
      <c r="J9" s="33" t="n"/>
      <c r="K9" s="4" t="n"/>
      <c r="L9" s="4" t="n"/>
      <c r="M9" s="34" t="n"/>
      <c r="N9" s="14">
        <f>O8</f>
        <v/>
      </c>
      <c r="O9" s="14" t="n">
        <v>56055</v>
      </c>
      <c r="P9" s="151">
        <f>O9-N9</f>
        <v/>
      </c>
      <c r="Q9" s="84" t="n"/>
      <c r="R9" s="42">
        <f>R8</f>
        <v/>
      </c>
      <c r="S9" s="24" t="inlineStr">
        <is>
          <t>NIGHT</t>
        </is>
      </c>
      <c r="T9" s="14">
        <f>U8</f>
        <v/>
      </c>
      <c r="U9" s="14" t="n">
        <v>2575</v>
      </c>
      <c r="V9" s="14">
        <f>U9-T9</f>
        <v/>
      </c>
      <c r="W9" s="3" t="n"/>
      <c r="X9" s="3" t="n"/>
      <c r="Y9" s="3" t="n"/>
      <c r="Z9" s="4" t="n"/>
      <c r="AA9" s="33" t="n"/>
      <c r="AB9" s="4" t="n"/>
      <c r="AC9" s="4" t="n"/>
      <c r="AD9" s="34" t="n"/>
      <c r="AE9" s="85">
        <f>AF8</f>
        <v/>
      </c>
      <c r="AF9" s="85" t="n">
        <v>41742</v>
      </c>
      <c r="AG9" s="151">
        <f>AF9-AE9</f>
        <v/>
      </c>
    </row>
    <row r="10">
      <c r="A10" s="42">
        <f>A8+1</f>
        <v/>
      </c>
      <c r="B10" s="24" t="inlineStr">
        <is>
          <t>DAY</t>
        </is>
      </c>
      <c r="C10" s="14">
        <f>D9</f>
        <v/>
      </c>
      <c r="D10" s="14" t="n">
        <v>3946</v>
      </c>
      <c r="E10" s="14">
        <f>D10-C10</f>
        <v/>
      </c>
      <c r="F10" s="3" t="n">
        <v>300</v>
      </c>
      <c r="G10" s="3" t="n">
        <v>3945</v>
      </c>
      <c r="H10" s="3">
        <f>G10-G6</f>
        <v/>
      </c>
      <c r="I10" s="34">
        <f>F10/H10</f>
        <v/>
      </c>
      <c r="J10" s="32" t="n"/>
      <c r="K10" s="3" t="n"/>
      <c r="L10" s="3" t="n"/>
      <c r="M10" s="19" t="n"/>
      <c r="N10" s="14">
        <f>O9</f>
        <v/>
      </c>
      <c r="O10" s="14" t="n">
        <v>56123</v>
      </c>
      <c r="P10" s="151">
        <f>O10-N10</f>
        <v/>
      </c>
      <c r="Q10" s="84" t="n"/>
      <c r="R10" s="42">
        <f>R8+1</f>
        <v/>
      </c>
      <c r="S10" s="24" t="inlineStr">
        <is>
          <t>DAY</t>
        </is>
      </c>
      <c r="T10" s="14">
        <f>U9</f>
        <v/>
      </c>
      <c r="U10" s="14" t="n">
        <v>2580</v>
      </c>
      <c r="V10" s="14">
        <f>U10-T10</f>
        <v/>
      </c>
      <c r="W10" s="3" t="n"/>
      <c r="X10" s="3" t="n"/>
      <c r="Y10" s="3" t="n"/>
      <c r="Z10" s="4" t="n"/>
      <c r="AA10" s="32" t="n"/>
      <c r="AB10" s="3" t="n"/>
      <c r="AC10" s="3" t="n"/>
      <c r="AD10" s="19" t="n"/>
      <c r="AE10" s="85">
        <f>AF9</f>
        <v/>
      </c>
      <c r="AF10" s="85" t="n">
        <v>41838</v>
      </c>
      <c r="AG10" s="151">
        <f>AF10-AE10</f>
        <v/>
      </c>
    </row>
    <row r="11">
      <c r="A11" s="42">
        <f>A10</f>
        <v/>
      </c>
      <c r="B11" s="24" t="inlineStr">
        <is>
          <t>NIGHT</t>
        </is>
      </c>
      <c r="C11" s="14">
        <f>D10</f>
        <v/>
      </c>
      <c r="D11" s="14" t="n">
        <v>3946</v>
      </c>
      <c r="E11" s="14">
        <f>D11-C11</f>
        <v/>
      </c>
      <c r="F11" s="3" t="n"/>
      <c r="G11" s="3" t="n"/>
      <c r="H11" s="3" t="n"/>
      <c r="I11" s="34" t="n"/>
      <c r="J11" s="32" t="n"/>
      <c r="K11" s="3" t="n"/>
      <c r="L11" s="3" t="n"/>
      <c r="M11" s="19" t="n"/>
      <c r="N11" s="14">
        <f>O10</f>
        <v/>
      </c>
      <c r="O11" s="14" t="n">
        <v>56190</v>
      </c>
      <c r="P11" s="151">
        <f>O11-N11</f>
        <v/>
      </c>
      <c r="Q11" s="84" t="n"/>
      <c r="R11" s="42">
        <f>R10</f>
        <v/>
      </c>
      <c r="S11" s="24" t="inlineStr">
        <is>
          <t>NIGHT</t>
        </is>
      </c>
      <c r="T11" s="14">
        <f>U10</f>
        <v/>
      </c>
      <c r="U11" s="14" t="n">
        <v>2581</v>
      </c>
      <c r="V11" s="14">
        <f>U11-T11</f>
        <v/>
      </c>
      <c r="W11" s="3" t="n"/>
      <c r="X11" s="3" t="n"/>
      <c r="Y11" s="3" t="n"/>
      <c r="Z11" s="4" t="n"/>
      <c r="AA11" s="32" t="n"/>
      <c r="AB11" s="3" t="n"/>
      <c r="AC11" s="3" t="n"/>
      <c r="AD11" s="19" t="n"/>
      <c r="AE11" s="85">
        <f>AF10</f>
        <v/>
      </c>
      <c r="AF11" s="85" t="n">
        <v>41842</v>
      </c>
      <c r="AG11" s="151">
        <f>AF11-AE11</f>
        <v/>
      </c>
    </row>
    <row r="12">
      <c r="A12" s="42">
        <f>A10+1</f>
        <v/>
      </c>
      <c r="B12" s="24" t="inlineStr">
        <is>
          <t>DAY</t>
        </is>
      </c>
      <c r="C12" s="14">
        <f>D11</f>
        <v/>
      </c>
      <c r="D12" s="14" t="n">
        <v>3950</v>
      </c>
      <c r="E12" s="14">
        <f>D12-C12</f>
        <v/>
      </c>
      <c r="F12" s="3" t="n"/>
      <c r="G12" s="3" t="n"/>
      <c r="H12" s="3" t="n"/>
      <c r="I12" s="34" t="n"/>
      <c r="J12" s="32" t="n"/>
      <c r="K12" s="3" t="n"/>
      <c r="L12" s="3" t="n"/>
      <c r="M12" s="19" t="n"/>
      <c r="N12" s="14">
        <f>O11</f>
        <v/>
      </c>
      <c r="O12" s="14" t="n">
        <v>56193</v>
      </c>
      <c r="P12" s="151">
        <f>O12-N12</f>
        <v/>
      </c>
      <c r="Q12" s="84" t="n"/>
      <c r="R12" s="42">
        <f>R10+1</f>
        <v/>
      </c>
      <c r="S12" s="24" t="inlineStr">
        <is>
          <t>DAY</t>
        </is>
      </c>
      <c r="T12" s="14">
        <f>U11</f>
        <v/>
      </c>
      <c r="U12" s="14" t="n">
        <v>2582</v>
      </c>
      <c r="V12" s="14">
        <f>U12-T12</f>
        <v/>
      </c>
      <c r="W12" s="3" t="n">
        <v>300</v>
      </c>
      <c r="X12" s="3" t="n">
        <v>2582</v>
      </c>
      <c r="Y12" s="3">
        <f>X12-X6</f>
        <v/>
      </c>
      <c r="Z12" s="4">
        <f>W12/Y12</f>
        <v/>
      </c>
      <c r="AA12" s="32" t="n"/>
      <c r="AB12" s="3" t="n"/>
      <c r="AC12" s="3" t="n"/>
      <c r="AD12" s="19" t="n"/>
      <c r="AE12" s="85">
        <f>AF11</f>
        <v/>
      </c>
      <c r="AF12" s="85" t="n">
        <v>41846</v>
      </c>
      <c r="AG12" s="151">
        <f>AF12-AE12</f>
        <v/>
      </c>
    </row>
    <row r="13">
      <c r="A13" s="42">
        <f>A12</f>
        <v/>
      </c>
      <c r="B13" s="24" t="inlineStr">
        <is>
          <t>NIGHT</t>
        </is>
      </c>
      <c r="C13" s="14">
        <f>D12</f>
        <v/>
      </c>
      <c r="D13" s="14" t="n">
        <v>3954</v>
      </c>
      <c r="E13" s="14">
        <f>D13-C13</f>
        <v/>
      </c>
      <c r="F13" s="3" t="n"/>
      <c r="G13" s="3" t="n"/>
      <c r="H13" s="3" t="n"/>
      <c r="I13" s="34" t="n"/>
      <c r="J13" s="33" t="n"/>
      <c r="K13" s="4" t="n"/>
      <c r="L13" s="4" t="n"/>
      <c r="M13" s="34" t="n"/>
      <c r="N13" s="14">
        <f>O12</f>
        <v/>
      </c>
      <c r="O13" s="14" t="n">
        <v>56249</v>
      </c>
      <c r="P13" s="151">
        <f>O13-N13</f>
        <v/>
      </c>
      <c r="Q13" s="84" t="n"/>
      <c r="R13" s="42">
        <f>R12</f>
        <v/>
      </c>
      <c r="S13" s="24" t="inlineStr">
        <is>
          <t>NIGHT</t>
        </is>
      </c>
      <c r="T13" s="14">
        <f>U12</f>
        <v/>
      </c>
      <c r="U13" s="14" t="n">
        <v>2588</v>
      </c>
      <c r="V13" s="14">
        <f>U13-T13</f>
        <v/>
      </c>
      <c r="W13" s="3" t="n"/>
      <c r="X13" s="3" t="n"/>
      <c r="Y13" s="3" t="n"/>
      <c r="Z13" s="4" t="n"/>
      <c r="AA13" s="33" t="n"/>
      <c r="AB13" s="4" t="n"/>
      <c r="AC13" s="4" t="n"/>
      <c r="AD13" s="34" t="n"/>
      <c r="AE13" s="85">
        <f>AF12</f>
        <v/>
      </c>
      <c r="AF13" s="85" t="n">
        <v>41982</v>
      </c>
      <c r="AG13" s="151">
        <f>AF13-AE13</f>
        <v/>
      </c>
    </row>
    <row r="14">
      <c r="A14" s="42">
        <f>A12+1</f>
        <v/>
      </c>
      <c r="B14" s="24" t="inlineStr">
        <is>
          <t>DAY</t>
        </is>
      </c>
      <c r="C14" s="14">
        <f>D13</f>
        <v/>
      </c>
      <c r="D14" s="14" t="n">
        <v>3958</v>
      </c>
      <c r="E14" s="14">
        <f>D14-C14</f>
        <v/>
      </c>
      <c r="F14" s="3" t="n"/>
      <c r="G14" s="3" t="n"/>
      <c r="H14" s="3" t="n"/>
      <c r="I14" s="34" t="n"/>
      <c r="J14" s="35" t="n"/>
      <c r="K14" s="15" t="n"/>
      <c r="L14" s="15" t="n"/>
      <c r="M14" s="36" t="n"/>
      <c r="N14" s="14">
        <f>O13</f>
        <v/>
      </c>
      <c r="O14" s="14" t="n">
        <v>56327</v>
      </c>
      <c r="P14" s="151">
        <f>O14-N14</f>
        <v/>
      </c>
      <c r="Q14" s="84" t="n"/>
      <c r="R14" s="42">
        <f>R12+1</f>
        <v/>
      </c>
      <c r="S14" s="24" t="inlineStr">
        <is>
          <t>DAY</t>
        </is>
      </c>
      <c r="T14" s="14">
        <f>U13</f>
        <v/>
      </c>
      <c r="U14" s="14" t="n">
        <v>2592</v>
      </c>
      <c r="V14" s="14">
        <f>U14-T14</f>
        <v/>
      </c>
      <c r="W14" s="3" t="n"/>
      <c r="X14" s="3" t="n"/>
      <c r="Y14" s="3" t="n"/>
      <c r="Z14" s="4" t="n"/>
      <c r="AA14" s="35" t="n"/>
      <c r="AB14" s="15" t="n"/>
      <c r="AC14" s="15" t="n"/>
      <c r="AD14" s="36" t="n"/>
      <c r="AE14" s="85">
        <f>AF13</f>
        <v/>
      </c>
      <c r="AF14" s="85" t="n">
        <v>42013</v>
      </c>
      <c r="AG14" s="151">
        <f>AF14-AE14</f>
        <v/>
      </c>
    </row>
    <row r="15">
      <c r="A15" s="42">
        <f>A14</f>
        <v/>
      </c>
      <c r="B15" s="24" t="inlineStr">
        <is>
          <t>NIGHT</t>
        </is>
      </c>
      <c r="C15" s="14">
        <f>D14</f>
        <v/>
      </c>
      <c r="D15" s="14" t="n">
        <v>3962</v>
      </c>
      <c r="E15" s="14">
        <f>D15-C15</f>
        <v/>
      </c>
      <c r="F15" s="3" t="n"/>
      <c r="G15" s="3" t="n"/>
      <c r="H15" s="3" t="n"/>
      <c r="I15" s="34" t="n"/>
      <c r="J15" s="32" t="n"/>
      <c r="K15" s="3" t="n"/>
      <c r="L15" s="3" t="n"/>
      <c r="M15" s="19" t="n"/>
      <c r="N15" s="14">
        <f>O14</f>
        <v/>
      </c>
      <c r="O15" s="14" t="n">
        <v>56372</v>
      </c>
      <c r="P15" s="151">
        <f>O15-N15</f>
        <v/>
      </c>
      <c r="Q15" s="84" t="n"/>
      <c r="R15" s="42">
        <f>R14</f>
        <v/>
      </c>
      <c r="S15" s="24" t="inlineStr">
        <is>
          <t>NIGHT</t>
        </is>
      </c>
      <c r="T15" s="14">
        <f>U14</f>
        <v/>
      </c>
      <c r="U15" s="14" t="n">
        <v>2595</v>
      </c>
      <c r="V15" s="14">
        <f>U15-T15</f>
        <v/>
      </c>
      <c r="W15" s="3" t="n"/>
      <c r="X15" s="3" t="n"/>
      <c r="Y15" s="3" t="n"/>
      <c r="Z15" s="4" t="n"/>
      <c r="AA15" s="32" t="n"/>
      <c r="AB15" s="3" t="n"/>
      <c r="AC15" s="3" t="n"/>
      <c r="AD15" s="19" t="n"/>
      <c r="AE15" s="85">
        <f>AF14</f>
        <v/>
      </c>
      <c r="AF15" s="85" t="n">
        <v>42076</v>
      </c>
      <c r="AG15" s="151">
        <f>AF15-AE15</f>
        <v/>
      </c>
    </row>
    <row r="16" customFormat="1" s="80">
      <c r="A16" s="42">
        <f>A14+1</f>
        <v/>
      </c>
      <c r="B16" s="24" t="inlineStr">
        <is>
          <t>DAY</t>
        </is>
      </c>
      <c r="C16" s="14">
        <f>D15</f>
        <v/>
      </c>
      <c r="D16" s="14" t="n">
        <v>3966</v>
      </c>
      <c r="E16" s="14">
        <f>D16-C16</f>
        <v/>
      </c>
      <c r="F16" s="3" t="n">
        <v>343</v>
      </c>
      <c r="G16" s="3" t="n">
        <v>3962</v>
      </c>
      <c r="H16" s="3">
        <f>G16-G10</f>
        <v/>
      </c>
      <c r="I16" s="34">
        <f>F16/H16</f>
        <v/>
      </c>
      <c r="J16" s="32" t="n"/>
      <c r="K16" s="3" t="n"/>
      <c r="L16" s="3" t="n"/>
      <c r="M16" s="19" t="n"/>
      <c r="N16" s="14">
        <f>O15</f>
        <v/>
      </c>
      <c r="O16" s="14" t="n">
        <v>56446</v>
      </c>
      <c r="P16" s="151">
        <f>O16-N16</f>
        <v/>
      </c>
      <c r="Q16" s="84" t="n"/>
      <c r="R16" s="42">
        <f>R14+1</f>
        <v/>
      </c>
      <c r="S16" s="24" t="inlineStr">
        <is>
          <t>DAY</t>
        </is>
      </c>
      <c r="T16" s="14">
        <f>U15</f>
        <v/>
      </c>
      <c r="U16" s="14" t="n">
        <v>2600</v>
      </c>
      <c r="V16" s="14">
        <f>U16-T16</f>
        <v/>
      </c>
      <c r="W16" s="3" t="n">
        <v>500</v>
      </c>
      <c r="X16" s="3" t="n">
        <v>2598</v>
      </c>
      <c r="Y16" s="3">
        <f>X16-X12</f>
        <v/>
      </c>
      <c r="Z16" s="4">
        <f>W16/Y16</f>
        <v/>
      </c>
      <c r="AA16" s="32" t="n"/>
      <c r="AB16" s="3" t="n"/>
      <c r="AC16" s="3" t="n"/>
      <c r="AD16" s="19" t="n"/>
      <c r="AE16" s="85">
        <f>AF15</f>
        <v/>
      </c>
      <c r="AF16" s="85" t="n">
        <v>42148</v>
      </c>
      <c r="AG16" s="151">
        <f>AF16-AE16</f>
        <v/>
      </c>
    </row>
    <row r="17" customFormat="1" s="80">
      <c r="A17" s="42">
        <f>A16</f>
        <v/>
      </c>
      <c r="B17" s="24" t="inlineStr">
        <is>
          <t>NIGHT</t>
        </is>
      </c>
      <c r="C17" s="14">
        <f>D16</f>
        <v/>
      </c>
      <c r="D17" s="14" t="n">
        <v>3973</v>
      </c>
      <c r="E17" s="14">
        <f>D17-C17</f>
        <v/>
      </c>
      <c r="F17" s="3" t="n"/>
      <c r="G17" s="3" t="n"/>
      <c r="H17" s="3" t="n"/>
      <c r="I17" s="34" t="n"/>
      <c r="J17" s="32" t="n"/>
      <c r="K17" s="3" t="n"/>
      <c r="L17" s="3" t="n"/>
      <c r="M17" s="19" t="n"/>
      <c r="N17" s="14">
        <f>O16</f>
        <v/>
      </c>
      <c r="O17" s="14" t="n">
        <v>56547</v>
      </c>
      <c r="P17" s="151">
        <f>O17-N17</f>
        <v/>
      </c>
      <c r="Q17" s="84" t="n"/>
      <c r="R17" s="42">
        <f>R16</f>
        <v/>
      </c>
      <c r="S17" s="24" t="inlineStr">
        <is>
          <t>NIGHT</t>
        </is>
      </c>
      <c r="T17" s="14">
        <f>U16</f>
        <v/>
      </c>
      <c r="U17" s="14" t="n">
        <v>2609</v>
      </c>
      <c r="V17" s="14">
        <f>U17-T17</f>
        <v/>
      </c>
      <c r="W17" s="3" t="n"/>
      <c r="X17" s="3" t="n"/>
      <c r="Y17" s="3" t="n"/>
      <c r="Z17" s="4" t="n"/>
      <c r="AA17" s="33" t="n"/>
      <c r="AB17" s="4" t="n"/>
      <c r="AC17" s="4" t="n"/>
      <c r="AD17" s="34" t="n"/>
      <c r="AE17" s="85">
        <f>AF16</f>
        <v/>
      </c>
      <c r="AF17" s="85" t="n">
        <v>42240</v>
      </c>
      <c r="AG17" s="151">
        <f>AF17-AE17</f>
        <v/>
      </c>
    </row>
    <row r="18">
      <c r="A18" s="42">
        <f>A16+1</f>
        <v/>
      </c>
      <c r="B18" s="24" t="inlineStr">
        <is>
          <t>DAY</t>
        </is>
      </c>
      <c r="C18" s="14">
        <f>D17</f>
        <v/>
      </c>
      <c r="D18" s="14" t="n">
        <v>3980</v>
      </c>
      <c r="E18" s="14">
        <f>D18-C18</f>
        <v/>
      </c>
      <c r="F18" s="3" t="n"/>
      <c r="G18" s="3" t="n"/>
      <c r="H18" s="3" t="n"/>
      <c r="I18" s="34" t="n"/>
      <c r="J18" s="32" t="n"/>
      <c r="K18" s="3" t="n"/>
      <c r="L18" s="3" t="n"/>
      <c r="M18" s="19" t="n"/>
      <c r="N18" s="14">
        <f>O17</f>
        <v/>
      </c>
      <c r="O18" s="14" t="n">
        <v>56655</v>
      </c>
      <c r="P18" s="151">
        <f>O18-N18</f>
        <v/>
      </c>
      <c r="Q18" s="84" t="n"/>
      <c r="R18" s="42">
        <f>R16+1</f>
        <v/>
      </c>
      <c r="S18" s="24" t="inlineStr">
        <is>
          <t>DAY</t>
        </is>
      </c>
      <c r="T18" s="14">
        <f>U17</f>
        <v/>
      </c>
      <c r="U18" s="14" t="n">
        <v>2617</v>
      </c>
      <c r="V18" s="14">
        <f>U18-T18</f>
        <v/>
      </c>
      <c r="W18" s="3" t="n"/>
      <c r="X18" s="3" t="n"/>
      <c r="Y18" s="3" t="n"/>
      <c r="Z18" s="4" t="n"/>
      <c r="AA18" s="50" t="n"/>
      <c r="AB18" s="14" t="n"/>
      <c r="AC18" s="14" t="n"/>
      <c r="AD18" s="151" t="n"/>
      <c r="AE18" s="85">
        <f>AF17</f>
        <v/>
      </c>
      <c r="AF18" s="85" t="n">
        <v>42293</v>
      </c>
      <c r="AG18" s="151">
        <f>AF18-AE18</f>
        <v/>
      </c>
    </row>
    <row r="19">
      <c r="A19" s="42">
        <f>A18</f>
        <v/>
      </c>
      <c r="B19" s="24" t="inlineStr">
        <is>
          <t>NIGHT</t>
        </is>
      </c>
      <c r="C19" s="14">
        <f>D18</f>
        <v/>
      </c>
      <c r="D19" s="14" t="n">
        <v>3985</v>
      </c>
      <c r="E19" s="14">
        <f>D19-C19</f>
        <v/>
      </c>
      <c r="F19" s="3" t="n"/>
      <c r="G19" s="3" t="n"/>
      <c r="H19" s="3" t="n"/>
      <c r="I19" s="34" t="n"/>
      <c r="J19" s="32" t="n"/>
      <c r="K19" s="3" t="n"/>
      <c r="L19" s="3" t="n"/>
      <c r="M19" s="19" t="n"/>
      <c r="N19" s="14">
        <f>O18</f>
        <v/>
      </c>
      <c r="O19" s="14" t="n">
        <v>56719</v>
      </c>
      <c r="P19" s="151">
        <f>O19-N19</f>
        <v/>
      </c>
      <c r="Q19" s="84" t="n"/>
      <c r="R19" s="42">
        <f>R18</f>
        <v/>
      </c>
      <c r="S19" s="24" t="inlineStr">
        <is>
          <t>NIGHT</t>
        </is>
      </c>
      <c r="T19" s="14">
        <f>U18</f>
        <v/>
      </c>
      <c r="U19" s="14" t="n">
        <v>2621</v>
      </c>
      <c r="V19" s="14">
        <f>U19-T19</f>
        <v/>
      </c>
      <c r="W19" s="3" t="n"/>
      <c r="X19" s="3" t="n"/>
      <c r="Y19" s="3" t="n"/>
      <c r="Z19" s="4" t="n"/>
      <c r="AA19" s="61" t="n"/>
      <c r="AB19" s="62" t="n"/>
      <c r="AC19" s="62" t="n"/>
      <c r="AD19" s="151" t="n"/>
      <c r="AE19" s="85">
        <f>AF18</f>
        <v/>
      </c>
      <c r="AF19" s="85" t="n">
        <v>42443</v>
      </c>
      <c r="AG19" s="151">
        <f>AF19-AE19</f>
        <v/>
      </c>
    </row>
    <row r="20">
      <c r="A20" s="42">
        <f>A18+1</f>
        <v/>
      </c>
      <c r="B20" s="24" t="inlineStr">
        <is>
          <t>DAY</t>
        </is>
      </c>
      <c r="C20" s="14">
        <f>D19</f>
        <v/>
      </c>
      <c r="D20" s="14" t="n">
        <v>3992</v>
      </c>
      <c r="E20" s="14">
        <f>D20-C20</f>
        <v/>
      </c>
      <c r="F20" s="3" t="n">
        <v>300</v>
      </c>
      <c r="G20" s="3" t="n">
        <v>3988</v>
      </c>
      <c r="H20" s="3">
        <f>G20-G16</f>
        <v/>
      </c>
      <c r="I20" s="34">
        <f>F20/H20</f>
        <v/>
      </c>
      <c r="J20" s="61" t="n">
        <v>0.2916666666666667</v>
      </c>
      <c r="K20" s="62" t="n">
        <v>0.7916666666666666</v>
      </c>
      <c r="L20" s="62">
        <f>K20-J20</f>
        <v/>
      </c>
      <c r="M20" s="151" t="inlineStr">
        <is>
          <t>No Operator</t>
        </is>
      </c>
      <c r="N20" s="14">
        <f>O19</f>
        <v/>
      </c>
      <c r="O20" s="14" t="n">
        <v>56793</v>
      </c>
      <c r="P20" s="151">
        <f>O20-N20</f>
        <v/>
      </c>
      <c r="Q20" s="84" t="n"/>
      <c r="R20" s="42">
        <f>R18+1</f>
        <v/>
      </c>
      <c r="S20" s="24" t="inlineStr">
        <is>
          <t>DAY</t>
        </is>
      </c>
      <c r="T20" s="14">
        <f>U19</f>
        <v/>
      </c>
      <c r="U20" s="14" t="n">
        <v>2623</v>
      </c>
      <c r="V20" s="14">
        <f>U20-T20</f>
        <v/>
      </c>
      <c r="W20" s="3" t="n">
        <v>300</v>
      </c>
      <c r="X20" s="3" t="n">
        <v>2623</v>
      </c>
      <c r="Y20" s="3">
        <f>X20-X16</f>
        <v/>
      </c>
      <c r="Z20" s="4">
        <f>W20/Y20</f>
        <v/>
      </c>
      <c r="AA20" s="33" t="n"/>
      <c r="AB20" s="4" t="n"/>
      <c r="AC20" s="4" t="n"/>
      <c r="AD20" s="34" t="n"/>
      <c r="AE20" s="85">
        <f>AF19</f>
        <v/>
      </c>
      <c r="AF20" s="85" t="n">
        <v>42463</v>
      </c>
      <c r="AG20" s="151">
        <f>AF20-AE20</f>
        <v/>
      </c>
    </row>
    <row r="21">
      <c r="A21" s="42">
        <f>A20</f>
        <v/>
      </c>
      <c r="B21" s="24" t="inlineStr">
        <is>
          <t>NIGHT</t>
        </is>
      </c>
      <c r="C21" s="14">
        <f>D20</f>
        <v/>
      </c>
      <c r="D21" s="14" t="n">
        <v>3992</v>
      </c>
      <c r="E21" s="14">
        <f>D21-C21</f>
        <v/>
      </c>
      <c r="F21" s="3" t="n"/>
      <c r="G21" s="3" t="n"/>
      <c r="H21" s="3" t="n"/>
      <c r="I21" s="34" t="n"/>
      <c r="J21" s="32" t="n"/>
      <c r="K21" s="3" t="n"/>
      <c r="L21" s="3" t="n"/>
      <c r="M21" s="19" t="n"/>
      <c r="N21" s="14">
        <f>O20</f>
        <v/>
      </c>
      <c r="O21" s="14" t="n">
        <v>56793</v>
      </c>
      <c r="P21" s="151">
        <f>O21-N21</f>
        <v/>
      </c>
      <c r="Q21" s="84" t="n"/>
      <c r="R21" s="42">
        <f>R20</f>
        <v/>
      </c>
      <c r="S21" s="24" t="inlineStr">
        <is>
          <t>NIGHT</t>
        </is>
      </c>
      <c r="T21" s="14">
        <f>U20</f>
        <v/>
      </c>
      <c r="U21" s="14" t="n">
        <v>2631</v>
      </c>
      <c r="V21" s="14">
        <f>U21-T21</f>
        <v/>
      </c>
      <c r="W21" s="3" t="n"/>
      <c r="X21" s="3" t="n"/>
      <c r="Y21" s="3" t="n"/>
      <c r="Z21" s="15" t="n"/>
      <c r="AA21" s="50" t="n"/>
      <c r="AB21" s="14" t="n"/>
      <c r="AC21" s="14" t="n"/>
      <c r="AD21" s="151" t="n"/>
      <c r="AE21" s="85">
        <f>AF20</f>
        <v/>
      </c>
      <c r="AF21" s="85" t="n">
        <v>42627</v>
      </c>
      <c r="AG21" s="151">
        <f>AF21-AE21</f>
        <v/>
      </c>
    </row>
    <row r="22">
      <c r="A22" s="42">
        <f>A20+1</f>
        <v/>
      </c>
      <c r="B22" s="24" t="inlineStr">
        <is>
          <t>DAY</t>
        </is>
      </c>
      <c r="C22" s="14">
        <f>D21</f>
        <v/>
      </c>
      <c r="D22" s="14" t="n">
        <v>3998</v>
      </c>
      <c r="E22" s="14">
        <f>D22-C22</f>
        <v/>
      </c>
      <c r="F22" s="14" t="n"/>
      <c r="G22" s="86" t="n"/>
      <c r="H22" s="3" t="n"/>
      <c r="I22" s="34" t="n"/>
      <c r="J22" s="32" t="n"/>
      <c r="K22" s="3" t="n"/>
      <c r="L22" s="3" t="n"/>
      <c r="M22" s="19" t="n"/>
      <c r="N22" s="14">
        <f>O21</f>
        <v/>
      </c>
      <c r="O22" s="14" t="n">
        <v>56880</v>
      </c>
      <c r="P22" s="151">
        <f>O22-N22</f>
        <v/>
      </c>
      <c r="Q22" s="84" t="n"/>
      <c r="R22" s="42">
        <f>R20+1</f>
        <v/>
      </c>
      <c r="S22" s="24" t="inlineStr">
        <is>
          <t>DAY</t>
        </is>
      </c>
      <c r="T22" s="14">
        <f>U21</f>
        <v/>
      </c>
      <c r="U22" s="14" t="n">
        <v>2636</v>
      </c>
      <c r="V22" s="14">
        <f>U22-T22</f>
        <v/>
      </c>
      <c r="W22" s="3" t="n"/>
      <c r="X22" s="3" t="n"/>
      <c r="Y22" s="3" t="n"/>
      <c r="Z22" s="4" t="n"/>
      <c r="AA22" s="35" t="n"/>
      <c r="AB22" s="15" t="n"/>
      <c r="AC22" s="15" t="n"/>
      <c r="AD22" s="36" t="n"/>
      <c r="AE22" s="85">
        <f>AF21</f>
        <v/>
      </c>
      <c r="AF22" s="85" t="n">
        <v>42720</v>
      </c>
      <c r="AG22" s="151">
        <f>AF22-AE22</f>
        <v/>
      </c>
    </row>
    <row r="23">
      <c r="A23" s="42">
        <f>A22</f>
        <v/>
      </c>
      <c r="B23" s="24" t="inlineStr">
        <is>
          <t>NIGHT</t>
        </is>
      </c>
      <c r="C23" s="14">
        <f>D22</f>
        <v/>
      </c>
      <c r="D23" s="14" t="n">
        <v>3999</v>
      </c>
      <c r="E23" s="14">
        <f>D23-C23</f>
        <v/>
      </c>
      <c r="F23" s="3" t="n"/>
      <c r="G23" s="3" t="n"/>
      <c r="H23" s="3" t="n"/>
      <c r="I23" s="34" t="n"/>
      <c r="J23" s="50" t="n"/>
      <c r="K23" s="14" t="n"/>
      <c r="L23" s="14" t="n"/>
      <c r="M23" s="151" t="n"/>
      <c r="N23" s="14">
        <f>O22</f>
        <v/>
      </c>
      <c r="O23" s="14" t="n">
        <v>56881</v>
      </c>
      <c r="P23" s="151">
        <f>O23-N23</f>
        <v/>
      </c>
      <c r="Q23" s="84" t="n"/>
      <c r="R23" s="42">
        <f>R22</f>
        <v/>
      </c>
      <c r="S23" s="24" t="inlineStr">
        <is>
          <t>NIGHT</t>
        </is>
      </c>
      <c r="T23" s="14">
        <f>U22</f>
        <v/>
      </c>
      <c r="U23" s="14" t="n">
        <v>2642</v>
      </c>
      <c r="V23" s="14">
        <f>U23-T23</f>
        <v/>
      </c>
      <c r="W23" s="3" t="n"/>
      <c r="X23" s="3" t="n"/>
      <c r="Y23" s="3" t="n"/>
      <c r="Z23" s="4" t="n"/>
      <c r="AA23" s="50" t="n"/>
      <c r="AB23" s="14" t="n"/>
      <c r="AC23" s="14" t="n"/>
      <c r="AD23" s="151" t="n"/>
      <c r="AE23" s="85">
        <f>AF22</f>
        <v/>
      </c>
      <c r="AF23" s="85" t="n">
        <v>42858</v>
      </c>
      <c r="AG23" s="151">
        <f>AF23-AE23</f>
        <v/>
      </c>
    </row>
    <row r="24">
      <c r="A24" s="42">
        <f>A22+1</f>
        <v/>
      </c>
      <c r="B24" s="24" t="inlineStr">
        <is>
          <t>DAY</t>
        </is>
      </c>
      <c r="C24" s="14">
        <f>D23</f>
        <v/>
      </c>
      <c r="D24" s="14" t="n">
        <v>4005</v>
      </c>
      <c r="E24" s="14">
        <f>D24-C24</f>
        <v/>
      </c>
      <c r="F24" s="3" t="n">
        <v>200</v>
      </c>
      <c r="G24" s="3" t="n">
        <v>4003</v>
      </c>
      <c r="H24" s="3">
        <f>G24-G20</f>
        <v/>
      </c>
      <c r="I24" s="34">
        <f>F24/H24</f>
        <v/>
      </c>
      <c r="J24" s="50" t="n"/>
      <c r="K24" s="14" t="n"/>
      <c r="L24" s="14" t="n"/>
      <c r="M24" s="151" t="n"/>
      <c r="N24" s="14">
        <f>O23</f>
        <v/>
      </c>
      <c r="O24" s="14" t="n">
        <v>56980</v>
      </c>
      <c r="P24" s="151">
        <f>O24-N24</f>
        <v/>
      </c>
      <c r="Q24" s="84" t="n"/>
      <c r="R24" s="42">
        <f>R22+1</f>
        <v/>
      </c>
      <c r="S24" s="24" t="inlineStr">
        <is>
          <t>DAY</t>
        </is>
      </c>
      <c r="T24" s="14">
        <f>U23</f>
        <v/>
      </c>
      <c r="U24" s="14" t="n">
        <v>2646</v>
      </c>
      <c r="V24" s="14">
        <f>U24-T24</f>
        <v/>
      </c>
      <c r="W24" s="3" t="n">
        <v>300</v>
      </c>
      <c r="X24" s="3" t="n">
        <v>2645</v>
      </c>
      <c r="Y24" s="3">
        <f>X24-X20</f>
        <v/>
      </c>
      <c r="Z24" s="4">
        <f>W24/Y24</f>
        <v/>
      </c>
      <c r="AA24" s="50" t="n"/>
      <c r="AB24" s="14" t="n"/>
      <c r="AC24" s="14" t="n"/>
      <c r="AD24" s="151" t="n"/>
      <c r="AE24" s="85">
        <f>AF23</f>
        <v/>
      </c>
      <c r="AF24" s="85" t="n">
        <v>42906</v>
      </c>
      <c r="AG24" s="151">
        <f>AF24-AE24</f>
        <v/>
      </c>
    </row>
    <row r="25">
      <c r="A25" s="42">
        <f>A24</f>
        <v/>
      </c>
      <c r="B25" s="24" t="inlineStr">
        <is>
          <t>NIGHT</t>
        </is>
      </c>
      <c r="C25" s="14">
        <f>D24</f>
        <v/>
      </c>
      <c r="D25" s="14" t="n">
        <v>4015</v>
      </c>
      <c r="E25" s="14">
        <f>D25-C25</f>
        <v/>
      </c>
      <c r="F25" s="3" t="n"/>
      <c r="G25" s="3" t="n"/>
      <c r="H25" s="3" t="n"/>
      <c r="I25" s="34" t="n"/>
      <c r="J25" s="50" t="n"/>
      <c r="K25" s="14" t="n"/>
      <c r="L25" s="14" t="n"/>
      <c r="M25" s="151" t="n"/>
      <c r="N25" s="14">
        <f>O24</f>
        <v/>
      </c>
      <c r="O25" s="14" t="n">
        <v>57128</v>
      </c>
      <c r="P25" s="151">
        <f>O25-N25</f>
        <v/>
      </c>
      <c r="Q25" s="84" t="n"/>
      <c r="R25" s="42">
        <f>R24</f>
        <v/>
      </c>
      <c r="S25" s="24" t="inlineStr">
        <is>
          <t>NIGHT</t>
        </is>
      </c>
      <c r="T25" s="14">
        <f>U24</f>
        <v/>
      </c>
      <c r="U25" s="14" t="n">
        <v>2652</v>
      </c>
      <c r="V25" s="14">
        <f>U25-T25</f>
        <v/>
      </c>
      <c r="W25" s="3" t="n"/>
      <c r="X25" s="3" t="n"/>
      <c r="Y25" s="3" t="n"/>
      <c r="Z25" s="4" t="n"/>
      <c r="AA25" s="50" t="n"/>
      <c r="AB25" s="14" t="n"/>
      <c r="AC25" s="14" t="n"/>
      <c r="AD25" s="151" t="n"/>
      <c r="AE25" s="85">
        <f>AF24</f>
        <v/>
      </c>
      <c r="AF25" s="85" t="n">
        <v>43025</v>
      </c>
      <c r="AG25" s="151">
        <f>AF25-AE25</f>
        <v/>
      </c>
    </row>
    <row r="26">
      <c r="A26" s="42">
        <f>A24+1</f>
        <v/>
      </c>
      <c r="B26" s="24" t="inlineStr">
        <is>
          <t>DAY</t>
        </is>
      </c>
      <c r="C26" s="14">
        <f>D25</f>
        <v/>
      </c>
      <c r="D26" s="14" t="n">
        <v>4025</v>
      </c>
      <c r="E26" s="14">
        <f>D26-C26</f>
        <v/>
      </c>
      <c r="F26" s="3" t="n"/>
      <c r="G26" s="3" t="n"/>
      <c r="H26" s="3" t="n"/>
      <c r="I26" s="34" t="n"/>
      <c r="J26" s="35" t="n"/>
      <c r="K26" s="15" t="n"/>
      <c r="L26" s="15" t="n"/>
      <c r="M26" s="36" t="n"/>
      <c r="N26" s="14">
        <f>O25</f>
        <v/>
      </c>
      <c r="O26" s="14" t="n">
        <v>57323</v>
      </c>
      <c r="P26" s="151">
        <f>O26-N26</f>
        <v/>
      </c>
      <c r="Q26" s="84" t="n"/>
      <c r="R26" s="42">
        <f>R24+1</f>
        <v/>
      </c>
      <c r="S26" s="24" t="inlineStr">
        <is>
          <t>DAY</t>
        </is>
      </c>
      <c r="T26" s="14">
        <f>U25</f>
        <v/>
      </c>
      <c r="U26" s="14" t="n">
        <v>2660</v>
      </c>
      <c r="V26" s="14">
        <f>U26-T26</f>
        <v/>
      </c>
      <c r="W26" s="3" t="n"/>
      <c r="X26" s="3" t="n"/>
      <c r="Y26" s="3" t="n"/>
      <c r="Z26" s="4" t="n"/>
      <c r="AA26" s="35" t="n"/>
      <c r="AB26" s="15" t="n"/>
      <c r="AC26" s="15" t="n"/>
      <c r="AD26" s="36" t="n"/>
      <c r="AE26" s="85">
        <f>AF25</f>
        <v/>
      </c>
      <c r="AF26" s="85" t="n">
        <v>43054</v>
      </c>
      <c r="AG26" s="151">
        <f>AF26-AE26</f>
        <v/>
      </c>
    </row>
    <row r="27">
      <c r="A27" s="42">
        <f>A26</f>
        <v/>
      </c>
      <c r="B27" s="24" t="inlineStr">
        <is>
          <t>NIGHT</t>
        </is>
      </c>
      <c r="C27" s="14">
        <f>D26</f>
        <v/>
      </c>
      <c r="D27" s="14" t="n">
        <v>4032</v>
      </c>
      <c r="E27" s="14">
        <f>D27-C27</f>
        <v/>
      </c>
      <c r="F27" s="3" t="n"/>
      <c r="G27" s="3" t="n"/>
      <c r="H27" s="3" t="n"/>
      <c r="I27" s="34" t="n"/>
      <c r="J27" s="61" t="n"/>
      <c r="K27" s="62" t="n"/>
      <c r="L27" s="62" t="n"/>
      <c r="M27" s="151" t="n"/>
      <c r="N27" s="14">
        <f>O26</f>
        <v/>
      </c>
      <c r="O27" s="14" t="n">
        <v>57385</v>
      </c>
      <c r="P27" s="151">
        <f>O27-N27</f>
        <v/>
      </c>
      <c r="Q27" s="84" t="n"/>
      <c r="R27" s="42">
        <f>R26</f>
        <v/>
      </c>
      <c r="S27" s="24" t="inlineStr">
        <is>
          <t>NIGHT</t>
        </is>
      </c>
      <c r="T27" s="14">
        <f>U26</f>
        <v/>
      </c>
      <c r="U27" s="14" t="n">
        <v>2668</v>
      </c>
      <c r="V27" s="14">
        <f>U27-T27</f>
        <v/>
      </c>
      <c r="W27" s="3" t="n"/>
      <c r="X27" s="3" t="n"/>
      <c r="Y27" s="3" t="n"/>
      <c r="Z27" s="4" t="n"/>
      <c r="AA27" s="50" t="n"/>
      <c r="AB27" s="14" t="n"/>
      <c r="AC27" s="14" t="n"/>
      <c r="AD27" s="151" t="n"/>
      <c r="AE27" s="85">
        <f>AF26</f>
        <v/>
      </c>
      <c r="AF27" s="14" t="n">
        <v>43243</v>
      </c>
      <c r="AG27" s="151">
        <f>AF27-AE27</f>
        <v/>
      </c>
    </row>
    <row r="28">
      <c r="A28" s="42">
        <f>A26+1</f>
        <v/>
      </c>
      <c r="B28" s="24" t="inlineStr">
        <is>
          <t>DAY</t>
        </is>
      </c>
      <c r="C28" s="14">
        <f>D27</f>
        <v/>
      </c>
      <c r="D28" s="14" t="n">
        <v>4036</v>
      </c>
      <c r="E28" s="14">
        <f>D28-C28</f>
        <v/>
      </c>
      <c r="F28" s="3" t="n">
        <v>300</v>
      </c>
      <c r="G28" s="3" t="n">
        <v>4032</v>
      </c>
      <c r="H28" s="3">
        <f>G28-G24</f>
        <v/>
      </c>
      <c r="I28" s="34">
        <f>F28/H28</f>
        <v/>
      </c>
      <c r="J28" s="61" t="n">
        <v>0.2916666666666667</v>
      </c>
      <c r="K28" s="62" t="n">
        <v>0.7916666666666666</v>
      </c>
      <c r="L28" s="62">
        <f>K28-J28</f>
        <v/>
      </c>
      <c r="M28" s="151" t="inlineStr">
        <is>
          <t>No Operator</t>
        </is>
      </c>
      <c r="N28" s="14">
        <f>O27</f>
        <v/>
      </c>
      <c r="O28" s="14" t="n">
        <v>57486</v>
      </c>
      <c r="P28" s="151">
        <f>O28-N28</f>
        <v/>
      </c>
      <c r="Q28" s="84" t="n"/>
      <c r="R28" s="42">
        <f>R26+1</f>
        <v/>
      </c>
      <c r="S28" s="24" t="inlineStr">
        <is>
          <t>DAY</t>
        </is>
      </c>
      <c r="T28" s="14">
        <f>U27</f>
        <v/>
      </c>
      <c r="U28" s="14" t="n">
        <v>2674</v>
      </c>
      <c r="V28" s="14">
        <f>U28-T28</f>
        <v/>
      </c>
      <c r="W28" s="3" t="n">
        <v>300</v>
      </c>
      <c r="X28" s="3" t="n">
        <v>2669</v>
      </c>
      <c r="Y28" s="3">
        <f>X28-X24</f>
        <v/>
      </c>
      <c r="Z28" s="4">
        <f>W28/Y28</f>
        <v/>
      </c>
      <c r="AA28" s="50" t="n"/>
      <c r="AB28" s="14" t="n"/>
      <c r="AC28" s="14" t="n"/>
      <c r="AD28" s="151" t="n"/>
      <c r="AE28" s="85">
        <f>AF27</f>
        <v/>
      </c>
      <c r="AF28" s="14" t="n">
        <v>43315</v>
      </c>
      <c r="AG28" s="151">
        <f>AF28-AE28</f>
        <v/>
      </c>
    </row>
    <row r="29">
      <c r="A29" s="42">
        <f>A28</f>
        <v/>
      </c>
      <c r="B29" s="24" t="inlineStr">
        <is>
          <t>NIGHT</t>
        </is>
      </c>
      <c r="C29" s="14">
        <f>D28</f>
        <v/>
      </c>
      <c r="D29" s="14" t="n">
        <v>4042</v>
      </c>
      <c r="E29" s="14">
        <f>D29-C29</f>
        <v/>
      </c>
      <c r="F29" s="3" t="n"/>
      <c r="G29" s="3" t="n"/>
      <c r="H29" s="3" t="n"/>
      <c r="I29" s="34" t="n"/>
      <c r="J29" s="50" t="n"/>
      <c r="K29" s="14" t="n"/>
      <c r="L29" s="14" t="n"/>
      <c r="M29" s="151" t="n"/>
      <c r="N29" s="14">
        <f>O28</f>
        <v/>
      </c>
      <c r="O29" s="14" t="n">
        <v>57537</v>
      </c>
      <c r="P29" s="151">
        <f>O29-N29</f>
        <v/>
      </c>
      <c r="Q29" s="84" t="n"/>
      <c r="R29" s="42">
        <f>R28</f>
        <v/>
      </c>
      <c r="S29" s="24" t="inlineStr">
        <is>
          <t>NIGHT</t>
        </is>
      </c>
      <c r="T29" s="14">
        <f>U28</f>
        <v/>
      </c>
      <c r="U29" s="14" t="n">
        <v>2679</v>
      </c>
      <c r="V29" s="14">
        <f>U29-T29</f>
        <v/>
      </c>
      <c r="W29" s="3" t="n"/>
      <c r="X29" s="3" t="n"/>
      <c r="Y29" s="3" t="n"/>
      <c r="Z29" s="4" t="n"/>
      <c r="AA29" s="50" t="n"/>
      <c r="AB29" s="14" t="n"/>
      <c r="AC29" s="14" t="n"/>
      <c r="AD29" s="151" t="n"/>
      <c r="AE29" s="85">
        <f>AF28</f>
        <v/>
      </c>
      <c r="AF29" s="14" t="n">
        <v>43431</v>
      </c>
      <c r="AG29" s="151">
        <f>AF29-AE29</f>
        <v/>
      </c>
    </row>
    <row r="30" customFormat="1" s="80">
      <c r="A30" s="42">
        <f>A28+1</f>
        <v/>
      </c>
      <c r="B30" s="24" t="inlineStr">
        <is>
          <t>DAY</t>
        </is>
      </c>
      <c r="C30" s="14">
        <f>D29</f>
        <v/>
      </c>
      <c r="D30" s="14" t="n">
        <v>4043</v>
      </c>
      <c r="E30" s="14">
        <f>D30-C30</f>
        <v/>
      </c>
      <c r="F30" s="3" t="n"/>
      <c r="G30" s="3" t="n"/>
      <c r="H30" s="3" t="n"/>
      <c r="I30" s="34" t="n"/>
      <c r="J30" s="67" t="n"/>
      <c r="K30" s="4" t="n"/>
      <c r="L30" s="69" t="n"/>
      <c r="M30" s="34" t="n"/>
      <c r="N30" s="14">
        <f>O29</f>
        <v/>
      </c>
      <c r="O30" s="14" t="n">
        <v>57572</v>
      </c>
      <c r="P30" s="151">
        <f>O30-N30</f>
        <v/>
      </c>
      <c r="Q30" s="84" t="n"/>
      <c r="R30" s="42">
        <f>R28+1</f>
        <v/>
      </c>
      <c r="S30" s="24" t="inlineStr">
        <is>
          <t>DAY</t>
        </is>
      </c>
      <c r="T30" s="14">
        <f>U29</f>
        <v/>
      </c>
      <c r="U30" s="14" t="n">
        <v>2685</v>
      </c>
      <c r="V30" s="14">
        <f>U30-T30</f>
        <v/>
      </c>
      <c r="W30" s="3" t="n">
        <v>350</v>
      </c>
      <c r="X30" s="3" t="n">
        <v>2679</v>
      </c>
      <c r="Y30" s="3">
        <f>X30-X28</f>
        <v/>
      </c>
      <c r="Z30" s="4">
        <f>W30/Y30</f>
        <v/>
      </c>
      <c r="AA30" s="33" t="n"/>
      <c r="AB30" s="4" t="n"/>
      <c r="AC30" s="4" t="n"/>
      <c r="AD30" s="34" t="n"/>
      <c r="AE30" s="85">
        <f>AF29</f>
        <v/>
      </c>
      <c r="AF30" s="14" t="n">
        <v>43497</v>
      </c>
      <c r="AG30" s="151">
        <f>AF30-AE30</f>
        <v/>
      </c>
    </row>
    <row r="31" customFormat="1" s="80">
      <c r="A31" s="42">
        <f>A30</f>
        <v/>
      </c>
      <c r="B31" s="24" t="inlineStr">
        <is>
          <t>NIGHT</t>
        </is>
      </c>
      <c r="C31" s="14">
        <f>D30</f>
        <v/>
      </c>
      <c r="D31" s="14" t="n">
        <v>4047</v>
      </c>
      <c r="E31" s="14">
        <f>D31-C31</f>
        <v/>
      </c>
      <c r="F31" s="3" t="n"/>
      <c r="G31" s="3" t="n"/>
      <c r="H31" s="3" t="n"/>
      <c r="I31" s="34" t="n"/>
      <c r="J31" s="66" t="n"/>
      <c r="K31" s="15" t="n"/>
      <c r="L31" s="68" t="n"/>
      <c r="M31" s="36" t="n"/>
      <c r="N31" s="14">
        <f>O30</f>
        <v/>
      </c>
      <c r="O31" s="14" t="n">
        <v>57637</v>
      </c>
      <c r="P31" s="151">
        <f>O31-N31</f>
        <v/>
      </c>
      <c r="Q31" s="84" t="n"/>
      <c r="R31" s="42">
        <f>R30</f>
        <v/>
      </c>
      <c r="S31" s="24" t="inlineStr">
        <is>
          <t>NIGHT</t>
        </is>
      </c>
      <c r="T31" s="14">
        <f>U30</f>
        <v/>
      </c>
      <c r="U31" s="14" t="n">
        <v>2693</v>
      </c>
      <c r="V31" s="14">
        <f>U31-T31</f>
        <v/>
      </c>
      <c r="W31" s="3" t="n"/>
      <c r="X31" s="3" t="n"/>
      <c r="Y31" s="3" t="n"/>
      <c r="Z31" s="4" t="n"/>
      <c r="AA31" s="35" t="n"/>
      <c r="AB31" s="15" t="n"/>
      <c r="AC31" s="15" t="n"/>
      <c r="AD31" s="36" t="n"/>
      <c r="AE31" s="85">
        <f>AF30</f>
        <v/>
      </c>
      <c r="AF31" s="14" t="n">
        <v>43658</v>
      </c>
      <c r="AG31" s="151">
        <f>AF31-AE31</f>
        <v/>
      </c>
    </row>
    <row r="32">
      <c r="A32" s="42">
        <f>A30+1</f>
        <v/>
      </c>
      <c r="B32" s="24" t="inlineStr">
        <is>
          <t>DAY</t>
        </is>
      </c>
      <c r="C32" s="14">
        <f>D31</f>
        <v/>
      </c>
      <c r="D32" s="14" t="n">
        <v>4050</v>
      </c>
      <c r="E32" s="14">
        <f>D32-C32</f>
        <v/>
      </c>
      <c r="F32" s="3" t="n"/>
      <c r="G32" s="3" t="n"/>
      <c r="H32" s="3" t="n"/>
      <c r="I32" s="34" t="n"/>
      <c r="J32" s="70" t="n"/>
      <c r="K32" s="44" t="n"/>
      <c r="L32" s="71" t="n"/>
      <c r="M32" s="36" t="n"/>
      <c r="N32" s="14">
        <f>O31</f>
        <v/>
      </c>
      <c r="O32" s="14" t="n">
        <v>57786</v>
      </c>
      <c r="P32" s="151">
        <f>O32-N32</f>
        <v/>
      </c>
      <c r="Q32" s="84" t="n"/>
      <c r="R32" s="42">
        <f>R30+1</f>
        <v/>
      </c>
      <c r="S32" s="24" t="inlineStr">
        <is>
          <t>DAY</t>
        </is>
      </c>
      <c r="T32" s="14">
        <f>U31</f>
        <v/>
      </c>
      <c r="U32" s="14" t="n">
        <v>2698</v>
      </c>
      <c r="V32" s="14">
        <f>U32-T32</f>
        <v/>
      </c>
      <c r="W32" s="3" t="n"/>
      <c r="X32" s="3" t="n"/>
      <c r="Y32" s="3" t="n"/>
      <c r="Z32" s="4" t="n"/>
      <c r="AA32" s="35" t="n"/>
      <c r="AB32" s="15" t="n"/>
      <c r="AC32" s="15" t="n"/>
      <c r="AD32" s="36" t="n"/>
      <c r="AE32" s="85">
        <f>AF31</f>
        <v/>
      </c>
      <c r="AF32" s="14" t="n">
        <v>43762</v>
      </c>
      <c r="AG32" s="151">
        <f>AF32-AE32</f>
        <v/>
      </c>
    </row>
    <row r="33">
      <c r="A33" s="42">
        <f>A32</f>
        <v/>
      </c>
      <c r="B33" s="24" t="inlineStr">
        <is>
          <t>NIGHT</t>
        </is>
      </c>
      <c r="C33" s="14">
        <f>D32</f>
        <v/>
      </c>
      <c r="D33" s="14" t="n">
        <v>4063</v>
      </c>
      <c r="E33" s="14">
        <f>D33-C33</f>
        <v/>
      </c>
      <c r="F33" s="3" t="n"/>
      <c r="G33" s="3" t="n"/>
      <c r="H33" s="3" t="n"/>
      <c r="I33" s="34" t="n"/>
      <c r="J33" s="70" t="n"/>
      <c r="K33" s="44" t="n"/>
      <c r="L33" s="71" t="n"/>
      <c r="M33" s="36" t="n"/>
      <c r="N33" s="14">
        <f>O32</f>
        <v/>
      </c>
      <c r="O33" s="14" t="n">
        <v>57867</v>
      </c>
      <c r="P33" s="151">
        <f>O33-N33</f>
        <v/>
      </c>
      <c r="Q33" s="84" t="n"/>
      <c r="R33" s="42">
        <f>R32</f>
        <v/>
      </c>
      <c r="S33" s="24" t="inlineStr">
        <is>
          <t>NIGHT</t>
        </is>
      </c>
      <c r="T33" s="14">
        <f>U32</f>
        <v/>
      </c>
      <c r="U33" s="14" t="n">
        <v>2705</v>
      </c>
      <c r="V33" s="14">
        <f>U33-T33</f>
        <v/>
      </c>
      <c r="W33" s="3" t="n"/>
      <c r="X33" s="3" t="n"/>
      <c r="Y33" s="3" t="n"/>
      <c r="Z33" s="4" t="n"/>
      <c r="AA33" s="43" t="n"/>
      <c r="AB33" s="44" t="n"/>
      <c r="AC33" s="44" t="n"/>
      <c r="AD33" s="36" t="n"/>
      <c r="AE33" s="85">
        <f>AF32</f>
        <v/>
      </c>
      <c r="AF33" s="14" t="n">
        <v>43869</v>
      </c>
      <c r="AG33" s="151">
        <f>AF33-AE33</f>
        <v/>
      </c>
    </row>
    <row r="34">
      <c r="A34" s="42">
        <f>A32+1</f>
        <v/>
      </c>
      <c r="B34" s="24" t="inlineStr">
        <is>
          <t>DAY</t>
        </is>
      </c>
      <c r="C34" s="14">
        <f>D33</f>
        <v/>
      </c>
      <c r="D34" s="14" t="n">
        <v>4070</v>
      </c>
      <c r="E34" s="14">
        <f>D34-C34</f>
        <v/>
      </c>
      <c r="F34" s="3" t="n">
        <v>300</v>
      </c>
      <c r="G34" s="3" t="n">
        <v>4065</v>
      </c>
      <c r="H34" s="3">
        <f>G34-G28</f>
        <v/>
      </c>
      <c r="I34" s="34">
        <f>F34/H34</f>
        <v/>
      </c>
      <c r="J34" s="70" t="n"/>
      <c r="K34" s="44" t="n"/>
      <c r="L34" s="71" t="n"/>
      <c r="M34" s="36" t="n"/>
      <c r="N34" s="14">
        <f>O33</f>
        <v/>
      </c>
      <c r="O34" s="14" t="n">
        <v>57956</v>
      </c>
      <c r="P34" s="151">
        <f>O34-N34</f>
        <v/>
      </c>
      <c r="Q34" s="84" t="n"/>
      <c r="R34" s="42">
        <f>R32+1</f>
        <v/>
      </c>
      <c r="S34" s="24" t="inlineStr">
        <is>
          <t>DAY</t>
        </is>
      </c>
      <c r="T34" s="14">
        <f>U33</f>
        <v/>
      </c>
      <c r="U34" s="14" t="n">
        <v>2712</v>
      </c>
      <c r="V34" s="14">
        <f>U34-T34</f>
        <v/>
      </c>
      <c r="W34" s="3" t="n">
        <v>300</v>
      </c>
      <c r="X34" s="3" t="n">
        <v>2707</v>
      </c>
      <c r="Y34" s="3">
        <f>X34-X30</f>
        <v/>
      </c>
      <c r="Z34" s="4">
        <f>W34/Y34</f>
        <v/>
      </c>
      <c r="AA34" s="43" t="n"/>
      <c r="AB34" s="44" t="n"/>
      <c r="AC34" s="44" t="n"/>
      <c r="AD34" s="36" t="n"/>
      <c r="AE34" s="85">
        <f>AF33</f>
        <v/>
      </c>
      <c r="AF34" s="14" t="n">
        <v>43917</v>
      </c>
      <c r="AG34" s="151">
        <f>AF34-AE34</f>
        <v/>
      </c>
    </row>
    <row r="35">
      <c r="A35" s="42">
        <f>A34</f>
        <v/>
      </c>
      <c r="B35" s="24" t="inlineStr">
        <is>
          <t>NIGHT</t>
        </is>
      </c>
      <c r="C35" s="14">
        <f>D34</f>
        <v/>
      </c>
      <c r="D35" s="14" t="n">
        <v>4077</v>
      </c>
      <c r="E35" s="14">
        <f>D35-C35</f>
        <v/>
      </c>
      <c r="F35" s="3" t="n"/>
      <c r="G35" s="3" t="n"/>
      <c r="H35" s="3" t="n"/>
      <c r="I35" s="34" t="n"/>
      <c r="J35" s="35" t="n"/>
      <c r="K35" s="15" t="n"/>
      <c r="L35" s="15" t="n"/>
      <c r="M35" s="36" t="n"/>
      <c r="N35" s="14">
        <f>O34</f>
        <v/>
      </c>
      <c r="O35" s="14" t="n">
        <v>58068</v>
      </c>
      <c r="P35" s="151">
        <f>O35-N35</f>
        <v/>
      </c>
      <c r="Q35" s="84" t="n"/>
      <c r="R35" s="42">
        <f>R34</f>
        <v/>
      </c>
      <c r="S35" s="24" t="inlineStr">
        <is>
          <t>NIGHT</t>
        </is>
      </c>
      <c r="T35" s="14">
        <f>U34</f>
        <v/>
      </c>
      <c r="U35" s="14" t="n">
        <v>2713</v>
      </c>
      <c r="V35" s="14">
        <f>U35-T35</f>
        <v/>
      </c>
      <c r="W35" s="3" t="n"/>
      <c r="X35" s="3" t="n"/>
      <c r="Y35" s="3" t="n"/>
      <c r="Z35" s="4" t="n"/>
      <c r="AA35" s="35" t="n"/>
      <c r="AB35" s="15" t="n"/>
      <c r="AC35" s="15" t="n"/>
      <c r="AD35" s="36" t="n"/>
      <c r="AE35" s="85">
        <f>AF34</f>
        <v/>
      </c>
      <c r="AF35" s="14" t="n">
        <v>43995</v>
      </c>
      <c r="AG35" s="151">
        <f>AF35-AE35</f>
        <v/>
      </c>
    </row>
    <row r="36">
      <c r="A36" s="42">
        <f>A34+1</f>
        <v/>
      </c>
      <c r="B36" s="24" t="inlineStr">
        <is>
          <t>DAY</t>
        </is>
      </c>
      <c r="C36" s="14">
        <f>D35</f>
        <v/>
      </c>
      <c r="D36" s="14" t="n">
        <v>4082</v>
      </c>
      <c r="E36" s="14">
        <f>D36-C36</f>
        <v/>
      </c>
      <c r="F36" s="3" t="n">
        <v>255</v>
      </c>
      <c r="G36" s="3" t="n">
        <v>4078</v>
      </c>
      <c r="H36" s="3">
        <f>G36-G34</f>
        <v/>
      </c>
      <c r="I36" s="34">
        <f>F36/H36</f>
        <v/>
      </c>
      <c r="J36" s="35" t="n"/>
      <c r="K36" s="15" t="n"/>
      <c r="L36" s="15" t="n"/>
      <c r="M36" s="36" t="n"/>
      <c r="N36" s="14">
        <f>O35</f>
        <v/>
      </c>
      <c r="O36" s="14" t="n">
        <v>58093</v>
      </c>
      <c r="P36" s="151">
        <f>O36-N36</f>
        <v/>
      </c>
      <c r="Q36" s="84" t="n"/>
      <c r="R36" s="42">
        <f>R34+1</f>
        <v/>
      </c>
      <c r="S36" s="24" t="inlineStr">
        <is>
          <t>DAY</t>
        </is>
      </c>
      <c r="T36" s="14">
        <f>U35</f>
        <v/>
      </c>
      <c r="U36" s="14" t="n">
        <v>2721</v>
      </c>
      <c r="V36" s="14">
        <f>U36-T36</f>
        <v/>
      </c>
      <c r="W36" s="3" t="n">
        <v>310</v>
      </c>
      <c r="X36" s="3" t="n">
        <v>2715</v>
      </c>
      <c r="Y36" s="3">
        <f>X36-X34</f>
        <v/>
      </c>
      <c r="Z36" s="4">
        <f>W36/Y36</f>
        <v/>
      </c>
      <c r="AA36" s="35" t="n"/>
      <c r="AB36" s="15" t="n"/>
      <c r="AC36" s="15" t="n"/>
      <c r="AD36" s="36" t="n"/>
      <c r="AE36" s="85">
        <f>AF35</f>
        <v/>
      </c>
      <c r="AF36" s="14" t="n">
        <v>44095</v>
      </c>
      <c r="AG36" s="151">
        <f>AF36-AE36</f>
        <v/>
      </c>
    </row>
    <row r="37">
      <c r="A37" s="42">
        <f>A36</f>
        <v/>
      </c>
      <c r="B37" s="24" t="inlineStr">
        <is>
          <t>NIGHT</t>
        </is>
      </c>
      <c r="C37" s="14">
        <f>D36</f>
        <v/>
      </c>
      <c r="D37" s="14" t="n">
        <v>4086</v>
      </c>
      <c r="E37" s="14">
        <f>D37-C37</f>
        <v/>
      </c>
      <c r="F37" s="3" t="n"/>
      <c r="G37" s="3" t="n"/>
      <c r="H37" s="3" t="n"/>
      <c r="I37" s="34" t="n"/>
      <c r="J37" s="35" t="n"/>
      <c r="K37" s="15" t="n"/>
      <c r="L37" s="15" t="n"/>
      <c r="M37" s="36" t="n"/>
      <c r="N37" s="14">
        <f>O36</f>
        <v/>
      </c>
      <c r="O37" s="14" t="n">
        <v>58166</v>
      </c>
      <c r="P37" s="151">
        <f>O37-N37</f>
        <v/>
      </c>
      <c r="Q37" s="84" t="n"/>
      <c r="R37" s="42">
        <f>R36</f>
        <v/>
      </c>
      <c r="S37" s="24" t="inlineStr">
        <is>
          <t>NIGHT</t>
        </is>
      </c>
      <c r="T37" s="14">
        <f>U36</f>
        <v/>
      </c>
      <c r="U37" s="14" t="n">
        <v>2730</v>
      </c>
      <c r="V37" s="14">
        <f>U37-T37</f>
        <v/>
      </c>
      <c r="W37" s="3" t="n"/>
      <c r="X37" s="3" t="n"/>
      <c r="Y37" s="3" t="n"/>
      <c r="Z37" s="4" t="n"/>
      <c r="AA37" s="35" t="n"/>
      <c r="AB37" s="15" t="n"/>
      <c r="AC37" s="15" t="n"/>
      <c r="AD37" s="36" t="n"/>
      <c r="AE37" s="85">
        <f>AF36</f>
        <v/>
      </c>
      <c r="AF37" s="14" t="n">
        <v>44231</v>
      </c>
      <c r="AG37" s="151">
        <f>AF37-AE37</f>
        <v/>
      </c>
    </row>
    <row r="38">
      <c r="A38" s="42">
        <f>A36+1</f>
        <v/>
      </c>
      <c r="B38" s="24" t="inlineStr">
        <is>
          <t>DAY</t>
        </is>
      </c>
      <c r="C38" s="14">
        <f>D37</f>
        <v/>
      </c>
      <c r="D38" s="14" t="n">
        <v>4092</v>
      </c>
      <c r="E38" s="14">
        <f>D38-C38</f>
        <v/>
      </c>
      <c r="F38" s="3" t="n"/>
      <c r="G38" s="3" t="n"/>
      <c r="H38" s="3" t="n"/>
      <c r="I38" s="34" t="n"/>
      <c r="J38" s="35" t="n"/>
      <c r="K38" s="15" t="n"/>
      <c r="L38" s="15" t="n"/>
      <c r="M38" s="36" t="n"/>
      <c r="N38" s="14">
        <f>O37</f>
        <v/>
      </c>
      <c r="O38" s="14" t="n">
        <v>58195</v>
      </c>
      <c r="P38" s="151">
        <f>O38-N38</f>
        <v/>
      </c>
      <c r="Q38" s="84" t="n"/>
      <c r="R38" s="42">
        <f>R36+1</f>
        <v/>
      </c>
      <c r="S38" s="24" t="inlineStr">
        <is>
          <t>DAY</t>
        </is>
      </c>
      <c r="T38" s="14">
        <f>U37</f>
        <v/>
      </c>
      <c r="U38" s="14" t="n">
        <v>2735</v>
      </c>
      <c r="V38" s="14">
        <f>U38-T38</f>
        <v/>
      </c>
      <c r="W38" s="3" t="n"/>
      <c r="X38" s="3" t="n"/>
      <c r="Y38" s="3" t="n"/>
      <c r="Z38" s="4" t="n"/>
      <c r="AA38" s="35" t="n"/>
      <c r="AB38" s="15" t="n"/>
      <c r="AC38" s="15" t="n"/>
      <c r="AD38" s="36" t="n"/>
      <c r="AE38" s="85">
        <f>AF37</f>
        <v/>
      </c>
      <c r="AF38" s="14" t="n">
        <v>44333</v>
      </c>
      <c r="AG38" s="151">
        <f>AF38-AE38</f>
        <v/>
      </c>
    </row>
    <row r="39">
      <c r="A39" s="42">
        <f>A38</f>
        <v/>
      </c>
      <c r="B39" s="24" t="inlineStr">
        <is>
          <t>NIGHT</t>
        </is>
      </c>
      <c r="C39" s="14">
        <f>D38</f>
        <v/>
      </c>
      <c r="D39" s="14" t="n">
        <v>4099</v>
      </c>
      <c r="E39" s="14">
        <f>D39-C39</f>
        <v/>
      </c>
      <c r="F39" s="3" t="n"/>
      <c r="G39" s="3" t="n"/>
      <c r="H39" s="3" t="n"/>
      <c r="I39" s="34" t="n"/>
      <c r="J39" s="35" t="n"/>
      <c r="K39" s="15" t="n"/>
      <c r="L39" s="15" t="n"/>
      <c r="M39" s="36" t="n"/>
      <c r="N39" s="14">
        <f>O38</f>
        <v/>
      </c>
      <c r="O39" s="14" t="n">
        <v>58282</v>
      </c>
      <c r="P39" s="151">
        <f>O39-N39</f>
        <v/>
      </c>
      <c r="Q39" s="84" t="n"/>
      <c r="R39" s="42">
        <f>R38</f>
        <v/>
      </c>
      <c r="S39" s="24" t="inlineStr">
        <is>
          <t>NIGHT</t>
        </is>
      </c>
      <c r="T39" s="14">
        <f>U38</f>
        <v/>
      </c>
      <c r="U39" s="14" t="n">
        <v>2737</v>
      </c>
      <c r="V39" s="14">
        <f>U39-T39</f>
        <v/>
      </c>
      <c r="W39" s="3" t="n"/>
      <c r="X39" s="3" t="n"/>
      <c r="Y39" s="3" t="n"/>
      <c r="Z39" s="4" t="n"/>
      <c r="AA39" s="35" t="n"/>
      <c r="AB39" s="15" t="n"/>
      <c r="AC39" s="15" t="n"/>
      <c r="AD39" s="36" t="n"/>
      <c r="AE39" s="85">
        <f>AF38</f>
        <v/>
      </c>
      <c r="AF39" s="14" t="n">
        <v>44367</v>
      </c>
      <c r="AG39" s="151">
        <f>AF39-AE39</f>
        <v/>
      </c>
    </row>
    <row r="40">
      <c r="A40" s="42">
        <f>A38+1</f>
        <v/>
      </c>
      <c r="B40" s="24" t="inlineStr">
        <is>
          <t>DAY</t>
        </is>
      </c>
      <c r="C40" s="14">
        <f>D39</f>
        <v/>
      </c>
      <c r="D40" s="14" t="n">
        <v>4099</v>
      </c>
      <c r="E40" s="14">
        <f>D40-C40</f>
        <v/>
      </c>
      <c r="F40" s="3" t="n"/>
      <c r="G40" s="3" t="n"/>
      <c r="H40" s="3" t="n"/>
      <c r="I40" s="34" t="n"/>
      <c r="J40" s="35" t="n"/>
      <c r="K40" s="15" t="n"/>
      <c r="L40" s="15" t="n"/>
      <c r="M40" s="36" t="n"/>
      <c r="N40" s="14">
        <f>O39</f>
        <v/>
      </c>
      <c r="O40" s="14" t="n">
        <v>58282</v>
      </c>
      <c r="P40" s="151">
        <f>O40-N40</f>
        <v/>
      </c>
      <c r="Q40" s="84" t="n"/>
      <c r="R40" s="42">
        <f>R38+1</f>
        <v/>
      </c>
      <c r="S40" s="24" t="inlineStr">
        <is>
          <t>DAY</t>
        </is>
      </c>
      <c r="T40" s="14">
        <f>U39</f>
        <v/>
      </c>
      <c r="U40" s="14" t="n">
        <v>2744</v>
      </c>
      <c r="V40" s="14">
        <f>U40-T40</f>
        <v/>
      </c>
      <c r="W40" s="3" t="n">
        <v>250</v>
      </c>
      <c r="X40" s="3" t="n">
        <v>2741</v>
      </c>
      <c r="Y40" s="3">
        <f>X40-X36</f>
        <v/>
      </c>
      <c r="Z40" s="4">
        <f>W40/Y40</f>
        <v/>
      </c>
      <c r="AA40" s="35" t="n"/>
      <c r="AB40" s="15" t="n"/>
      <c r="AC40" s="15" t="n"/>
      <c r="AD40" s="36" t="n"/>
      <c r="AE40" s="85">
        <f>AF39</f>
        <v/>
      </c>
      <c r="AF40" s="14" t="n">
        <v>44507</v>
      </c>
      <c r="AG40" s="151">
        <f>AF40-AE40</f>
        <v/>
      </c>
    </row>
    <row r="41">
      <c r="A41" s="42">
        <f>A40</f>
        <v/>
      </c>
      <c r="B41" s="24" t="inlineStr">
        <is>
          <t>NIGHT</t>
        </is>
      </c>
      <c r="C41" s="14">
        <f>D40</f>
        <v/>
      </c>
      <c r="D41" s="14" t="n">
        <v>4099</v>
      </c>
      <c r="E41" s="14">
        <f>D41-C41</f>
        <v/>
      </c>
      <c r="F41" s="3" t="n"/>
      <c r="G41" s="3" t="n"/>
      <c r="H41" s="3" t="n"/>
      <c r="I41" s="34" t="n"/>
      <c r="J41" s="35" t="n"/>
      <c r="K41" s="15" t="n"/>
      <c r="L41" s="15" t="n"/>
      <c r="M41" s="36" t="n"/>
      <c r="N41" s="14">
        <f>O40</f>
        <v/>
      </c>
      <c r="O41" s="14" t="n">
        <v>58282</v>
      </c>
      <c r="P41" s="151">
        <f>O41-N41</f>
        <v/>
      </c>
      <c r="Q41" s="84" t="n"/>
      <c r="R41" s="42">
        <f>R40</f>
        <v/>
      </c>
      <c r="S41" s="24" t="inlineStr">
        <is>
          <t>NIGHT</t>
        </is>
      </c>
      <c r="T41" s="14">
        <f>U40</f>
        <v/>
      </c>
      <c r="U41" s="14" t="n">
        <v>2748</v>
      </c>
      <c r="V41" s="14">
        <f>U41-T41</f>
        <v/>
      </c>
      <c r="W41" s="3" t="n"/>
      <c r="X41" s="3" t="n"/>
      <c r="Y41" s="3" t="n"/>
      <c r="Z41" s="4" t="n"/>
      <c r="AA41" s="35" t="n"/>
      <c r="AB41" s="15" t="n"/>
      <c r="AC41" s="15" t="n"/>
      <c r="AD41" s="36" t="n"/>
      <c r="AE41" s="85">
        <f>AF40</f>
        <v/>
      </c>
      <c r="AF41" s="14" t="n">
        <v>44574</v>
      </c>
      <c r="AG41" s="151">
        <f>AF41-AE41</f>
        <v/>
      </c>
    </row>
    <row r="42">
      <c r="A42" s="42">
        <f>A40+1</f>
        <v/>
      </c>
      <c r="B42" s="24" t="inlineStr">
        <is>
          <t>DAY</t>
        </is>
      </c>
      <c r="C42" s="14">
        <f>D41</f>
        <v/>
      </c>
      <c r="D42" s="14" t="n">
        <v>4106</v>
      </c>
      <c r="E42" s="14">
        <f>D42-C42</f>
        <v/>
      </c>
      <c r="F42" s="3" t="n"/>
      <c r="G42" s="3" t="n"/>
      <c r="H42" s="3" t="n"/>
      <c r="I42" s="34" t="n"/>
      <c r="J42" s="33" t="n"/>
      <c r="K42" s="4" t="n"/>
      <c r="L42" s="4" t="n"/>
      <c r="M42" s="34" t="n"/>
      <c r="N42" s="14">
        <f>O41</f>
        <v/>
      </c>
      <c r="O42" s="14" t="n">
        <v>58339</v>
      </c>
      <c r="P42" s="151">
        <f>O42-N42</f>
        <v/>
      </c>
      <c r="Q42" s="84" t="n"/>
      <c r="R42" s="42">
        <f>R40+1</f>
        <v/>
      </c>
      <c r="S42" s="24" t="inlineStr">
        <is>
          <t>DAY</t>
        </is>
      </c>
      <c r="T42" s="14">
        <f>U41</f>
        <v/>
      </c>
      <c r="U42" s="14" t="n">
        <v>2750</v>
      </c>
      <c r="V42" s="14">
        <f>U42-T42</f>
        <v/>
      </c>
      <c r="W42" s="3" t="n"/>
      <c r="X42" s="3" t="n"/>
      <c r="Y42" s="3" t="n"/>
      <c r="Z42" s="4" t="n"/>
      <c r="AA42" s="33" t="n"/>
      <c r="AB42" s="4" t="n"/>
      <c r="AC42" s="4" t="n"/>
      <c r="AD42" s="34" t="n"/>
      <c r="AE42" s="85">
        <f>AF41</f>
        <v/>
      </c>
      <c r="AF42" s="14" t="n">
        <v>44597</v>
      </c>
      <c r="AG42" s="151">
        <f>AF42-AE42</f>
        <v/>
      </c>
    </row>
    <row r="43">
      <c r="A43" s="42">
        <f>A42</f>
        <v/>
      </c>
      <c r="B43" s="24" t="inlineStr">
        <is>
          <t>NIGHT</t>
        </is>
      </c>
      <c r="C43" s="14">
        <f>D42</f>
        <v/>
      </c>
      <c r="D43" s="14" t="n">
        <v>4112</v>
      </c>
      <c r="E43" s="14">
        <f>D43-C43</f>
        <v/>
      </c>
      <c r="F43" s="3" t="n"/>
      <c r="G43" s="3" t="n"/>
      <c r="H43" s="3" t="n"/>
      <c r="I43" s="34" t="n"/>
      <c r="J43" s="35" t="n"/>
      <c r="K43" s="15" t="n"/>
      <c r="L43" s="15" t="n"/>
      <c r="M43" s="36" t="n"/>
      <c r="N43" s="14">
        <f>O42</f>
        <v/>
      </c>
      <c r="O43" s="14" t="n">
        <v>58417</v>
      </c>
      <c r="P43" s="151">
        <f>O43-N43</f>
        <v/>
      </c>
      <c r="Q43" s="84" t="n"/>
      <c r="R43" s="42">
        <f>R42</f>
        <v/>
      </c>
      <c r="S43" s="24" t="inlineStr">
        <is>
          <t>NIGHT</t>
        </is>
      </c>
      <c r="T43" s="14">
        <f>U42</f>
        <v/>
      </c>
      <c r="U43" s="14" t="n">
        <v>2756</v>
      </c>
      <c r="V43" s="14">
        <f>U43-T43</f>
        <v/>
      </c>
      <c r="W43" s="3" t="n"/>
      <c r="X43" s="3" t="n"/>
      <c r="Y43" s="3" t="n"/>
      <c r="Z43" s="4" t="n"/>
      <c r="AA43" s="35" t="n"/>
      <c r="AB43" s="15" t="n"/>
      <c r="AC43" s="15" t="n"/>
      <c r="AD43" s="36" t="n"/>
      <c r="AE43" s="85">
        <f>AF42</f>
        <v/>
      </c>
      <c r="AF43" s="14" t="n">
        <v>44642</v>
      </c>
      <c r="AG43" s="151">
        <f>AF43-AE43</f>
        <v/>
      </c>
    </row>
    <row r="44" customFormat="1" s="80">
      <c r="A44" s="42">
        <f>A42+1</f>
        <v/>
      </c>
      <c r="B44" s="24" t="inlineStr">
        <is>
          <t>DAY</t>
        </is>
      </c>
      <c r="C44" s="14">
        <f>D43</f>
        <v/>
      </c>
      <c r="D44" s="14" t="n">
        <v>4118</v>
      </c>
      <c r="E44" s="14">
        <f>D44-C44</f>
        <v/>
      </c>
      <c r="F44" s="3" t="n">
        <v>300</v>
      </c>
      <c r="G44" s="3" t="n">
        <v>4115</v>
      </c>
      <c r="H44" s="3">
        <f>G44-G36</f>
        <v/>
      </c>
      <c r="I44" s="34">
        <f>F44/H44</f>
        <v/>
      </c>
      <c r="J44" s="43" t="n"/>
      <c r="K44" s="44" t="n"/>
      <c r="L44" s="44" t="n"/>
      <c r="M44" s="36" t="n"/>
      <c r="N44" s="14">
        <f>O43</f>
        <v/>
      </c>
      <c r="O44" s="14" t="n">
        <v>58464</v>
      </c>
      <c r="P44" s="151">
        <f>O44-N44</f>
        <v/>
      </c>
      <c r="Q44" s="84" t="n"/>
      <c r="R44" s="42">
        <f>R42+1</f>
        <v/>
      </c>
      <c r="S44" s="24" t="inlineStr">
        <is>
          <t>DAY</t>
        </is>
      </c>
      <c r="T44" s="14">
        <f>U43</f>
        <v/>
      </c>
      <c r="U44" s="14" t="n">
        <v>2764</v>
      </c>
      <c r="V44" s="14">
        <f>U44-T44</f>
        <v/>
      </c>
      <c r="W44" s="3" t="n">
        <v>300</v>
      </c>
      <c r="X44" s="3" t="n">
        <v>2759</v>
      </c>
      <c r="Y44" s="3">
        <f>X44-X40</f>
        <v/>
      </c>
      <c r="Z44" s="4">
        <f>W44/Y44</f>
        <v/>
      </c>
      <c r="AA44" s="35" t="n"/>
      <c r="AB44" s="15" t="n"/>
      <c r="AC44" s="15" t="n"/>
      <c r="AD44" s="36" t="n"/>
      <c r="AE44" s="85">
        <f>AF43</f>
        <v/>
      </c>
      <c r="AF44" s="14" t="n">
        <v>44778</v>
      </c>
      <c r="AG44" s="151">
        <f>AF44-AE44</f>
        <v/>
      </c>
    </row>
    <row r="45" customFormat="1" s="80">
      <c r="A45" s="42">
        <f>A44</f>
        <v/>
      </c>
      <c r="B45" s="24" t="inlineStr">
        <is>
          <t>NIGHT</t>
        </is>
      </c>
      <c r="C45" s="14">
        <f>D44</f>
        <v/>
      </c>
      <c r="D45" s="14" t="n">
        <v>4119</v>
      </c>
      <c r="E45" s="14">
        <f>D45-C45</f>
        <v/>
      </c>
      <c r="F45" s="3" t="n"/>
      <c r="G45" s="3" t="n"/>
      <c r="H45" s="3" t="n"/>
      <c r="I45" s="34" t="n"/>
      <c r="J45" s="35" t="n"/>
      <c r="K45" s="15" t="n"/>
      <c r="L45" s="15" t="n"/>
      <c r="M45" s="36" t="n"/>
      <c r="N45" s="14">
        <f>O44</f>
        <v/>
      </c>
      <c r="O45" s="14" t="n">
        <v>58477</v>
      </c>
      <c r="P45" s="151">
        <f>O45-N45</f>
        <v/>
      </c>
      <c r="Q45" s="84" t="n"/>
      <c r="R45" s="42">
        <f>R44</f>
        <v/>
      </c>
      <c r="S45" s="24" t="inlineStr">
        <is>
          <t>NIGHT</t>
        </is>
      </c>
      <c r="T45" s="14">
        <f>U44</f>
        <v/>
      </c>
      <c r="U45" s="14" t="n">
        <v>2769</v>
      </c>
      <c r="V45" s="14">
        <f>U45-T45</f>
        <v/>
      </c>
      <c r="W45" s="3" t="n"/>
      <c r="X45" s="3" t="n"/>
      <c r="Y45" s="3" t="n"/>
      <c r="Z45" s="4" t="n"/>
      <c r="AA45" s="35" t="n"/>
      <c r="AB45" s="15" t="n"/>
      <c r="AC45" s="15" t="n"/>
      <c r="AD45" s="36" t="n"/>
      <c r="AE45" s="85">
        <f>AF44</f>
        <v/>
      </c>
      <c r="AF45" s="14" t="n">
        <v>44884</v>
      </c>
      <c r="AG45" s="151">
        <f>AF45-AE45</f>
        <v/>
      </c>
    </row>
    <row r="46">
      <c r="A46" s="42">
        <f>A44+1</f>
        <v/>
      </c>
      <c r="B46" s="24" t="inlineStr">
        <is>
          <t>DAY</t>
        </is>
      </c>
      <c r="C46" s="14">
        <f>D45</f>
        <v/>
      </c>
      <c r="D46" s="14" t="n">
        <v>4129</v>
      </c>
      <c r="E46" s="14">
        <f>D46-C46</f>
        <v/>
      </c>
      <c r="F46" s="3" t="n"/>
      <c r="G46" s="3" t="n"/>
      <c r="H46" s="3" t="n"/>
      <c r="I46" s="34" t="n"/>
      <c r="J46" s="35" t="n"/>
      <c r="K46" s="15" t="n"/>
      <c r="L46" s="15" t="n"/>
      <c r="M46" s="36" t="n"/>
      <c r="N46" s="14">
        <f>O45</f>
        <v/>
      </c>
      <c r="O46" s="14" t="n">
        <v>58583</v>
      </c>
      <c r="P46" s="151">
        <f>O46-N46</f>
        <v/>
      </c>
      <c r="Q46" s="84" t="n"/>
      <c r="R46" s="42">
        <f>R44+1</f>
        <v/>
      </c>
      <c r="S46" s="24" t="inlineStr">
        <is>
          <t>DAY</t>
        </is>
      </c>
      <c r="T46" s="14">
        <f>U45</f>
        <v/>
      </c>
      <c r="U46" s="14" t="n">
        <v>2776</v>
      </c>
      <c r="V46" s="14">
        <f>U46-T46</f>
        <v/>
      </c>
      <c r="W46" s="86" t="n"/>
      <c r="X46" s="3" t="n"/>
      <c r="Y46" s="3" t="n"/>
      <c r="Z46" s="4" t="n"/>
      <c r="AA46" s="81" t="n"/>
      <c r="AB46" s="15" t="n"/>
      <c r="AC46" s="15" t="n"/>
      <c r="AD46" s="36" t="n"/>
      <c r="AE46" s="85">
        <f>AF45</f>
        <v/>
      </c>
      <c r="AF46" s="14" t="n">
        <v>44956</v>
      </c>
      <c r="AG46" s="151">
        <f>AF46-AE46</f>
        <v/>
      </c>
    </row>
    <row r="47">
      <c r="A47" s="42">
        <f>A46</f>
        <v/>
      </c>
      <c r="B47" s="24" t="inlineStr">
        <is>
          <t>NIGHT</t>
        </is>
      </c>
      <c r="C47" s="14">
        <f>D46</f>
        <v/>
      </c>
      <c r="D47" s="14" t="n">
        <v>4135</v>
      </c>
      <c r="E47" s="14">
        <f>D47-C47</f>
        <v/>
      </c>
      <c r="F47" s="3" t="n"/>
      <c r="G47" s="3" t="n"/>
      <c r="H47" s="3" t="n"/>
      <c r="I47" s="34" t="n"/>
      <c r="J47" s="33" t="n"/>
      <c r="K47" s="4" t="n"/>
      <c r="L47" s="4" t="n"/>
      <c r="M47" s="34" t="n"/>
      <c r="N47" s="14">
        <f>O46</f>
        <v/>
      </c>
      <c r="O47" s="14" t="n">
        <v>58719</v>
      </c>
      <c r="P47" s="151">
        <f>O47-N47</f>
        <v/>
      </c>
      <c r="Q47" s="84" t="n"/>
      <c r="R47" s="42">
        <f>R46</f>
        <v/>
      </c>
      <c r="S47" s="24" t="inlineStr">
        <is>
          <t>NIGHT</t>
        </is>
      </c>
      <c r="T47" s="14">
        <f>U46</f>
        <v/>
      </c>
      <c r="U47" s="14" t="n">
        <v>2777</v>
      </c>
      <c r="V47" s="14">
        <f>U47-T47</f>
        <v/>
      </c>
      <c r="W47" s="3" t="n"/>
      <c r="X47" s="3" t="n"/>
      <c r="Y47" s="3" t="n"/>
      <c r="Z47" s="4" t="n"/>
      <c r="AA47" s="81" t="n">
        <v>0.9375</v>
      </c>
      <c r="AB47" s="81" t="n">
        <v>0.9993055555555556</v>
      </c>
      <c r="AC47" s="82">
        <f>AB47-AA47</f>
        <v/>
      </c>
      <c r="AD47" s="36" t="inlineStr">
        <is>
          <t>Lock problem</t>
        </is>
      </c>
      <c r="AE47" s="85">
        <f>AF46</f>
        <v/>
      </c>
      <c r="AF47" s="14" t="n">
        <v>44969</v>
      </c>
      <c r="AG47" s="151">
        <f>AF47-AE47</f>
        <v/>
      </c>
    </row>
    <row r="48">
      <c r="A48" s="42">
        <f>A46+1</f>
        <v/>
      </c>
      <c r="B48" s="24" t="inlineStr">
        <is>
          <t>DAY</t>
        </is>
      </c>
      <c r="C48" s="14">
        <f>D47</f>
        <v/>
      </c>
      <c r="D48" s="14" t="n">
        <v>4144</v>
      </c>
      <c r="E48" s="14">
        <f>D48-C48</f>
        <v/>
      </c>
      <c r="F48" s="3" t="n">
        <v>300</v>
      </c>
      <c r="G48" s="3" t="n">
        <v>4137</v>
      </c>
      <c r="H48" s="3">
        <f>G48-G44</f>
        <v/>
      </c>
      <c r="I48" s="34">
        <f>F48/H48</f>
        <v/>
      </c>
      <c r="J48" s="35" t="n"/>
      <c r="K48" s="15" t="n"/>
      <c r="L48" s="15" t="n"/>
      <c r="M48" s="36" t="n"/>
      <c r="N48" s="14">
        <f>O47</f>
        <v/>
      </c>
      <c r="O48" s="14" t="n">
        <v>58795</v>
      </c>
      <c r="P48" s="151">
        <f>O48-N48</f>
        <v/>
      </c>
      <c r="Q48" s="84" t="n"/>
      <c r="R48" s="42">
        <f>R46+1</f>
        <v/>
      </c>
      <c r="S48" s="24" t="inlineStr">
        <is>
          <t>DAY</t>
        </is>
      </c>
      <c r="T48" s="14">
        <f>U47</f>
        <v/>
      </c>
      <c r="U48" s="14" t="n">
        <v>2777</v>
      </c>
      <c r="V48" s="14">
        <f>U48-T48</f>
        <v/>
      </c>
      <c r="W48" s="3" t="n"/>
      <c r="X48" s="3" t="n"/>
      <c r="Y48" s="3" t="n"/>
      <c r="Z48" s="4" t="n"/>
      <c r="AA48" s="81" t="n">
        <v>0</v>
      </c>
      <c r="AB48" s="81" t="n">
        <v>0.7222222222222222</v>
      </c>
      <c r="AC48" s="62">
        <f>AB48-AA48</f>
        <v/>
      </c>
      <c r="AD48" s="36" t="inlineStr">
        <is>
          <t>Lock problem</t>
        </is>
      </c>
      <c r="AE48" s="85">
        <f>AF47</f>
        <v/>
      </c>
      <c r="AF48" s="14" t="n">
        <v>44971</v>
      </c>
      <c r="AG48" s="151">
        <f>AF48-AE48</f>
        <v/>
      </c>
    </row>
    <row r="49">
      <c r="A49" s="42">
        <f>A48</f>
        <v/>
      </c>
      <c r="B49" s="24" t="inlineStr">
        <is>
          <t>NIGHT</t>
        </is>
      </c>
      <c r="C49" s="14">
        <f>D48</f>
        <v/>
      </c>
      <c r="D49" s="14" t="n">
        <v>4150</v>
      </c>
      <c r="E49" s="14">
        <f>D49-C49</f>
        <v/>
      </c>
      <c r="F49" s="3" t="n"/>
      <c r="G49" s="3" t="n"/>
      <c r="H49" s="3" t="n"/>
      <c r="I49" s="34" t="n"/>
      <c r="J49" s="35" t="n"/>
      <c r="K49" s="15" t="n"/>
      <c r="L49" s="15" t="n"/>
      <c r="M49" s="36" t="n"/>
      <c r="N49" s="14">
        <f>O48</f>
        <v/>
      </c>
      <c r="O49" s="14" t="n">
        <v>58880</v>
      </c>
      <c r="P49" s="151">
        <f>O49-N49</f>
        <v/>
      </c>
      <c r="Q49" s="84" t="n"/>
      <c r="R49" s="42">
        <f>R48</f>
        <v/>
      </c>
      <c r="S49" s="24" t="inlineStr">
        <is>
          <t>NIGHT</t>
        </is>
      </c>
      <c r="T49" s="14">
        <f>U48</f>
        <v/>
      </c>
      <c r="U49" s="14" t="n">
        <v>2780</v>
      </c>
      <c r="V49" s="14">
        <f>U49-T49</f>
        <v/>
      </c>
      <c r="W49" s="3" t="n"/>
      <c r="X49" s="3" t="n"/>
      <c r="Y49" s="3" t="n"/>
      <c r="Z49" s="4" t="n"/>
      <c r="AA49" s="35" t="n"/>
      <c r="AB49" s="15" t="n"/>
      <c r="AC49" s="15" t="n"/>
      <c r="AD49" s="36" t="n"/>
      <c r="AE49" s="85">
        <f>AF48</f>
        <v/>
      </c>
      <c r="AF49" s="14" t="n">
        <v>45000</v>
      </c>
      <c r="AG49" s="151">
        <f>AF49-AE49</f>
        <v/>
      </c>
    </row>
    <row r="50">
      <c r="A50" s="42">
        <f>A48+1</f>
        <v/>
      </c>
      <c r="B50" s="24" t="inlineStr">
        <is>
          <t>DAY</t>
        </is>
      </c>
      <c r="C50" s="14">
        <f>D49</f>
        <v/>
      </c>
      <c r="D50" s="14" t="n">
        <v>4158</v>
      </c>
      <c r="E50" s="14">
        <f>D50-C50</f>
        <v/>
      </c>
      <c r="F50" s="3" t="n">
        <v>144</v>
      </c>
      <c r="G50" s="3" t="n">
        <v>4153</v>
      </c>
      <c r="H50" s="3">
        <f>G50-G48</f>
        <v/>
      </c>
      <c r="I50" s="34">
        <f>F50/H50</f>
        <v/>
      </c>
      <c r="J50" s="35" t="n"/>
      <c r="K50" s="15" t="n"/>
      <c r="L50" s="15" t="n"/>
      <c r="M50" s="36" t="n"/>
      <c r="N50" s="14">
        <f>O49</f>
        <v/>
      </c>
      <c r="O50" s="14" t="n">
        <v>59000</v>
      </c>
      <c r="P50" s="151">
        <f>O50-N50</f>
        <v/>
      </c>
      <c r="Q50" s="84" t="n"/>
      <c r="R50" s="42">
        <f>R48+1</f>
        <v/>
      </c>
      <c r="S50" s="24" t="inlineStr">
        <is>
          <t>DAY</t>
        </is>
      </c>
      <c r="T50" s="14">
        <f>U49</f>
        <v/>
      </c>
      <c r="U50" s="14" t="n">
        <v>2788</v>
      </c>
      <c r="V50" s="14">
        <f>U50-T50</f>
        <v/>
      </c>
      <c r="W50" s="3" t="n">
        <v>420</v>
      </c>
      <c r="X50" s="3" t="n">
        <v>2783</v>
      </c>
      <c r="Y50" s="3">
        <f>X50-X44</f>
        <v/>
      </c>
      <c r="Z50" s="4">
        <f>W50/Y50</f>
        <v/>
      </c>
      <c r="AA50" s="35" t="n"/>
      <c r="AB50" s="15" t="n"/>
      <c r="AC50" s="15" t="n"/>
      <c r="AD50" s="36" t="n"/>
      <c r="AE50" s="85">
        <f>AF49</f>
        <v/>
      </c>
      <c r="AF50" s="14" t="n">
        <v>45104</v>
      </c>
      <c r="AG50" s="151">
        <f>AF50-AE50</f>
        <v/>
      </c>
    </row>
    <row r="51">
      <c r="A51" s="42">
        <f>A50</f>
        <v/>
      </c>
      <c r="B51" s="24" t="inlineStr">
        <is>
          <t>NIGHT</t>
        </is>
      </c>
      <c r="C51" s="14">
        <f>D50</f>
        <v/>
      </c>
      <c r="D51" s="14" t="n">
        <v>4166</v>
      </c>
      <c r="E51" s="14">
        <f>D51-C51</f>
        <v/>
      </c>
      <c r="F51" s="3" t="n"/>
      <c r="G51" s="3" t="n"/>
      <c r="H51" s="3" t="n"/>
      <c r="I51" s="34" t="n"/>
      <c r="J51" s="35" t="n"/>
      <c r="K51" s="15" t="n"/>
      <c r="L51" s="15" t="n"/>
      <c r="M51" s="36" t="n"/>
      <c r="N51" s="14">
        <f>O50</f>
        <v/>
      </c>
      <c r="O51" s="14" t="n">
        <v>59150</v>
      </c>
      <c r="P51" s="151">
        <f>O51-N51</f>
        <v/>
      </c>
      <c r="Q51" s="84" t="n"/>
      <c r="R51" s="42">
        <f>R50</f>
        <v/>
      </c>
      <c r="S51" s="24" t="inlineStr">
        <is>
          <t>NIGHT</t>
        </is>
      </c>
      <c r="T51" s="14">
        <f>U50</f>
        <v/>
      </c>
      <c r="U51" s="14" t="n">
        <v>2794</v>
      </c>
      <c r="V51" s="14">
        <f>U51-T51</f>
        <v/>
      </c>
      <c r="W51" s="3" t="n"/>
      <c r="X51" s="3" t="n"/>
      <c r="Y51" s="3" t="n"/>
      <c r="Z51" s="4" t="n"/>
      <c r="AA51" s="35" t="n"/>
      <c r="AB51" s="15" t="n"/>
      <c r="AC51" s="15" t="n"/>
      <c r="AD51" s="36" t="n"/>
      <c r="AE51" s="85">
        <f>AF50</f>
        <v/>
      </c>
      <c r="AF51" s="14" t="n">
        <v>45268</v>
      </c>
      <c r="AG51" s="151">
        <f>AF51-AE51</f>
        <v/>
      </c>
    </row>
    <row r="52">
      <c r="A52" s="42">
        <f>A50+1</f>
        <v/>
      </c>
      <c r="B52" s="24" t="inlineStr">
        <is>
          <t>DAY</t>
        </is>
      </c>
      <c r="C52" s="14">
        <f>D51</f>
        <v/>
      </c>
      <c r="D52" s="14" t="n">
        <v>4173</v>
      </c>
      <c r="E52" s="14">
        <f>D52-C52</f>
        <v/>
      </c>
      <c r="F52" s="3" t="n">
        <v>300</v>
      </c>
      <c r="G52" s="3" t="n">
        <v>4171</v>
      </c>
      <c r="H52" s="3">
        <f>G52-G50</f>
        <v/>
      </c>
      <c r="I52" s="34">
        <f>F52/H52</f>
        <v/>
      </c>
      <c r="J52" s="35" t="n"/>
      <c r="K52" s="15" t="n"/>
      <c r="L52" s="15" t="n"/>
      <c r="M52" s="36" t="n"/>
      <c r="N52" s="14">
        <f>O51</f>
        <v/>
      </c>
      <c r="O52" s="14" t="n">
        <v>59238</v>
      </c>
      <c r="P52" s="151">
        <f>O52-N52</f>
        <v/>
      </c>
      <c r="Q52" s="84" t="n"/>
      <c r="R52" s="42">
        <f>R50+1</f>
        <v/>
      </c>
      <c r="S52" s="24" t="inlineStr">
        <is>
          <t>DAY</t>
        </is>
      </c>
      <c r="T52" s="14">
        <f>U51</f>
        <v/>
      </c>
      <c r="U52" s="14" t="n">
        <v>2800</v>
      </c>
      <c r="V52" s="14">
        <f>U52-T52</f>
        <v/>
      </c>
      <c r="W52" s="3" t="n"/>
      <c r="X52" s="3" t="n"/>
      <c r="Y52" s="3" t="n"/>
      <c r="Z52" s="4" t="n"/>
      <c r="AA52" s="35" t="n"/>
      <c r="AB52" s="15" t="n"/>
      <c r="AC52" s="15" t="n"/>
      <c r="AD52" s="36" t="n"/>
      <c r="AE52" s="85">
        <f>AF51</f>
        <v/>
      </c>
      <c r="AF52" s="14" t="n">
        <v>45351</v>
      </c>
      <c r="AG52" s="151">
        <f>AF52-AE52</f>
        <v/>
      </c>
    </row>
    <row r="53">
      <c r="A53" s="42">
        <f>A52</f>
        <v/>
      </c>
      <c r="B53" s="24" t="inlineStr">
        <is>
          <t>NIGHT</t>
        </is>
      </c>
      <c r="C53" s="14">
        <f>D52</f>
        <v/>
      </c>
      <c r="D53" s="14" t="n">
        <v>4180</v>
      </c>
      <c r="E53" s="14">
        <f>D53-C53</f>
        <v/>
      </c>
      <c r="F53" s="3" t="n"/>
      <c r="G53" s="3" t="n"/>
      <c r="H53" s="3" t="n"/>
      <c r="I53" s="34" t="n"/>
      <c r="J53" s="35" t="n"/>
      <c r="K53" s="15" t="n"/>
      <c r="L53" s="15" t="n"/>
      <c r="M53" s="36" t="n"/>
      <c r="N53" s="14">
        <f>O52</f>
        <v/>
      </c>
      <c r="O53" s="14" t="n">
        <v>59349</v>
      </c>
      <c r="P53" s="151">
        <f>O53-N53</f>
        <v/>
      </c>
      <c r="Q53" s="84" t="n"/>
      <c r="R53" s="42">
        <f>R52</f>
        <v/>
      </c>
      <c r="S53" s="24" t="inlineStr">
        <is>
          <t>NIGHT</t>
        </is>
      </c>
      <c r="T53" s="14">
        <f>U52</f>
        <v/>
      </c>
      <c r="U53" s="14" t="n">
        <v>2804</v>
      </c>
      <c r="V53" s="14">
        <f>U53-T53</f>
        <v/>
      </c>
      <c r="W53" s="3" t="n"/>
      <c r="X53" s="3" t="n"/>
      <c r="Y53" s="3" t="n"/>
      <c r="Z53" s="4" t="n"/>
      <c r="AA53" s="35" t="n"/>
      <c r="AB53" s="15" t="n"/>
      <c r="AC53" s="15" t="n"/>
      <c r="AD53" s="36" t="n"/>
      <c r="AE53" s="85">
        <f>AF52</f>
        <v/>
      </c>
      <c r="AF53" s="14" t="n">
        <v>45384</v>
      </c>
      <c r="AG53" s="151">
        <f>AF53-AE53</f>
        <v/>
      </c>
    </row>
    <row r="54">
      <c r="A54" s="42">
        <f>A52+1</f>
        <v/>
      </c>
      <c r="B54" s="24" t="inlineStr">
        <is>
          <t>DAY</t>
        </is>
      </c>
      <c r="C54" s="14">
        <f>D53</f>
        <v/>
      </c>
      <c r="D54" s="14" t="n">
        <v>4185</v>
      </c>
      <c r="E54" s="14">
        <f>D54-C54</f>
        <v/>
      </c>
      <c r="F54" s="3" t="n"/>
      <c r="G54" s="3" t="n"/>
      <c r="H54" s="3" t="n"/>
      <c r="I54" s="34" t="n"/>
      <c r="J54" s="35" t="n"/>
      <c r="K54" s="15" t="n"/>
      <c r="L54" s="15" t="n"/>
      <c r="M54" s="36" t="n"/>
      <c r="N54" s="14">
        <f>O53</f>
        <v/>
      </c>
      <c r="O54" s="86" t="n">
        <v>59426</v>
      </c>
      <c r="P54" s="151">
        <f>O54-N54</f>
        <v/>
      </c>
      <c r="Q54" s="84" t="n"/>
      <c r="R54" s="42">
        <f>R52+1</f>
        <v/>
      </c>
      <c r="S54" s="24" t="inlineStr">
        <is>
          <t>DAY</t>
        </is>
      </c>
      <c r="T54" s="14">
        <f>U53</f>
        <v/>
      </c>
      <c r="U54" s="14" t="n">
        <v>2812</v>
      </c>
      <c r="V54" s="14">
        <f>U54-T54</f>
        <v/>
      </c>
      <c r="W54" s="3" t="n"/>
      <c r="X54" s="3" t="n"/>
      <c r="Y54" s="3" t="n"/>
      <c r="Z54" s="4" t="n"/>
      <c r="AA54" s="35" t="n"/>
      <c r="AB54" s="15" t="n"/>
      <c r="AC54" s="15" t="n"/>
      <c r="AD54" s="36" t="n"/>
      <c r="AE54" s="85">
        <f>AF53</f>
        <v/>
      </c>
      <c r="AF54" s="14" t="n">
        <v>45555</v>
      </c>
      <c r="AG54" s="151">
        <f>AF54-AE54</f>
        <v/>
      </c>
    </row>
    <row r="55">
      <c r="A55" s="42">
        <f>A54</f>
        <v/>
      </c>
      <c r="B55" s="24" t="inlineStr">
        <is>
          <t>NIGHT</t>
        </is>
      </c>
      <c r="C55" s="14">
        <f>D54</f>
        <v/>
      </c>
      <c r="D55" s="14" t="n">
        <v>4187</v>
      </c>
      <c r="E55" s="14">
        <f>D55-C55</f>
        <v/>
      </c>
      <c r="F55" s="3" t="n"/>
      <c r="G55" s="3" t="n"/>
      <c r="H55" s="3" t="n"/>
      <c r="I55" s="34" t="n"/>
      <c r="J55" s="35" t="n"/>
      <c r="K55" s="15" t="n"/>
      <c r="L55" s="15" t="n"/>
      <c r="M55" s="36" t="n"/>
      <c r="N55" s="14">
        <f>O54</f>
        <v/>
      </c>
      <c r="O55" s="86" t="n">
        <v>59426</v>
      </c>
      <c r="P55" s="151">
        <f>O55-N55</f>
        <v/>
      </c>
      <c r="Q55" s="84" t="n"/>
      <c r="R55" s="42">
        <f>R54</f>
        <v/>
      </c>
      <c r="S55" s="24" t="inlineStr">
        <is>
          <t>NIGHT</t>
        </is>
      </c>
      <c r="T55" s="14">
        <f>U54</f>
        <v/>
      </c>
      <c r="U55" s="14" t="n">
        <v>2815</v>
      </c>
      <c r="V55" s="14">
        <f>U55-T55</f>
        <v/>
      </c>
      <c r="W55" s="3" t="n"/>
      <c r="X55" s="3" t="n"/>
      <c r="Y55" s="3" t="n"/>
      <c r="Z55" s="4" t="n"/>
      <c r="AA55" s="35" t="n"/>
      <c r="AB55" s="15" t="n"/>
      <c r="AC55" s="15" t="n"/>
      <c r="AD55" s="36" t="n"/>
      <c r="AE55" s="85">
        <f>AF54</f>
        <v/>
      </c>
      <c r="AF55" s="86" t="n">
        <v>45627</v>
      </c>
      <c r="AG55" s="151">
        <f>AF55-AE55</f>
        <v/>
      </c>
    </row>
    <row r="56">
      <c r="A56" s="42">
        <f>A54+1</f>
        <v/>
      </c>
      <c r="B56" s="24" t="inlineStr">
        <is>
          <t>DAY</t>
        </is>
      </c>
      <c r="C56" s="14">
        <f>D55</f>
        <v/>
      </c>
      <c r="D56" s="14" t="n">
        <v>4192</v>
      </c>
      <c r="E56" s="14">
        <f>D56-C56</f>
        <v/>
      </c>
      <c r="F56" s="3" t="n"/>
      <c r="G56" s="3" t="n"/>
      <c r="H56" s="3" t="n"/>
      <c r="I56" s="34" t="n"/>
      <c r="J56" s="50" t="n"/>
      <c r="K56" s="14" t="n"/>
      <c r="L56" s="14" t="n"/>
      <c r="M56" s="151" t="n"/>
      <c r="N56" s="14">
        <f>O55</f>
        <v/>
      </c>
      <c r="O56" s="14" t="n">
        <v>59471</v>
      </c>
      <c r="P56" s="151">
        <f>O56-N56</f>
        <v/>
      </c>
      <c r="Q56" s="84" t="n"/>
      <c r="R56" s="42">
        <f>R54+1</f>
        <v/>
      </c>
      <c r="S56" s="24" t="inlineStr">
        <is>
          <t>DAY</t>
        </is>
      </c>
      <c r="T56" s="14">
        <f>U55</f>
        <v/>
      </c>
      <c r="U56" s="14" t="n">
        <v>2823</v>
      </c>
      <c r="V56" s="14">
        <f>U56-T56</f>
        <v/>
      </c>
      <c r="W56" s="3" t="n">
        <v>300</v>
      </c>
      <c r="X56" s="3" t="n">
        <v>2820</v>
      </c>
      <c r="Y56" s="3">
        <f>X56-X50</f>
        <v/>
      </c>
      <c r="Z56" s="4">
        <f>W56/Y56</f>
        <v/>
      </c>
      <c r="AA56" s="61" t="n"/>
      <c r="AB56" s="62" t="n"/>
      <c r="AC56" s="62" t="n"/>
      <c r="AD56" s="151" t="n"/>
      <c r="AE56" s="85">
        <f>AF55</f>
        <v/>
      </c>
      <c r="AF56" s="14" t="n">
        <v>45796</v>
      </c>
      <c r="AG56" s="151">
        <f>AF56-AE56</f>
        <v/>
      </c>
    </row>
    <row r="57">
      <c r="A57" s="42">
        <f>A56</f>
        <v/>
      </c>
      <c r="B57" s="24" t="inlineStr">
        <is>
          <t>NIGHT</t>
        </is>
      </c>
      <c r="C57" s="14">
        <f>D56</f>
        <v/>
      </c>
      <c r="D57" s="14" t="n">
        <v>4197</v>
      </c>
      <c r="E57" s="14">
        <f>D57-C57</f>
        <v/>
      </c>
      <c r="F57" s="3" t="n"/>
      <c r="G57" s="3" t="n"/>
      <c r="H57" s="3" t="n"/>
      <c r="I57" s="34" t="n"/>
      <c r="J57" s="50" t="n"/>
      <c r="K57" s="14" t="n"/>
      <c r="L57" s="14" t="n"/>
      <c r="M57" s="151" t="n"/>
      <c r="N57" s="14">
        <f>O56</f>
        <v/>
      </c>
      <c r="O57" s="14" t="n">
        <v>59551</v>
      </c>
      <c r="P57" s="151">
        <f>O57-N57</f>
        <v/>
      </c>
      <c r="Q57" s="84" t="n"/>
      <c r="R57" s="42">
        <f>R56</f>
        <v/>
      </c>
      <c r="S57" s="24" t="inlineStr">
        <is>
          <t>NIGHT</t>
        </is>
      </c>
      <c r="T57" s="14">
        <f>U56</f>
        <v/>
      </c>
      <c r="U57" s="14" t="n">
        <v>2830</v>
      </c>
      <c r="V57" s="14">
        <f>U57-T57</f>
        <v/>
      </c>
      <c r="W57" s="3" t="n"/>
      <c r="X57" s="3" t="n"/>
      <c r="Y57" s="3" t="n"/>
      <c r="Z57" s="4" t="n"/>
      <c r="AA57" s="50" t="n"/>
      <c r="AB57" s="14" t="n"/>
      <c r="AC57" s="14" t="n"/>
      <c r="AD57" s="151" t="n"/>
      <c r="AE57" s="85">
        <f>AF56</f>
        <v/>
      </c>
      <c r="AF57" s="14" t="n">
        <v>45898</v>
      </c>
      <c r="AG57" s="151">
        <f>AF57-AE57</f>
        <v/>
      </c>
    </row>
    <row r="58" customFormat="1" s="80">
      <c r="A58" s="42">
        <f>A56+1</f>
        <v/>
      </c>
      <c r="B58" s="24" t="inlineStr">
        <is>
          <t>DAY</t>
        </is>
      </c>
      <c r="C58" s="14">
        <f>D57</f>
        <v/>
      </c>
      <c r="D58" s="14" t="n">
        <v>4201</v>
      </c>
      <c r="E58" s="14">
        <f>D58-C58</f>
        <v/>
      </c>
      <c r="F58" s="3" t="n">
        <v>450</v>
      </c>
      <c r="G58" s="3" t="n">
        <v>4201</v>
      </c>
      <c r="H58" s="3">
        <f>G58-G52</f>
        <v/>
      </c>
      <c r="I58" s="34">
        <f>F58/H58</f>
        <v/>
      </c>
      <c r="J58" s="50" t="n"/>
      <c r="K58" s="14" t="n"/>
      <c r="L58" s="14" t="n"/>
      <c r="M58" s="151" t="n"/>
      <c r="N58" s="14">
        <f>O57</f>
        <v/>
      </c>
      <c r="O58" s="14" t="n">
        <v>59599</v>
      </c>
      <c r="P58" s="151">
        <f>O58-N58</f>
        <v/>
      </c>
      <c r="Q58" s="84" t="n"/>
      <c r="R58" s="42">
        <f>R56+1</f>
        <v/>
      </c>
      <c r="S58" s="24" t="inlineStr">
        <is>
          <t>DAY</t>
        </is>
      </c>
      <c r="T58" s="14">
        <f>U57</f>
        <v/>
      </c>
      <c r="U58" s="14" t="n">
        <v>2833</v>
      </c>
      <c r="V58" s="14">
        <f>U58-T58</f>
        <v/>
      </c>
      <c r="W58" s="3" t="n">
        <v>300</v>
      </c>
      <c r="X58" s="3" t="n">
        <v>2833</v>
      </c>
      <c r="Y58" s="3">
        <f>X58-X56</f>
        <v/>
      </c>
      <c r="Z58" s="4">
        <f>W58/Y58</f>
        <v/>
      </c>
      <c r="AA58" s="50" t="n"/>
      <c r="AB58" s="14" t="n"/>
      <c r="AC58" s="14" t="n"/>
      <c r="AD58" s="151" t="n"/>
      <c r="AE58" s="85">
        <f>AF57</f>
        <v/>
      </c>
      <c r="AF58" s="14" t="n">
        <v>45943</v>
      </c>
      <c r="AG58" s="151">
        <f>AF58-AE58</f>
        <v/>
      </c>
    </row>
    <row r="59" ht="15.75" customFormat="1" customHeight="1" s="80" thickBot="1">
      <c r="A59" s="42">
        <f>A58</f>
        <v/>
      </c>
      <c r="B59" s="24" t="inlineStr">
        <is>
          <t>NIGHT</t>
        </is>
      </c>
      <c r="C59" s="14">
        <f>D58</f>
        <v/>
      </c>
      <c r="D59" s="14" t="n">
        <v>4211</v>
      </c>
      <c r="E59" s="14">
        <f>D59-C59</f>
        <v/>
      </c>
      <c r="F59" s="3" t="n"/>
      <c r="G59" s="3" t="n"/>
      <c r="H59" s="3" t="n"/>
      <c r="I59" s="34" t="n"/>
      <c r="J59" s="50" t="n"/>
      <c r="K59" s="14" t="n"/>
      <c r="L59" s="14" t="n"/>
      <c r="M59" s="151" t="n"/>
      <c r="N59" s="14">
        <f>O58</f>
        <v/>
      </c>
      <c r="O59" s="14" t="n">
        <v>59722</v>
      </c>
      <c r="P59" s="151">
        <f>O59-N59</f>
        <v/>
      </c>
      <c r="Q59" s="84" t="n"/>
      <c r="R59" s="42">
        <f>R58</f>
        <v/>
      </c>
      <c r="S59" s="24" t="inlineStr">
        <is>
          <t>NIGHT</t>
        </is>
      </c>
      <c r="T59" s="14">
        <f>U58</f>
        <v/>
      </c>
      <c r="U59" s="14" t="n">
        <v>2839</v>
      </c>
      <c r="V59" s="14">
        <f>U59-T59</f>
        <v/>
      </c>
      <c r="W59" s="3" t="n"/>
      <c r="X59" s="3" t="n"/>
      <c r="Y59" s="3" t="n"/>
      <c r="Z59" s="4" t="n"/>
      <c r="AA59" s="50" t="n"/>
      <c r="AB59" s="14" t="n"/>
      <c r="AC59" s="14" t="n"/>
      <c r="AD59" s="151" t="n"/>
      <c r="AE59" s="85">
        <f>AF58</f>
        <v/>
      </c>
      <c r="AF59" s="14" t="n">
        <v>46011</v>
      </c>
      <c r="AG59" s="151">
        <f>AF59-AE59</f>
        <v/>
      </c>
    </row>
    <row r="60" ht="15.75" customHeight="1" thickBot="1">
      <c r="A60" s="153" t="inlineStr">
        <is>
          <t>TOTAL HMR</t>
        </is>
      </c>
      <c r="B60" s="154" t="n"/>
      <c r="C60" s="154" t="n"/>
      <c r="D60" s="155" t="n"/>
      <c r="E60" s="74">
        <f>SUM(E4:E59)</f>
        <v/>
      </c>
      <c r="F60" s="74">
        <f>SUM(F4:F59)</f>
        <v/>
      </c>
      <c r="G60" s="74" t="n"/>
      <c r="H60" s="74">
        <f>SUM(H4:H59)</f>
        <v/>
      </c>
      <c r="I60" s="59">
        <f>F60/H60</f>
        <v/>
      </c>
      <c r="J60" s="56" t="n"/>
      <c r="K60" s="57" t="n"/>
      <c r="L60" s="83">
        <f>SUM(L4:L59)</f>
        <v/>
      </c>
      <c r="M60" s="58" t="n"/>
      <c r="N60" s="63" t="n"/>
      <c r="O60" s="60" t="n"/>
      <c r="P60" s="74">
        <f>SUM(P4:P59)</f>
        <v/>
      </c>
      <c r="R60" s="153" t="inlineStr">
        <is>
          <t>TOTAL HMR</t>
        </is>
      </c>
      <c r="S60" s="154" t="n"/>
      <c r="T60" s="154" t="n"/>
      <c r="U60" s="155" t="n"/>
      <c r="V60" s="74">
        <f>SUM(V4:V59)</f>
        <v/>
      </c>
      <c r="W60" s="74">
        <f>SUM(W4:W59)</f>
        <v/>
      </c>
      <c r="X60" s="74" t="n"/>
      <c r="Y60" s="74">
        <f>SUM(Y4:Y59)</f>
        <v/>
      </c>
      <c r="Z60" s="59">
        <f>W60/Y60</f>
        <v/>
      </c>
      <c r="AA60" s="56" t="n"/>
      <c r="AB60" s="57" t="n"/>
      <c r="AC60" s="78">
        <f>SUM(AC4:AC59)</f>
        <v/>
      </c>
      <c r="AD60" s="58" t="n"/>
      <c r="AE60" s="63" t="n"/>
      <c r="AF60" s="1" t="n"/>
      <c r="AG60" s="74">
        <f>SUM(AG4:AG59)</f>
        <v/>
      </c>
    </row>
    <row r="61">
      <c r="A61" s="144" t="inlineStr">
        <is>
          <t>FIX HMR INVOICE NO….........................</t>
        </is>
      </c>
      <c r="B61" s="145" t="n"/>
      <c r="C61" s="145" t="n"/>
      <c r="D61" s="146" t="n"/>
      <c r="E61" s="73" t="n">
        <v>520</v>
      </c>
      <c r="F61" s="22" t="n"/>
      <c r="G61" s="22" t="n"/>
      <c r="H61" s="22" t="n"/>
      <c r="I61" s="23">
        <f>F60/E60</f>
        <v/>
      </c>
      <c r="J61" s="38" t="n"/>
      <c r="K61" s="23" t="n"/>
      <c r="L61" s="23" t="n"/>
      <c r="M61" s="39" t="n"/>
      <c r="N61" s="64" t="n"/>
      <c r="O61" s="23" t="n"/>
      <c r="P61" s="39" t="n"/>
      <c r="R61" s="144" t="inlineStr">
        <is>
          <t>FIX HMR INVOICE NO….........................</t>
        </is>
      </c>
      <c r="S61" s="145" t="n"/>
      <c r="T61" s="145" t="n"/>
      <c r="U61" s="146" t="n"/>
      <c r="V61" s="73" t="n">
        <v>520</v>
      </c>
      <c r="W61" s="22" t="n"/>
      <c r="X61" s="22" t="n"/>
      <c r="Y61" s="22" t="n"/>
      <c r="Z61" s="23">
        <f>W60/V60</f>
        <v/>
      </c>
      <c r="AA61" s="38" t="n"/>
      <c r="AB61" s="23" t="n"/>
      <c r="AC61" s="23" t="n"/>
      <c r="AD61" s="39" t="n"/>
      <c r="AE61" s="64" t="n"/>
      <c r="AF61" s="60" t="n"/>
      <c r="AG61" s="39" t="n"/>
    </row>
    <row r="62" ht="15.75" customHeight="1" thickBot="1">
      <c r="A62" s="141" t="inlineStr">
        <is>
          <t>EXTRA HMR INVOICE NO. …..................</t>
        </is>
      </c>
      <c r="B62" s="142" t="n"/>
      <c r="C62" s="142" t="n"/>
      <c r="D62" s="143" t="n"/>
      <c r="E62" s="27">
        <f>IF(E60-E61&lt;0,0,E60-E61)</f>
        <v/>
      </c>
      <c r="F62" s="27" t="n"/>
      <c r="G62" s="27" t="n"/>
      <c r="H62" s="27" t="n"/>
      <c r="I62" s="45" t="n"/>
      <c r="J62" s="141" t="n"/>
      <c r="K62" s="27" t="n"/>
      <c r="L62" s="27" t="n"/>
      <c r="M62" s="21" t="n"/>
      <c r="N62" s="65" t="n"/>
      <c r="O62" s="27" t="n"/>
      <c r="P62" s="21" t="n"/>
      <c r="R62" s="141" t="inlineStr">
        <is>
          <t>EXTRA HMR INVOICE NO. …..................</t>
        </is>
      </c>
      <c r="S62" s="142" t="n"/>
      <c r="T62" s="142" t="n"/>
      <c r="U62" s="143" t="n"/>
      <c r="V62" s="27">
        <f>IF(V60-V61&lt;0,0,V60-V61)</f>
        <v/>
      </c>
      <c r="W62" s="27" t="n"/>
      <c r="X62" s="27" t="n"/>
      <c r="Y62" s="27" t="n"/>
      <c r="Z62" s="27" t="n"/>
      <c r="AA62" s="141" t="n"/>
      <c r="AB62" s="27" t="n"/>
      <c r="AC62" s="27" t="n"/>
      <c r="AD62" s="21" t="n"/>
      <c r="AE62" s="65" t="n"/>
      <c r="AF62" s="23" t="n"/>
      <c r="AG62" s="21" t="n"/>
    </row>
    <row r="64">
      <c r="A64" s="13" t="inlineStr">
        <is>
          <t>25-26/H/1482-JAN-26-RS-02-CN-RS.1000-1 Day-No Operator (No Running)</t>
        </is>
      </c>
    </row>
    <row r="65">
      <c r="A65" s="13" t="inlineStr">
        <is>
          <t>CN/25-26/R-H/57</t>
        </is>
      </c>
    </row>
  </sheetData>
  <mergeCells count="8">
    <mergeCell ref="R61:U61"/>
    <mergeCell ref="A61:D61"/>
    <mergeCell ref="A1:M1"/>
    <mergeCell ref="R62:U62"/>
    <mergeCell ref="A62:D62"/>
    <mergeCell ref="R1:AD1"/>
    <mergeCell ref="R60:U60"/>
    <mergeCell ref="A60:D60"/>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AG71"/>
  <sheetViews>
    <sheetView zoomScale="85" zoomScaleNormal="85" workbookViewId="0">
      <pane xSplit="1" ySplit="2" topLeftCell="B39" activePane="bottomRight" state="frozen"/>
      <selection pane="topRight" activeCell="B1" sqref="B1"/>
      <selection pane="bottomLeft" activeCell="A3" sqref="A3"/>
      <selection pane="bottomRight" activeCell="I67" sqref="I67"/>
    </sheetView>
  </sheetViews>
  <sheetFormatPr baseColWidth="8" defaultRowHeight="15"/>
  <cols>
    <col width="12.28515625" customWidth="1" min="1" max="1"/>
    <col width="12.28515625" bestFit="1" customWidth="1" min="13" max="13"/>
  </cols>
  <sheetData>
    <row r="1" ht="24" customHeight="1" thickBot="1">
      <c r="A1" s="147" t="inlineStr">
        <is>
          <t>SANY-2025-650 Ltr (RS-02)</t>
        </is>
      </c>
      <c r="B1" s="148" t="n"/>
      <c r="C1" s="148" t="n"/>
      <c r="D1" s="148" t="n"/>
      <c r="E1" s="148" t="n"/>
      <c r="F1" s="148" t="n"/>
      <c r="G1" s="148" t="n"/>
      <c r="H1" s="148" t="n"/>
      <c r="I1" s="148" t="n"/>
      <c r="J1" s="148" t="n"/>
      <c r="K1" s="148" t="n"/>
      <c r="L1" s="148" t="n"/>
      <c r="M1" s="148" t="n"/>
      <c r="N1" s="25" t="n"/>
      <c r="O1" s="25" t="n"/>
      <c r="P1" s="25" t="n"/>
      <c r="R1" s="147" t="inlineStr">
        <is>
          <t>Hyster-2025 (RS-03)</t>
        </is>
      </c>
      <c r="S1" s="148" t="n"/>
      <c r="T1" s="148" t="n"/>
      <c r="U1" s="148" t="n"/>
      <c r="V1" s="148" t="n"/>
      <c r="W1" s="148" t="n"/>
      <c r="X1" s="148" t="n"/>
      <c r="Y1" s="148" t="n"/>
      <c r="Z1" s="148" t="n"/>
      <c r="AA1" s="148" t="n"/>
      <c r="AB1" s="148" t="n"/>
      <c r="AC1" s="148" t="n"/>
      <c r="AD1" s="148" t="n"/>
    </row>
    <row r="2" ht="63.75" customHeight="1" thickBot="1">
      <c r="A2" s="28" t="inlineStr">
        <is>
          <t>DATE</t>
        </is>
      </c>
      <c r="B2" s="40" t="inlineStr">
        <is>
          <t>SHIFT</t>
        </is>
      </c>
      <c r="C2" s="29" t="inlineStr">
        <is>
          <t>START HMR</t>
        </is>
      </c>
      <c r="D2" s="29" t="inlineStr">
        <is>
          <t>END HMR</t>
        </is>
      </c>
      <c r="E2" s="29" t="inlineStr">
        <is>
          <t>WORKING HMR</t>
        </is>
      </c>
      <c r="F2" s="29" t="inlineStr">
        <is>
          <t>DIESEL RECEIVED</t>
        </is>
      </c>
      <c r="G2" s="29" t="inlineStr">
        <is>
          <t>HMR</t>
        </is>
      </c>
      <c r="H2" s="29" t="inlineStr">
        <is>
          <t>Diesel filling Hours</t>
        </is>
      </c>
      <c r="I2" s="30" t="inlineStr">
        <is>
          <t>Average</t>
        </is>
      </c>
      <c r="J2" s="28" t="inlineStr">
        <is>
          <t>B/D Start Time</t>
        </is>
      </c>
      <c r="K2" s="29" t="inlineStr">
        <is>
          <t>B/D End Time</t>
        </is>
      </c>
      <c r="L2" s="29" t="inlineStr">
        <is>
          <t>Total B/D Hours</t>
        </is>
      </c>
      <c r="M2" s="30" t="inlineStr">
        <is>
          <t>B/D Reason</t>
        </is>
      </c>
      <c r="N2" s="46" t="inlineStr">
        <is>
          <t>Start Conatiner</t>
        </is>
      </c>
      <c r="O2" s="47" t="inlineStr">
        <is>
          <t>End Conatiner</t>
        </is>
      </c>
      <c r="P2" s="48" t="inlineStr">
        <is>
          <t>Per Day Container Count</t>
        </is>
      </c>
      <c r="R2" s="28" t="inlineStr">
        <is>
          <t>DATE</t>
        </is>
      </c>
      <c r="S2" s="40" t="inlineStr">
        <is>
          <t>SHIFT</t>
        </is>
      </c>
      <c r="T2" s="29" t="inlineStr">
        <is>
          <t>START HMR</t>
        </is>
      </c>
      <c r="U2" s="29" t="inlineStr">
        <is>
          <t>END HMR</t>
        </is>
      </c>
      <c r="V2" s="29" t="inlineStr">
        <is>
          <t>WORKING HMR</t>
        </is>
      </c>
      <c r="W2" s="29" t="inlineStr">
        <is>
          <t>DIESEL RECEIVED</t>
        </is>
      </c>
      <c r="X2" s="29" t="inlineStr">
        <is>
          <t>HMR</t>
        </is>
      </c>
      <c r="Y2" s="29" t="inlineStr">
        <is>
          <t>Diesel filling Hours</t>
        </is>
      </c>
      <c r="Z2" s="29" t="inlineStr">
        <is>
          <t>Average</t>
        </is>
      </c>
      <c r="AA2" s="28" t="inlineStr">
        <is>
          <t>B/D Start Time</t>
        </is>
      </c>
      <c r="AB2" s="29" t="inlineStr">
        <is>
          <t>B/D End Time</t>
        </is>
      </c>
      <c r="AC2" s="29" t="inlineStr">
        <is>
          <t>Total B/D Hours</t>
        </is>
      </c>
      <c r="AD2" s="30" t="inlineStr">
        <is>
          <t>B/D Reason</t>
        </is>
      </c>
      <c r="AE2" s="46" t="inlineStr">
        <is>
          <t>Start Conatiner</t>
        </is>
      </c>
      <c r="AF2" s="47" t="inlineStr">
        <is>
          <t>End Conatiner</t>
        </is>
      </c>
      <c r="AG2" s="48" t="inlineStr">
        <is>
          <t>Per Day Container Count</t>
        </is>
      </c>
    </row>
    <row r="3" ht="15.75" customHeight="1">
      <c r="A3" s="17" t="inlineStr">
        <is>
          <t>Prev</t>
        </is>
      </c>
      <c r="B3" s="8" t="n"/>
      <c r="C3" s="2" t="n"/>
      <c r="D3" s="2" t="n"/>
      <c r="E3" s="2" t="n"/>
      <c r="F3" s="6" t="n"/>
      <c r="G3" s="3" t="n">
        <v>4201</v>
      </c>
      <c r="H3" s="6" t="n"/>
      <c r="I3" s="18" t="n"/>
      <c r="J3" s="31" t="n"/>
      <c r="K3" s="6" t="n"/>
      <c r="L3" s="6" t="n"/>
      <c r="M3" s="18" t="n"/>
      <c r="N3" s="31" t="n"/>
      <c r="O3" s="6" t="n"/>
      <c r="P3" s="18" t="n"/>
      <c r="Q3" s="13" t="n"/>
      <c r="R3" s="17" t="inlineStr">
        <is>
          <t>Prev</t>
        </is>
      </c>
      <c r="S3" s="8" t="n"/>
      <c r="T3" s="2" t="n"/>
      <c r="U3" s="2" t="n"/>
      <c r="V3" s="2" t="n"/>
      <c r="W3" s="6" t="n"/>
      <c r="X3" s="3" t="n">
        <v>2833</v>
      </c>
      <c r="Y3" s="6" t="n"/>
      <c r="Z3" s="6" t="n"/>
      <c r="AA3" s="31" t="n"/>
      <c r="AB3" s="6" t="n"/>
      <c r="AC3" s="6" t="n"/>
      <c r="AD3" s="18" t="n"/>
      <c r="AE3" s="31" t="n"/>
      <c r="AF3" s="6" t="n"/>
      <c r="AG3" s="18" t="n"/>
    </row>
    <row r="4">
      <c r="A4" s="42" t="n">
        <v>46082</v>
      </c>
      <c r="B4" s="24" t="inlineStr">
        <is>
          <t>DAY</t>
        </is>
      </c>
      <c r="C4" s="14" t="n">
        <v>4211</v>
      </c>
      <c r="D4" s="14" t="n">
        <v>4221</v>
      </c>
      <c r="E4" s="14">
        <f>D4-C4</f>
        <v/>
      </c>
      <c r="F4" s="3" t="n"/>
      <c r="G4" s="3" t="n"/>
      <c r="H4" s="3" t="n"/>
      <c r="I4" s="34" t="n"/>
      <c r="J4" s="32" t="n"/>
      <c r="K4" s="3" t="n"/>
      <c r="L4" s="3" t="n"/>
      <c r="M4" s="19" t="n"/>
      <c r="N4" s="14" t="n">
        <v>59722</v>
      </c>
      <c r="O4" s="14" t="n">
        <v>59825</v>
      </c>
      <c r="P4" s="151">
        <f>O4-N4</f>
        <v/>
      </c>
      <c r="Q4" s="84" t="n"/>
      <c r="R4" s="42" t="n">
        <v>46082</v>
      </c>
      <c r="S4" s="24" t="inlineStr">
        <is>
          <t>DAY</t>
        </is>
      </c>
      <c r="T4" s="14" t="n">
        <v>2839</v>
      </c>
      <c r="U4" s="14" t="n">
        <v>2848</v>
      </c>
      <c r="V4" s="14">
        <f>U4-T4</f>
        <v/>
      </c>
      <c r="W4" s="3" t="n"/>
      <c r="X4" s="3" t="n"/>
      <c r="Y4" s="3" t="n"/>
      <c r="Z4" s="4" t="n"/>
      <c r="AA4" s="32" t="n"/>
      <c r="AB4" s="3" t="n"/>
      <c r="AC4" s="3" t="n"/>
      <c r="AD4" s="19" t="n"/>
      <c r="AE4" s="14" t="n">
        <v>46011</v>
      </c>
      <c r="AF4" s="14" t="n">
        <v>46192</v>
      </c>
      <c r="AG4" s="151">
        <f>AF4-AE4</f>
        <v/>
      </c>
    </row>
    <row r="5">
      <c r="A5" s="42">
        <f>A4</f>
        <v/>
      </c>
      <c r="B5" s="24" t="inlineStr">
        <is>
          <t>NIGHT</t>
        </is>
      </c>
      <c r="C5" s="14">
        <f>D4</f>
        <v/>
      </c>
      <c r="D5" s="14" t="n">
        <v>4227</v>
      </c>
      <c r="E5" s="14">
        <f>D5-C5</f>
        <v/>
      </c>
      <c r="F5" s="3" t="n"/>
      <c r="G5" s="3" t="n"/>
      <c r="H5" s="3" t="n"/>
      <c r="I5" s="34" t="n"/>
      <c r="J5" s="32" t="n"/>
      <c r="K5" s="3" t="n"/>
      <c r="L5" s="3" t="n"/>
      <c r="M5" s="19" t="n"/>
      <c r="N5" s="14">
        <f>O4</f>
        <v/>
      </c>
      <c r="O5" s="14" t="n">
        <v>59920</v>
      </c>
      <c r="P5" s="151">
        <f>O5-N5</f>
        <v/>
      </c>
      <c r="Q5" s="84" t="n"/>
      <c r="R5" s="42">
        <f>R4</f>
        <v/>
      </c>
      <c r="S5" s="24" t="inlineStr">
        <is>
          <t>NIGHT</t>
        </is>
      </c>
      <c r="T5" s="14">
        <f>U4</f>
        <v/>
      </c>
      <c r="U5" s="14" t="n">
        <v>2854</v>
      </c>
      <c r="V5" s="14">
        <f>U5-T5</f>
        <v/>
      </c>
      <c r="W5" s="3" t="n"/>
      <c r="X5" s="3" t="n"/>
      <c r="Y5" s="3" t="n"/>
      <c r="Z5" s="4" t="n"/>
      <c r="AA5" s="32" t="n"/>
      <c r="AB5" s="3" t="n"/>
      <c r="AC5" s="3" t="n"/>
      <c r="AD5" s="19" t="n"/>
      <c r="AE5" s="85">
        <f>AF4</f>
        <v/>
      </c>
      <c r="AF5" s="14" t="n">
        <v>46272</v>
      </c>
      <c r="AG5" s="151">
        <f>AF5-AE5</f>
        <v/>
      </c>
    </row>
    <row r="6">
      <c r="A6" s="42">
        <f>A4+1</f>
        <v/>
      </c>
      <c r="B6" s="24" t="inlineStr">
        <is>
          <t>DAY</t>
        </is>
      </c>
      <c r="C6" s="14">
        <f>D5</f>
        <v/>
      </c>
      <c r="D6" s="14" t="n">
        <v>4237</v>
      </c>
      <c r="E6" s="14">
        <f>D6-C6</f>
        <v/>
      </c>
      <c r="F6" s="3" t="n">
        <v>300</v>
      </c>
      <c r="G6" s="3" t="n">
        <v>4232</v>
      </c>
      <c r="H6" s="3">
        <f>G6-G3</f>
        <v/>
      </c>
      <c r="I6" s="34">
        <f>F6/H6</f>
        <v/>
      </c>
      <c r="J6" s="33" t="n"/>
      <c r="K6" s="4" t="n"/>
      <c r="L6" s="4" t="n"/>
      <c r="M6" s="34" t="n"/>
      <c r="N6" s="14">
        <f>O5</f>
        <v/>
      </c>
      <c r="O6" s="14" t="n">
        <v>60062</v>
      </c>
      <c r="P6" s="151">
        <f>O6-N6</f>
        <v/>
      </c>
      <c r="Q6" s="84" t="n"/>
      <c r="R6" s="42">
        <f>R4+1</f>
        <v/>
      </c>
      <c r="S6" s="24" t="inlineStr">
        <is>
          <t>DAY</t>
        </is>
      </c>
      <c r="T6" s="14">
        <f>U5</f>
        <v/>
      </c>
      <c r="U6" s="14" t="n">
        <v>2856</v>
      </c>
      <c r="V6" s="14">
        <f>U6-T6</f>
        <v/>
      </c>
      <c r="W6" s="3" t="n">
        <v>500</v>
      </c>
      <c r="X6" s="3" t="n">
        <v>2856</v>
      </c>
      <c r="Y6" s="3">
        <f>X6-X3</f>
        <v/>
      </c>
      <c r="Z6" s="4">
        <f>W6/Y6</f>
        <v/>
      </c>
      <c r="AA6" s="33" t="n"/>
      <c r="AB6" s="4" t="n"/>
      <c r="AC6" s="4" t="n"/>
      <c r="AD6" s="34" t="n"/>
      <c r="AE6" s="85">
        <f>AF5</f>
        <v/>
      </c>
      <c r="AF6" s="14" t="n">
        <v>46289</v>
      </c>
      <c r="AG6" s="151">
        <f>AF6-AE6</f>
        <v/>
      </c>
    </row>
    <row r="7">
      <c r="A7" s="42">
        <f>A6</f>
        <v/>
      </c>
      <c r="B7" s="24" t="inlineStr">
        <is>
          <t>NIGHT</t>
        </is>
      </c>
      <c r="C7" s="14">
        <f>D6</f>
        <v/>
      </c>
      <c r="D7" s="14" t="n">
        <v>4242</v>
      </c>
      <c r="E7" s="14">
        <f>D7-C7</f>
        <v/>
      </c>
      <c r="F7" s="3" t="n"/>
      <c r="G7" s="3" t="n"/>
      <c r="H7" s="3" t="n"/>
      <c r="I7" s="34" t="n"/>
      <c r="J7" s="33" t="n"/>
      <c r="K7" s="4" t="n"/>
      <c r="L7" s="4" t="n"/>
      <c r="M7" s="34" t="n"/>
      <c r="N7" s="14">
        <f>O6</f>
        <v/>
      </c>
      <c r="O7" s="14" t="n">
        <v>60114</v>
      </c>
      <c r="P7" s="151">
        <f>O7-N7</f>
        <v/>
      </c>
      <c r="Q7" s="84" t="n"/>
      <c r="R7" s="42">
        <f>R6</f>
        <v/>
      </c>
      <c r="S7" s="24" t="inlineStr">
        <is>
          <t>NIGHT</t>
        </is>
      </c>
      <c r="T7" s="14">
        <f>U6</f>
        <v/>
      </c>
      <c r="U7" s="14" t="n">
        <v>2860</v>
      </c>
      <c r="V7" s="14">
        <f>U7-T7</f>
        <v/>
      </c>
      <c r="W7" s="3" t="n"/>
      <c r="X7" s="3" t="n"/>
      <c r="Y7" s="3" t="n"/>
      <c r="Z7" s="4" t="n"/>
      <c r="AA7" s="33" t="n"/>
      <c r="AB7" s="4" t="n"/>
      <c r="AC7" s="4" t="n"/>
      <c r="AD7" s="34" t="n"/>
      <c r="AE7" s="85">
        <f>AF6</f>
        <v/>
      </c>
      <c r="AF7" s="14" t="n">
        <v>46348</v>
      </c>
      <c r="AG7" s="151">
        <f>AF7-AE7</f>
        <v/>
      </c>
    </row>
    <row r="8">
      <c r="A8" s="42">
        <f>A6+1</f>
        <v/>
      </c>
      <c r="B8" s="24" t="inlineStr">
        <is>
          <t>DAY</t>
        </is>
      </c>
      <c r="C8" s="14">
        <f>D7</f>
        <v/>
      </c>
      <c r="D8" s="14" t="n">
        <v>4248</v>
      </c>
      <c r="E8" s="14">
        <f>D8-C8</f>
        <v/>
      </c>
      <c r="F8" s="3" t="n"/>
      <c r="G8" s="3" t="n"/>
      <c r="H8" s="3" t="n"/>
      <c r="I8" s="34" t="n"/>
      <c r="J8" s="35" t="n"/>
      <c r="K8" s="15" t="n"/>
      <c r="L8" s="15" t="n"/>
      <c r="M8" s="36" t="n"/>
      <c r="N8" s="14">
        <f>O7</f>
        <v/>
      </c>
      <c r="O8" s="14" t="n">
        <v>60200</v>
      </c>
      <c r="P8" s="151">
        <f>O8-N8</f>
        <v/>
      </c>
      <c r="Q8" s="84" t="n"/>
      <c r="R8" s="42">
        <f>R6+1</f>
        <v/>
      </c>
      <c r="S8" s="24" t="inlineStr">
        <is>
          <t>DAY</t>
        </is>
      </c>
      <c r="T8" s="14">
        <f>U7</f>
        <v/>
      </c>
      <c r="U8" s="14" t="n">
        <v>2863</v>
      </c>
      <c r="V8" s="14">
        <f>U8-T8</f>
        <v/>
      </c>
      <c r="W8" s="3" t="n"/>
      <c r="X8" s="3" t="n"/>
      <c r="Y8" s="3" t="n"/>
      <c r="Z8" s="4" t="n"/>
      <c r="AA8" s="35" t="n"/>
      <c r="AB8" s="15" t="n"/>
      <c r="AC8" s="15" t="n"/>
      <c r="AD8" s="36" t="n"/>
      <c r="AE8" s="85">
        <f>AF7</f>
        <v/>
      </c>
      <c r="AF8" s="85" t="n">
        <v>46424</v>
      </c>
      <c r="AG8" s="151">
        <f>AF8-AE8</f>
        <v/>
      </c>
    </row>
    <row r="9">
      <c r="A9" s="42">
        <f>A8</f>
        <v/>
      </c>
      <c r="B9" s="24" t="inlineStr">
        <is>
          <t>NIGHT</t>
        </is>
      </c>
      <c r="C9" s="14">
        <f>D8</f>
        <v/>
      </c>
      <c r="D9" s="14" t="n">
        <v>4254</v>
      </c>
      <c r="E9" s="14">
        <f>D9-C9</f>
        <v/>
      </c>
      <c r="F9" s="3" t="n"/>
      <c r="G9" s="3" t="n"/>
      <c r="H9" s="3" t="n"/>
      <c r="I9" s="34" t="n"/>
      <c r="J9" s="33" t="n"/>
      <c r="K9" s="4" t="n"/>
      <c r="L9" s="4" t="n"/>
      <c r="M9" s="34" t="n"/>
      <c r="N9" s="14">
        <f>O8</f>
        <v/>
      </c>
      <c r="O9" s="14" t="n">
        <v>60276</v>
      </c>
      <c r="P9" s="151">
        <f>O9-N9</f>
        <v/>
      </c>
      <c r="Q9" s="84" t="n"/>
      <c r="R9" s="42">
        <f>R8</f>
        <v/>
      </c>
      <c r="S9" s="24" t="inlineStr">
        <is>
          <t>NIGHT</t>
        </is>
      </c>
      <c r="T9" s="14">
        <f>U8</f>
        <v/>
      </c>
      <c r="U9" s="14" t="n">
        <v>2869</v>
      </c>
      <c r="V9" s="14">
        <f>U9-T9</f>
        <v/>
      </c>
      <c r="W9" s="3" t="n"/>
      <c r="X9" s="3" t="n"/>
      <c r="Y9" s="3" t="n"/>
      <c r="Z9" s="4" t="n"/>
      <c r="AA9" s="33" t="n"/>
      <c r="AB9" s="4" t="n"/>
      <c r="AC9" s="4" t="n"/>
      <c r="AD9" s="34" t="n"/>
      <c r="AE9" s="85">
        <f>AF8</f>
        <v/>
      </c>
      <c r="AF9" s="85" t="n">
        <v>46580</v>
      </c>
      <c r="AG9" s="151">
        <f>AF9-AE9</f>
        <v/>
      </c>
    </row>
    <row r="10">
      <c r="A10" s="42">
        <f>A8+1</f>
        <v/>
      </c>
      <c r="B10" s="24" t="inlineStr">
        <is>
          <t>DAY</t>
        </is>
      </c>
      <c r="C10" s="14">
        <f>D9</f>
        <v/>
      </c>
      <c r="D10" s="14" t="n">
        <v>4262</v>
      </c>
      <c r="E10" s="14">
        <f>D10-C10</f>
        <v/>
      </c>
      <c r="F10" s="3" t="n">
        <v>300</v>
      </c>
      <c r="G10" s="3" t="n">
        <v>4259</v>
      </c>
      <c r="H10" s="3">
        <f>G10-G6</f>
        <v/>
      </c>
      <c r="I10" s="34">
        <f>F10/H10</f>
        <v/>
      </c>
      <c r="J10" s="32" t="n"/>
      <c r="K10" s="3" t="n"/>
      <c r="L10" s="3" t="n"/>
      <c r="M10" s="19" t="n"/>
      <c r="N10" s="14">
        <f>O9</f>
        <v/>
      </c>
      <c r="O10" s="14" t="n">
        <v>60408</v>
      </c>
      <c r="P10" s="151">
        <f>O10-N10</f>
        <v/>
      </c>
      <c r="Q10" s="84" t="n"/>
      <c r="R10" s="42">
        <f>R8+1</f>
        <v/>
      </c>
      <c r="S10" s="24" t="inlineStr">
        <is>
          <t>DAY</t>
        </is>
      </c>
      <c r="T10" s="14">
        <f>U9</f>
        <v/>
      </c>
      <c r="U10" s="14" t="n">
        <v>2874</v>
      </c>
      <c r="V10" s="14">
        <f>U10-T10</f>
        <v/>
      </c>
      <c r="W10" s="3" t="n"/>
      <c r="X10" s="3" t="n"/>
      <c r="Y10" s="3" t="n"/>
      <c r="Z10" s="4" t="n"/>
      <c r="AA10" s="32" t="n"/>
      <c r="AB10" s="3" t="n"/>
      <c r="AC10" s="3" t="n"/>
      <c r="AD10" s="19" t="n"/>
      <c r="AE10" s="85">
        <f>AF9</f>
        <v/>
      </c>
      <c r="AF10" s="85" t="n">
        <v>46683</v>
      </c>
      <c r="AG10" s="151">
        <f>AF10-AE10</f>
        <v/>
      </c>
    </row>
    <row r="11">
      <c r="A11" s="42">
        <f>A10</f>
        <v/>
      </c>
      <c r="B11" s="24" t="inlineStr">
        <is>
          <t>NIGHT</t>
        </is>
      </c>
      <c r="C11" s="14">
        <f>D10</f>
        <v/>
      </c>
      <c r="D11" s="14" t="n">
        <v>4269</v>
      </c>
      <c r="E11" s="14">
        <f>D11-C11</f>
        <v/>
      </c>
      <c r="F11" s="3" t="n"/>
      <c r="G11" s="3" t="n"/>
      <c r="H11" s="3" t="n"/>
      <c r="I11" s="34" t="n"/>
      <c r="J11" s="32" t="n"/>
      <c r="K11" s="3" t="n"/>
      <c r="L11" s="3" t="n"/>
      <c r="M11" s="19" t="n"/>
      <c r="N11" s="14">
        <f>O10</f>
        <v/>
      </c>
      <c r="O11" s="14" t="n">
        <v>60519</v>
      </c>
      <c r="P11" s="151">
        <f>O11-N11</f>
        <v/>
      </c>
      <c r="Q11" s="84" t="n"/>
      <c r="R11" s="42">
        <f>R10</f>
        <v/>
      </c>
      <c r="S11" s="24" t="inlineStr">
        <is>
          <t>NIGHT</t>
        </is>
      </c>
      <c r="T11" s="14">
        <f>U10</f>
        <v/>
      </c>
      <c r="U11" s="14" t="n">
        <v>2881</v>
      </c>
      <c r="V11" s="14">
        <f>U11-T11</f>
        <v/>
      </c>
      <c r="W11" s="3" t="n"/>
      <c r="X11" s="3" t="n"/>
      <c r="Y11" s="3" t="n"/>
      <c r="Z11" s="4" t="n"/>
      <c r="AA11" s="32" t="n"/>
      <c r="AB11" s="3" t="n"/>
      <c r="AC11" s="3" t="n"/>
      <c r="AD11" s="19" t="n"/>
      <c r="AE11" s="85">
        <f>AF10</f>
        <v/>
      </c>
      <c r="AF11" s="85" t="n">
        <v>46785</v>
      </c>
      <c r="AG11" s="151">
        <f>AF11-AE11</f>
        <v/>
      </c>
    </row>
    <row r="12">
      <c r="A12" s="42">
        <f>A10+1</f>
        <v/>
      </c>
      <c r="B12" s="24" t="inlineStr">
        <is>
          <t>DAY</t>
        </is>
      </c>
      <c r="C12" s="14">
        <f>D11</f>
        <v/>
      </c>
      <c r="D12" s="14" t="n">
        <v>4277</v>
      </c>
      <c r="E12" s="14">
        <f>D12-C12</f>
        <v/>
      </c>
      <c r="F12" s="3" t="n"/>
      <c r="G12" s="3" t="n"/>
      <c r="H12" s="3" t="n"/>
      <c r="I12" s="34" t="n"/>
      <c r="J12" s="32" t="n"/>
      <c r="K12" s="3" t="n"/>
      <c r="L12" s="3" t="n"/>
      <c r="M12" s="19" t="n"/>
      <c r="N12" s="14">
        <f>O11</f>
        <v/>
      </c>
      <c r="O12" s="14" t="n">
        <v>60578</v>
      </c>
      <c r="P12" s="151">
        <f>O12-N12</f>
        <v/>
      </c>
      <c r="Q12" s="84" t="n"/>
      <c r="R12" s="42">
        <f>R10+1</f>
        <v/>
      </c>
      <c r="S12" s="24" t="inlineStr">
        <is>
          <t>DAY</t>
        </is>
      </c>
      <c r="T12" s="14">
        <f>U11</f>
        <v/>
      </c>
      <c r="U12" s="14" t="n">
        <v>2886</v>
      </c>
      <c r="V12" s="14">
        <f>U12-T12</f>
        <v/>
      </c>
      <c r="W12" s="3" t="n">
        <v>300</v>
      </c>
      <c r="X12" s="3" t="n">
        <v>2883</v>
      </c>
      <c r="Y12" s="3">
        <f>X12-X6</f>
        <v/>
      </c>
      <c r="Z12" s="4">
        <f>W12/Y12</f>
        <v/>
      </c>
      <c r="AA12" s="32" t="n"/>
      <c r="AB12" s="3" t="n"/>
      <c r="AC12" s="3" t="n"/>
      <c r="AD12" s="19" t="n"/>
      <c r="AE12" s="85">
        <f>AF11</f>
        <v/>
      </c>
      <c r="AF12" s="85" t="n">
        <v>46842</v>
      </c>
      <c r="AG12" s="151">
        <f>AF12-AE12</f>
        <v/>
      </c>
    </row>
    <row r="13">
      <c r="A13" s="42">
        <f>A12</f>
        <v/>
      </c>
      <c r="B13" s="24" t="inlineStr">
        <is>
          <t>NIGHT</t>
        </is>
      </c>
      <c r="C13" s="14">
        <f>D12</f>
        <v/>
      </c>
      <c r="D13" s="14" t="n">
        <v>4281</v>
      </c>
      <c r="E13" s="14">
        <f>D13-C13</f>
        <v/>
      </c>
      <c r="F13" s="3" t="n"/>
      <c r="G13" s="3" t="n"/>
      <c r="H13" s="3" t="n"/>
      <c r="I13" s="34" t="n"/>
      <c r="J13" s="33" t="n"/>
      <c r="K13" s="4" t="n"/>
      <c r="L13" s="4" t="n"/>
      <c r="M13" s="34" t="n"/>
      <c r="N13" s="14">
        <f>O12</f>
        <v/>
      </c>
      <c r="O13" s="14" t="n">
        <v>60632</v>
      </c>
      <c r="P13" s="151">
        <f>O13-N13</f>
        <v/>
      </c>
      <c r="Q13" s="84" t="n"/>
      <c r="R13" s="42">
        <f>R12</f>
        <v/>
      </c>
      <c r="S13" s="24" t="inlineStr">
        <is>
          <t>NIGHT</t>
        </is>
      </c>
      <c r="T13" s="14">
        <f>U12</f>
        <v/>
      </c>
      <c r="U13" s="14" t="n">
        <v>2894</v>
      </c>
      <c r="V13" s="14">
        <f>U13-T13</f>
        <v/>
      </c>
      <c r="W13" s="3" t="n"/>
      <c r="X13" s="3" t="n"/>
      <c r="Y13" s="3" t="n"/>
      <c r="Z13" s="4" t="n"/>
      <c r="AA13" s="33" t="n"/>
      <c r="AB13" s="4" t="n"/>
      <c r="AC13" s="4" t="n"/>
      <c r="AD13" s="34" t="n"/>
      <c r="AE13" s="85">
        <f>AF12</f>
        <v/>
      </c>
      <c r="AF13" s="85" t="n">
        <v>47016</v>
      </c>
      <c r="AG13" s="151">
        <f>AF13-AE13</f>
        <v/>
      </c>
    </row>
    <row r="14">
      <c r="A14" s="42">
        <f>A12+1</f>
        <v/>
      </c>
      <c r="B14" s="24" t="inlineStr">
        <is>
          <t>DAY</t>
        </is>
      </c>
      <c r="C14" s="14">
        <f>D13</f>
        <v/>
      </c>
      <c r="D14" s="14" t="n">
        <v>4287</v>
      </c>
      <c r="E14" s="14">
        <f>D14-C14</f>
        <v/>
      </c>
      <c r="F14" s="3" t="n">
        <v>450</v>
      </c>
      <c r="G14" s="3" t="n">
        <v>4286</v>
      </c>
      <c r="H14" s="3">
        <f>G14-G10</f>
        <v/>
      </c>
      <c r="I14" s="34">
        <f>F14/H14</f>
        <v/>
      </c>
      <c r="J14" s="35" t="n"/>
      <c r="K14" s="15" t="n"/>
      <c r="L14" s="15" t="n"/>
      <c r="M14" s="36" t="n"/>
      <c r="N14" s="14">
        <f>O13</f>
        <v/>
      </c>
      <c r="O14" s="14" t="n">
        <v>60715</v>
      </c>
      <c r="P14" s="151">
        <f>O14-N14</f>
        <v/>
      </c>
      <c r="Q14" s="84" t="n"/>
      <c r="R14" s="42">
        <f>R12+1</f>
        <v/>
      </c>
      <c r="S14" s="24" t="inlineStr">
        <is>
          <t>DAY</t>
        </is>
      </c>
      <c r="T14" s="14">
        <f>U13</f>
        <v/>
      </c>
      <c r="U14" s="14" t="n">
        <v>2902</v>
      </c>
      <c r="V14" s="14">
        <f>U14-T14</f>
        <v/>
      </c>
      <c r="W14" s="3" t="n"/>
      <c r="X14" s="3" t="n"/>
      <c r="Y14" s="3" t="n"/>
      <c r="Z14" s="4" t="n"/>
      <c r="AA14" s="35" t="n"/>
      <c r="AB14" s="15" t="n"/>
      <c r="AC14" s="15" t="n"/>
      <c r="AD14" s="36" t="n"/>
      <c r="AE14" s="85">
        <f>AF13</f>
        <v/>
      </c>
      <c r="AF14" s="85" t="n">
        <v>47152</v>
      </c>
      <c r="AG14" s="151">
        <f>AF14-AE14</f>
        <v/>
      </c>
    </row>
    <row r="15">
      <c r="A15" s="42">
        <f>A14</f>
        <v/>
      </c>
      <c r="B15" s="24" t="inlineStr">
        <is>
          <t>NIGHT</t>
        </is>
      </c>
      <c r="C15" s="14">
        <f>D14</f>
        <v/>
      </c>
      <c r="D15" s="14" t="n">
        <v>4288</v>
      </c>
      <c r="E15" s="14">
        <f>D15-C15</f>
        <v/>
      </c>
      <c r="F15" s="3" t="n"/>
      <c r="G15" s="3" t="n"/>
      <c r="H15" s="3" t="n"/>
      <c r="I15" s="34" t="n"/>
      <c r="J15" s="32" t="n"/>
      <c r="K15" s="3" t="n"/>
      <c r="L15" s="3" t="n"/>
      <c r="M15" s="19" t="n"/>
      <c r="N15" s="14">
        <f>O14</f>
        <v/>
      </c>
      <c r="O15" s="14" t="n">
        <v>60724</v>
      </c>
      <c r="P15" s="151">
        <f>O15-N15</f>
        <v/>
      </c>
      <c r="Q15" s="84" t="n"/>
      <c r="R15" s="42">
        <f>R14</f>
        <v/>
      </c>
      <c r="S15" s="24" t="inlineStr">
        <is>
          <t>NIGHT</t>
        </is>
      </c>
      <c r="T15" s="14">
        <f>U14</f>
        <v/>
      </c>
      <c r="U15" s="14" t="n">
        <v>2907</v>
      </c>
      <c r="V15" s="14">
        <f>U15-T15</f>
        <v/>
      </c>
      <c r="W15" s="3" t="n"/>
      <c r="X15" s="3" t="n"/>
      <c r="Y15" s="3" t="n"/>
      <c r="Z15" s="4" t="n"/>
      <c r="AA15" s="32" t="n"/>
      <c r="AB15" s="3" t="n"/>
      <c r="AC15" s="3" t="n"/>
      <c r="AD15" s="19" t="n"/>
      <c r="AE15" s="85">
        <f>AF14</f>
        <v/>
      </c>
      <c r="AF15" s="85" t="n">
        <v>47208</v>
      </c>
      <c r="AG15" s="151">
        <f>AF15-AE15</f>
        <v/>
      </c>
    </row>
    <row r="16">
      <c r="A16" s="42">
        <f>A14+1</f>
        <v/>
      </c>
      <c r="B16" s="24" t="inlineStr">
        <is>
          <t>DAY</t>
        </is>
      </c>
      <c r="C16" s="14">
        <f>D15</f>
        <v/>
      </c>
      <c r="D16" s="14" t="n">
        <v>4293</v>
      </c>
      <c r="E16" s="14">
        <f>D16-C16</f>
        <v/>
      </c>
      <c r="F16" s="3" t="n"/>
      <c r="G16" s="3" t="n"/>
      <c r="H16" s="3" t="n"/>
      <c r="I16" s="34" t="n"/>
      <c r="J16" s="32" t="n"/>
      <c r="K16" s="3" t="n"/>
      <c r="L16" s="3" t="n"/>
      <c r="M16" s="19" t="n"/>
      <c r="N16" s="14">
        <f>O15</f>
        <v/>
      </c>
      <c r="O16" s="14" t="n">
        <v>60794</v>
      </c>
      <c r="P16" s="151">
        <f>O16-N16</f>
        <v/>
      </c>
      <c r="Q16" s="84" t="n"/>
      <c r="R16" s="42">
        <f>R14+1</f>
        <v/>
      </c>
      <c r="S16" s="24" t="inlineStr">
        <is>
          <t>DAY</t>
        </is>
      </c>
      <c r="T16" s="14">
        <f>U15</f>
        <v/>
      </c>
      <c r="U16" s="14" t="n">
        <v>2911</v>
      </c>
      <c r="V16" s="14">
        <f>U16-T16</f>
        <v/>
      </c>
      <c r="W16" s="3" t="n">
        <v>500</v>
      </c>
      <c r="X16" s="3" t="n">
        <v>2911</v>
      </c>
      <c r="Y16" s="3">
        <f>X16-X12</f>
        <v/>
      </c>
      <c r="Z16" s="4">
        <f>W16/Y16</f>
        <v/>
      </c>
      <c r="AA16" s="32" t="n"/>
      <c r="AB16" s="3" t="n"/>
      <c r="AC16" s="3" t="n"/>
      <c r="AD16" s="19" t="n"/>
      <c r="AE16" s="85">
        <f>AF15</f>
        <v/>
      </c>
      <c r="AF16" s="85" t="n">
        <v>47260</v>
      </c>
      <c r="AG16" s="151">
        <f>AF16-AE16</f>
        <v/>
      </c>
    </row>
    <row r="17">
      <c r="A17" s="42">
        <f>A16</f>
        <v/>
      </c>
      <c r="B17" s="24" t="inlineStr">
        <is>
          <t>NIGHT</t>
        </is>
      </c>
      <c r="C17" s="14">
        <f>D16</f>
        <v/>
      </c>
      <c r="D17" s="14" t="n">
        <v>4301</v>
      </c>
      <c r="E17" s="14">
        <f>D17-C17</f>
        <v/>
      </c>
      <c r="F17" s="3" t="n"/>
      <c r="G17" s="3" t="n"/>
      <c r="H17" s="3" t="n"/>
      <c r="I17" s="34" t="n"/>
      <c r="J17" s="32" t="n"/>
      <c r="K17" s="3" t="n"/>
      <c r="L17" s="3" t="n"/>
      <c r="M17" s="19" t="n"/>
      <c r="N17" s="14">
        <f>O16</f>
        <v/>
      </c>
      <c r="O17" s="14" t="n">
        <v>60928</v>
      </c>
      <c r="P17" s="151">
        <f>O17-N17</f>
        <v/>
      </c>
      <c r="Q17" s="84" t="n"/>
      <c r="R17" s="42">
        <f>R16</f>
        <v/>
      </c>
      <c r="S17" s="24" t="inlineStr">
        <is>
          <t>NIGHT</t>
        </is>
      </c>
      <c r="T17" s="14">
        <f>U16</f>
        <v/>
      </c>
      <c r="U17" s="14" t="n">
        <v>2913</v>
      </c>
      <c r="V17" s="14">
        <f>U17-T17</f>
        <v/>
      </c>
      <c r="W17" s="3" t="n"/>
      <c r="X17" s="3" t="n"/>
      <c r="Y17" s="3" t="n"/>
      <c r="Z17" s="4" t="n"/>
      <c r="AA17" s="33" t="n"/>
      <c r="AB17" s="4" t="n"/>
      <c r="AC17" s="4" t="n"/>
      <c r="AD17" s="34" t="n"/>
      <c r="AE17" s="85">
        <f>AF16</f>
        <v/>
      </c>
      <c r="AF17" s="85" t="n">
        <v>47273</v>
      </c>
      <c r="AG17" s="151">
        <f>AF17-AE17</f>
        <v/>
      </c>
    </row>
    <row r="18">
      <c r="A18" s="42">
        <f>A16+1</f>
        <v/>
      </c>
      <c r="B18" s="24" t="inlineStr">
        <is>
          <t>DAY</t>
        </is>
      </c>
      <c r="C18" s="14">
        <f>D17</f>
        <v/>
      </c>
      <c r="D18" s="14" t="n">
        <v>4307</v>
      </c>
      <c r="E18" s="14">
        <f>D18-C18</f>
        <v/>
      </c>
      <c r="F18" s="3" t="n"/>
      <c r="G18" s="3" t="n"/>
      <c r="H18" s="3" t="n"/>
      <c r="I18" s="34" t="n"/>
      <c r="J18" s="32" t="n"/>
      <c r="K18" s="3" t="n"/>
      <c r="L18" s="3" t="n"/>
      <c r="M18" s="19" t="n"/>
      <c r="N18" s="14">
        <f>O17</f>
        <v/>
      </c>
      <c r="O18" s="14" t="n">
        <v>60992</v>
      </c>
      <c r="P18" s="151">
        <f>O18-N18</f>
        <v/>
      </c>
      <c r="Q18" s="84" t="n"/>
      <c r="R18" s="42">
        <f>R16+1</f>
        <v/>
      </c>
      <c r="S18" s="24" t="inlineStr">
        <is>
          <t>DAY</t>
        </is>
      </c>
      <c r="T18" s="14">
        <f>U17</f>
        <v/>
      </c>
      <c r="U18" s="14" t="n">
        <v>2920</v>
      </c>
      <c r="V18" s="14">
        <f>U18-T18</f>
        <v/>
      </c>
      <c r="W18" s="3" t="n"/>
      <c r="X18" s="3" t="n"/>
      <c r="Y18" s="3" t="n"/>
      <c r="Z18" s="4" t="n"/>
      <c r="AA18" s="50" t="n"/>
      <c r="AB18" s="14" t="n"/>
      <c r="AC18" s="14" t="n"/>
      <c r="AD18" s="151" t="n"/>
      <c r="AE18" s="85">
        <f>AF17</f>
        <v/>
      </c>
      <c r="AF18" s="85" t="n">
        <v>47386</v>
      </c>
      <c r="AG18" s="151">
        <f>AF18-AE18</f>
        <v/>
      </c>
    </row>
    <row r="19">
      <c r="A19" s="42">
        <f>A18</f>
        <v/>
      </c>
      <c r="B19" s="24" t="inlineStr">
        <is>
          <t>NIGHT</t>
        </is>
      </c>
      <c r="C19" s="14">
        <f>D18</f>
        <v/>
      </c>
      <c r="D19" s="14" t="n">
        <v>4308</v>
      </c>
      <c r="E19" s="14">
        <f>D19-C19</f>
        <v/>
      </c>
      <c r="F19" s="3" t="n"/>
      <c r="G19" s="3" t="n"/>
      <c r="H19" s="3" t="n"/>
      <c r="I19" s="34" t="n"/>
      <c r="J19" s="32" t="n"/>
      <c r="K19" s="3" t="n"/>
      <c r="L19" s="3" t="n"/>
      <c r="M19" s="19" t="n"/>
      <c r="N19" s="14">
        <f>O18</f>
        <v/>
      </c>
      <c r="O19" s="14" t="n">
        <v>61025</v>
      </c>
      <c r="P19" s="151">
        <f>O19-N19</f>
        <v/>
      </c>
      <c r="Q19" s="84" t="n"/>
      <c r="R19" s="42">
        <f>R18</f>
        <v/>
      </c>
      <c r="S19" s="24" t="inlineStr">
        <is>
          <t>NIGHT</t>
        </is>
      </c>
      <c r="T19" s="14">
        <f>U18</f>
        <v/>
      </c>
      <c r="U19" s="14" t="n">
        <v>2924</v>
      </c>
      <c r="V19" s="14">
        <f>U19-T19</f>
        <v/>
      </c>
      <c r="W19" s="3" t="n"/>
      <c r="X19" s="3" t="n"/>
      <c r="Y19" s="3" t="n"/>
      <c r="Z19" s="4" t="n"/>
      <c r="AA19" s="61" t="n"/>
      <c r="AB19" s="62" t="n"/>
      <c r="AC19" s="62" t="n"/>
      <c r="AD19" s="151" t="n"/>
      <c r="AE19" s="85">
        <f>AF18</f>
        <v/>
      </c>
      <c r="AF19" s="85" t="n">
        <v>47463</v>
      </c>
      <c r="AG19" s="151">
        <f>AF19-AE19</f>
        <v/>
      </c>
    </row>
    <row r="20">
      <c r="A20" s="42">
        <f>A18+1</f>
        <v/>
      </c>
      <c r="B20" s="24" t="inlineStr">
        <is>
          <t>DAY</t>
        </is>
      </c>
      <c r="C20" s="14">
        <f>D19</f>
        <v/>
      </c>
      <c r="D20" s="14" t="n">
        <v>4313</v>
      </c>
      <c r="E20" s="14">
        <f>D20-C20</f>
        <v/>
      </c>
      <c r="F20" s="3" t="n">
        <v>300</v>
      </c>
      <c r="G20" s="3" t="n">
        <v>4313</v>
      </c>
      <c r="H20" s="3">
        <f>G20-G14</f>
        <v/>
      </c>
      <c r="I20" s="34">
        <f>F20/H20</f>
        <v/>
      </c>
      <c r="J20" s="61" t="n"/>
      <c r="K20" s="62" t="n"/>
      <c r="L20" s="62" t="n"/>
      <c r="M20" s="151" t="n"/>
      <c r="N20" s="14">
        <f>O19</f>
        <v/>
      </c>
      <c r="O20" s="14" t="n">
        <v>61063</v>
      </c>
      <c r="P20" s="151">
        <f>O20-N20</f>
        <v/>
      </c>
      <c r="Q20" s="84" t="n"/>
      <c r="R20" s="42">
        <f>R18+1</f>
        <v/>
      </c>
      <c r="S20" s="24" t="inlineStr">
        <is>
          <t>DAY</t>
        </is>
      </c>
      <c r="T20" s="14">
        <f>U19</f>
        <v/>
      </c>
      <c r="U20" s="14" t="n">
        <v>2930</v>
      </c>
      <c r="V20" s="14">
        <f>U20-T20</f>
        <v/>
      </c>
      <c r="W20" s="3" t="n">
        <v>300</v>
      </c>
      <c r="X20" s="3" t="n">
        <v>2928</v>
      </c>
      <c r="Y20" s="3">
        <f>X20-X16</f>
        <v/>
      </c>
      <c r="Z20" s="4">
        <f>W20/Y20</f>
        <v/>
      </c>
      <c r="AA20" s="33" t="n"/>
      <c r="AB20" s="4" t="n"/>
      <c r="AC20" s="4" t="n"/>
      <c r="AD20" s="34" t="n"/>
      <c r="AE20" s="85">
        <f>AF19</f>
        <v/>
      </c>
      <c r="AF20" s="85" t="n">
        <v>47524</v>
      </c>
      <c r="AG20" s="151">
        <f>AF20-AE20</f>
        <v/>
      </c>
    </row>
    <row r="21">
      <c r="A21" s="42">
        <f>A20</f>
        <v/>
      </c>
      <c r="B21" s="24" t="inlineStr">
        <is>
          <t>NIGHT</t>
        </is>
      </c>
      <c r="C21" s="14">
        <f>D20</f>
        <v/>
      </c>
      <c r="D21" s="14" t="n">
        <v>4314</v>
      </c>
      <c r="E21" s="14">
        <f>D21-C21</f>
        <v/>
      </c>
      <c r="F21" s="3" t="n"/>
      <c r="G21" s="3" t="n"/>
      <c r="H21" s="3" t="n"/>
      <c r="I21" s="34" t="n"/>
      <c r="J21" s="32" t="n"/>
      <c r="K21" s="3" t="n"/>
      <c r="L21" s="3" t="n"/>
      <c r="M21" s="19" t="n"/>
      <c r="N21" s="14">
        <f>O20</f>
        <v/>
      </c>
      <c r="O21" s="14" t="n">
        <v>61066</v>
      </c>
      <c r="P21" s="151">
        <f>O21-N21</f>
        <v/>
      </c>
      <c r="Q21" s="84" t="n"/>
      <c r="R21" s="42">
        <f>R20</f>
        <v/>
      </c>
      <c r="S21" s="24" t="inlineStr">
        <is>
          <t>NIGHT</t>
        </is>
      </c>
      <c r="T21" s="14">
        <f>U20</f>
        <v/>
      </c>
      <c r="U21" s="14" t="n">
        <v>2934</v>
      </c>
      <c r="V21" s="14">
        <f>U21-T21</f>
        <v/>
      </c>
      <c r="W21" s="3" t="n"/>
      <c r="X21" s="3" t="n"/>
      <c r="Y21" s="3" t="n"/>
      <c r="Z21" s="15" t="n"/>
      <c r="AA21" s="50" t="n"/>
      <c r="AB21" s="14" t="n"/>
      <c r="AC21" s="14" t="n"/>
      <c r="AD21" s="151" t="n"/>
      <c r="AE21" s="85">
        <f>AF20</f>
        <v/>
      </c>
      <c r="AF21" s="85" t="n">
        <v>47658</v>
      </c>
      <c r="AG21" s="151">
        <f>AF21-AE21</f>
        <v/>
      </c>
    </row>
    <row r="22">
      <c r="A22" s="42">
        <f>A20+1</f>
        <v/>
      </c>
      <c r="B22" s="24" t="inlineStr">
        <is>
          <t>DAY</t>
        </is>
      </c>
      <c r="C22" s="14">
        <f>D21</f>
        <v/>
      </c>
      <c r="D22" s="14" t="n">
        <v>4322</v>
      </c>
      <c r="E22" s="14">
        <f>D22-C22</f>
        <v/>
      </c>
      <c r="F22" s="14" t="n"/>
      <c r="G22" s="86" t="n"/>
      <c r="H22" s="3" t="n"/>
      <c r="I22" s="34" t="n"/>
      <c r="J22" s="32" t="n"/>
      <c r="K22" s="3" t="n"/>
      <c r="L22" s="3" t="n"/>
      <c r="M22" s="19" t="n"/>
      <c r="N22" s="14">
        <f>O21</f>
        <v/>
      </c>
      <c r="O22" s="14" t="n">
        <v>61184</v>
      </c>
      <c r="P22" s="151">
        <f>O22-N22</f>
        <v/>
      </c>
      <c r="Q22" s="84" t="n"/>
      <c r="R22" s="42">
        <f>R20+1</f>
        <v/>
      </c>
      <c r="S22" s="24" t="inlineStr">
        <is>
          <t>DAY</t>
        </is>
      </c>
      <c r="T22" s="14">
        <f>U21</f>
        <v/>
      </c>
      <c r="U22" s="14" t="n">
        <v>2936</v>
      </c>
      <c r="V22" s="14">
        <f>U22-T22</f>
        <v/>
      </c>
      <c r="W22" s="3" t="n"/>
      <c r="X22" s="3" t="n"/>
      <c r="Y22" s="3" t="n"/>
      <c r="Z22" s="4" t="n"/>
      <c r="AA22" s="35" t="n"/>
      <c r="AB22" s="15" t="n"/>
      <c r="AC22" s="15" t="n"/>
      <c r="AD22" s="36" t="n"/>
      <c r="AE22" s="85">
        <f>AF21</f>
        <v/>
      </c>
      <c r="AF22" s="85" t="n">
        <v>47666</v>
      </c>
      <c r="AG22" s="151">
        <f>AF22-AE22</f>
        <v/>
      </c>
    </row>
    <row r="23">
      <c r="A23" s="42">
        <f>A22</f>
        <v/>
      </c>
      <c r="B23" s="24" t="inlineStr">
        <is>
          <t>NIGHT</t>
        </is>
      </c>
      <c r="C23" s="14">
        <f>D22</f>
        <v/>
      </c>
      <c r="D23" s="14" t="n">
        <v>4330</v>
      </c>
      <c r="E23" s="14">
        <f>D23-C23</f>
        <v/>
      </c>
      <c r="F23" s="3" t="n"/>
      <c r="G23" s="3" t="n"/>
      <c r="H23" s="3" t="n"/>
      <c r="I23" s="34" t="n"/>
      <c r="J23" s="50" t="n"/>
      <c r="K23" s="14" t="n"/>
      <c r="L23" s="14" t="n"/>
      <c r="M23" s="151" t="n"/>
      <c r="N23" s="14">
        <f>O22</f>
        <v/>
      </c>
      <c r="O23" s="14" t="n">
        <v>61320</v>
      </c>
      <c r="P23" s="151">
        <f>O23-N23</f>
        <v/>
      </c>
      <c r="Q23" s="84" t="n"/>
      <c r="R23" s="42">
        <f>R22</f>
        <v/>
      </c>
      <c r="S23" s="24" t="inlineStr">
        <is>
          <t>NIGHT</t>
        </is>
      </c>
      <c r="T23" s="14">
        <f>U22</f>
        <v/>
      </c>
      <c r="U23" s="14" t="n">
        <v>2943</v>
      </c>
      <c r="V23" s="14">
        <f>U23-T23</f>
        <v/>
      </c>
      <c r="W23" s="3" t="n"/>
      <c r="X23" s="3" t="n"/>
      <c r="Y23" s="3" t="n"/>
      <c r="Z23" s="4" t="n"/>
      <c r="AA23" s="50" t="n"/>
      <c r="AB23" s="14" t="n"/>
      <c r="AC23" s="14" t="n"/>
      <c r="AD23" s="151" t="n"/>
      <c r="AE23" s="85">
        <f>AF22</f>
        <v/>
      </c>
      <c r="AF23" s="85" t="n">
        <v>47812</v>
      </c>
      <c r="AG23" s="151">
        <f>AF23-AE23</f>
        <v/>
      </c>
    </row>
    <row r="24">
      <c r="A24" s="42">
        <f>A22+1</f>
        <v/>
      </c>
      <c r="B24" s="24" t="inlineStr">
        <is>
          <t>DAY</t>
        </is>
      </c>
      <c r="C24" s="14">
        <f>D23</f>
        <v/>
      </c>
      <c r="D24" s="14" t="n">
        <v>4336</v>
      </c>
      <c r="E24" s="14">
        <f>D24-C24</f>
        <v/>
      </c>
      <c r="F24" s="3" t="n">
        <v>300</v>
      </c>
      <c r="G24" s="3" t="n">
        <v>4335</v>
      </c>
      <c r="H24" s="3">
        <f>G24-G20</f>
        <v/>
      </c>
      <c r="I24" s="34">
        <f>F24/H24</f>
        <v/>
      </c>
      <c r="J24" s="50" t="n"/>
      <c r="K24" s="14" t="n"/>
      <c r="L24" s="14" t="n"/>
      <c r="M24" s="151" t="n"/>
      <c r="N24" s="14">
        <f>O23</f>
        <v/>
      </c>
      <c r="O24" s="14" t="n">
        <v>61359</v>
      </c>
      <c r="P24" s="151">
        <f>O24-N24</f>
        <v/>
      </c>
      <c r="Q24" s="84" t="n"/>
      <c r="R24" s="42">
        <f>R22+1</f>
        <v/>
      </c>
      <c r="S24" s="24" t="inlineStr">
        <is>
          <t>DAY</t>
        </is>
      </c>
      <c r="T24" s="14">
        <f>U23</f>
        <v/>
      </c>
      <c r="U24" s="14" t="n">
        <v>2950</v>
      </c>
      <c r="V24" s="14">
        <f>U24-T24</f>
        <v/>
      </c>
      <c r="W24" s="3" t="n">
        <v>300</v>
      </c>
      <c r="X24" s="3" t="n">
        <v>2948</v>
      </c>
      <c r="Y24" s="3">
        <f>X24-X20</f>
        <v/>
      </c>
      <c r="Z24" s="4">
        <f>W24/Y24</f>
        <v/>
      </c>
      <c r="AA24" s="50" t="n"/>
      <c r="AB24" s="14" t="n"/>
      <c r="AC24" s="14" t="n"/>
      <c r="AD24" s="151" t="n"/>
      <c r="AE24" s="85">
        <f>AF23</f>
        <v/>
      </c>
      <c r="AF24" s="85" t="n">
        <v>47902</v>
      </c>
      <c r="AG24" s="151">
        <f>AF24-AE24</f>
        <v/>
      </c>
    </row>
    <row r="25">
      <c r="A25" s="42">
        <f>A24</f>
        <v/>
      </c>
      <c r="B25" s="24" t="inlineStr">
        <is>
          <t>NIGHT</t>
        </is>
      </c>
      <c r="C25" s="14">
        <f>D24</f>
        <v/>
      </c>
      <c r="D25" s="14" t="n">
        <v>4341</v>
      </c>
      <c r="E25" s="14">
        <f>D25-C25</f>
        <v/>
      </c>
      <c r="F25" s="3" t="n"/>
      <c r="G25" s="3" t="n"/>
      <c r="H25" s="3" t="n"/>
      <c r="I25" s="34" t="n"/>
      <c r="J25" s="50" t="n"/>
      <c r="K25" s="14" t="n"/>
      <c r="L25" s="14" t="n"/>
      <c r="M25" s="151" t="n"/>
      <c r="N25" s="14">
        <f>O24</f>
        <v/>
      </c>
      <c r="O25" s="14" t="n">
        <v>61438</v>
      </c>
      <c r="P25" s="151">
        <f>O25-N25</f>
        <v/>
      </c>
      <c r="Q25" s="84" t="n"/>
      <c r="R25" s="42">
        <f>R24</f>
        <v/>
      </c>
      <c r="S25" s="24" t="inlineStr">
        <is>
          <t>NIGHT</t>
        </is>
      </c>
      <c r="T25" s="14">
        <f>U24</f>
        <v/>
      </c>
      <c r="U25" s="14" t="n">
        <v>2954</v>
      </c>
      <c r="V25" s="14">
        <f>U25-T25</f>
        <v/>
      </c>
      <c r="W25" s="3" t="n"/>
      <c r="X25" s="3" t="n"/>
      <c r="Y25" s="3" t="n"/>
      <c r="Z25" s="4" t="n"/>
      <c r="AA25" s="50" t="n"/>
      <c r="AB25" s="14" t="n"/>
      <c r="AC25" s="14" t="n"/>
      <c r="AD25" s="151" t="n"/>
      <c r="AE25" s="85">
        <f>AF24</f>
        <v/>
      </c>
      <c r="AF25" s="85" t="n">
        <v>47994</v>
      </c>
      <c r="AG25" s="151">
        <f>AF25-AE25</f>
        <v/>
      </c>
    </row>
    <row r="26">
      <c r="A26" s="42">
        <f>A24+1</f>
        <v/>
      </c>
      <c r="B26" s="24" t="inlineStr">
        <is>
          <t>DAY</t>
        </is>
      </c>
      <c r="C26" s="14">
        <f>D25</f>
        <v/>
      </c>
      <c r="D26" s="14" t="n">
        <v>4343</v>
      </c>
      <c r="E26" s="14">
        <f>D26-C26</f>
        <v/>
      </c>
      <c r="F26" s="3" t="n"/>
      <c r="G26" s="3" t="n"/>
      <c r="H26" s="3" t="n"/>
      <c r="I26" s="34" t="n"/>
      <c r="J26" s="35" t="n"/>
      <c r="K26" s="15" t="n"/>
      <c r="L26" s="15" t="n"/>
      <c r="M26" s="36" t="n"/>
      <c r="N26" s="14">
        <f>O25</f>
        <v/>
      </c>
      <c r="O26" s="14" t="n">
        <v>61458</v>
      </c>
      <c r="P26" s="151">
        <f>O26-N26</f>
        <v/>
      </c>
      <c r="Q26" s="84" t="n"/>
      <c r="R26" s="42">
        <f>R24+1</f>
        <v/>
      </c>
      <c r="S26" s="24" t="inlineStr">
        <is>
          <t>DAY</t>
        </is>
      </c>
      <c r="T26" s="14">
        <f>U25</f>
        <v/>
      </c>
      <c r="U26" s="14" t="n">
        <v>2958</v>
      </c>
      <c r="V26" s="14">
        <f>U26-T26</f>
        <v/>
      </c>
      <c r="W26" s="3" t="n"/>
      <c r="X26" s="3" t="n"/>
      <c r="Y26" s="3" t="n"/>
      <c r="Z26" s="4" t="n"/>
      <c r="AA26" s="35" t="n"/>
      <c r="AB26" s="15" t="n"/>
      <c r="AC26" s="15" t="n"/>
      <c r="AD26" s="36" t="n"/>
      <c r="AE26" s="85">
        <f>AF25</f>
        <v/>
      </c>
      <c r="AF26" s="85" t="n">
        <v>48025</v>
      </c>
      <c r="AG26" s="151">
        <f>AF26-AE26</f>
        <v/>
      </c>
    </row>
    <row r="27">
      <c r="A27" s="42">
        <f>A26</f>
        <v/>
      </c>
      <c r="B27" s="24" t="inlineStr">
        <is>
          <t>NIGHT</t>
        </is>
      </c>
      <c r="C27" s="14">
        <f>D26</f>
        <v/>
      </c>
      <c r="D27" s="14" t="n">
        <v>4347</v>
      </c>
      <c r="E27" s="14">
        <f>D27-C27</f>
        <v/>
      </c>
      <c r="F27" s="3" t="n"/>
      <c r="G27" s="3" t="n"/>
      <c r="H27" s="3" t="n"/>
      <c r="I27" s="34" t="n"/>
      <c r="J27" s="61" t="n"/>
      <c r="K27" s="62" t="n"/>
      <c r="L27" s="62" t="n"/>
      <c r="M27" s="151" t="n"/>
      <c r="N27" s="14">
        <f>O26</f>
        <v/>
      </c>
      <c r="O27" s="14" t="n">
        <v>61536</v>
      </c>
      <c r="P27" s="151">
        <f>O27-N27</f>
        <v/>
      </c>
      <c r="Q27" s="84" t="n"/>
      <c r="R27" s="42">
        <f>R26</f>
        <v/>
      </c>
      <c r="S27" s="24" t="inlineStr">
        <is>
          <t>NIGHT</t>
        </is>
      </c>
      <c r="T27" s="14">
        <f>U26</f>
        <v/>
      </c>
      <c r="U27" s="14" t="n">
        <v>2961</v>
      </c>
      <c r="V27" s="14">
        <f>U27-T27</f>
        <v/>
      </c>
      <c r="W27" s="3" t="n"/>
      <c r="X27" s="3" t="n"/>
      <c r="Y27" s="3" t="n"/>
      <c r="Z27" s="4" t="n"/>
      <c r="AA27" s="50" t="n"/>
      <c r="AB27" s="14" t="n"/>
      <c r="AC27" s="14" t="n"/>
      <c r="AD27" s="151" t="n"/>
      <c r="AE27" s="85">
        <f>AF26</f>
        <v/>
      </c>
      <c r="AF27" s="14" t="n">
        <v>48063</v>
      </c>
      <c r="AG27" s="151">
        <f>AF27-AE27</f>
        <v/>
      </c>
    </row>
    <row r="28">
      <c r="A28" s="42">
        <f>A26+1</f>
        <v/>
      </c>
      <c r="B28" s="24" t="inlineStr">
        <is>
          <t>DAY</t>
        </is>
      </c>
      <c r="C28" s="14">
        <f>D27</f>
        <v/>
      </c>
      <c r="D28" s="14" t="n">
        <v>4354</v>
      </c>
      <c r="E28" s="14">
        <f>D28-C28</f>
        <v/>
      </c>
      <c r="F28" s="3" t="n"/>
      <c r="G28" s="3" t="n"/>
      <c r="H28" s="3" t="n"/>
      <c r="I28" s="34" t="n"/>
      <c r="J28" s="61" t="n"/>
      <c r="K28" s="62" t="n"/>
      <c r="L28" s="62" t="n"/>
      <c r="M28" s="151" t="n"/>
      <c r="N28" s="14">
        <f>O27</f>
        <v/>
      </c>
      <c r="O28" s="14" t="n">
        <v>61597</v>
      </c>
      <c r="P28" s="151">
        <f>O28-N28</f>
        <v/>
      </c>
      <c r="Q28" s="84" t="n"/>
      <c r="R28" s="42">
        <f>R26+1</f>
        <v/>
      </c>
      <c r="S28" s="24" t="inlineStr">
        <is>
          <t>DAY</t>
        </is>
      </c>
      <c r="T28" s="14">
        <f>U27</f>
        <v/>
      </c>
      <c r="U28" s="14" t="n">
        <v>2963</v>
      </c>
      <c r="V28" s="14">
        <f>U28-T28</f>
        <v/>
      </c>
      <c r="W28" s="3" t="n"/>
      <c r="X28" s="3" t="n"/>
      <c r="Y28" s="3" t="n"/>
      <c r="Z28" s="4" t="n"/>
      <c r="AA28" s="50" t="n"/>
      <c r="AB28" s="14" t="n"/>
      <c r="AC28" s="14" t="n"/>
      <c r="AD28" s="151" t="n"/>
      <c r="AE28" s="85">
        <f>AF27</f>
        <v/>
      </c>
      <c r="AF28" s="14" t="n">
        <v>48080</v>
      </c>
      <c r="AG28" s="151">
        <f>AF28-AE28</f>
        <v/>
      </c>
    </row>
    <row r="29">
      <c r="A29" s="42">
        <f>A28</f>
        <v/>
      </c>
      <c r="B29" s="24" t="inlineStr">
        <is>
          <t>NIGHT</t>
        </is>
      </c>
      <c r="C29" s="14">
        <f>D28</f>
        <v/>
      </c>
      <c r="D29" s="14" t="n">
        <v>4357</v>
      </c>
      <c r="E29" s="14">
        <f>D29-C29</f>
        <v/>
      </c>
      <c r="F29" s="3" t="n"/>
      <c r="G29" s="3" t="n"/>
      <c r="H29" s="3" t="n"/>
      <c r="I29" s="34" t="n"/>
      <c r="J29" s="50" t="n"/>
      <c r="K29" s="14" t="n"/>
      <c r="L29" s="14" t="n"/>
      <c r="M29" s="151" t="n"/>
      <c r="N29" s="14">
        <f>O28</f>
        <v/>
      </c>
      <c r="O29" s="14" t="n">
        <v>61645</v>
      </c>
      <c r="P29" s="151">
        <f>O29-N29</f>
        <v/>
      </c>
      <c r="Q29" s="84" t="n"/>
      <c r="R29" s="42">
        <f>R28</f>
        <v/>
      </c>
      <c r="S29" s="24" t="inlineStr">
        <is>
          <t>NIGHT</t>
        </is>
      </c>
      <c r="T29" s="14">
        <f>U28</f>
        <v/>
      </c>
      <c r="U29" s="14" t="n">
        <v>2966</v>
      </c>
      <c r="V29" s="14">
        <f>U29-T29</f>
        <v/>
      </c>
      <c r="W29" s="3" t="n"/>
      <c r="X29" s="3" t="n"/>
      <c r="Y29" s="3" t="n"/>
      <c r="Z29" s="4" t="n"/>
      <c r="AA29" s="50" t="n"/>
      <c r="AB29" s="14" t="n"/>
      <c r="AC29" s="14" t="n"/>
      <c r="AD29" s="151" t="n"/>
      <c r="AE29" s="85">
        <f>AF28</f>
        <v/>
      </c>
      <c r="AF29" s="14" t="n">
        <v>48137</v>
      </c>
      <c r="AG29" s="151">
        <f>AF29-AE29</f>
        <v/>
      </c>
    </row>
    <row r="30">
      <c r="A30" s="42">
        <f>A28+1</f>
        <v/>
      </c>
      <c r="B30" s="24" t="inlineStr">
        <is>
          <t>DAY</t>
        </is>
      </c>
      <c r="C30" s="14">
        <f>D29</f>
        <v/>
      </c>
      <c r="D30" s="14" t="n">
        <v>4367</v>
      </c>
      <c r="E30" s="14">
        <f>D30-C30</f>
        <v/>
      </c>
      <c r="F30" s="3" t="n">
        <v>250</v>
      </c>
      <c r="G30" s="3" t="n">
        <v>4360</v>
      </c>
      <c r="H30" s="3">
        <f>G30-G24</f>
        <v/>
      </c>
      <c r="I30" s="34">
        <f>F30/H30</f>
        <v/>
      </c>
      <c r="J30" s="67" t="n"/>
      <c r="K30" s="4" t="n"/>
      <c r="L30" s="69" t="n"/>
      <c r="M30" s="34" t="n"/>
      <c r="N30" s="14">
        <f>O29</f>
        <v/>
      </c>
      <c r="O30" s="14" t="n">
        <v>61770</v>
      </c>
      <c r="P30" s="151">
        <f>O30-N30</f>
        <v/>
      </c>
      <c r="Q30" s="84" t="n"/>
      <c r="R30" s="42">
        <f>R28+1</f>
        <v/>
      </c>
      <c r="S30" s="24" t="inlineStr">
        <is>
          <t>DAY</t>
        </is>
      </c>
      <c r="T30" s="14">
        <f>U29</f>
        <v/>
      </c>
      <c r="U30" s="14" t="n">
        <v>2975</v>
      </c>
      <c r="V30" s="14">
        <f>U30-T30</f>
        <v/>
      </c>
      <c r="W30" s="3" t="n">
        <v>400</v>
      </c>
      <c r="X30" s="3" t="n">
        <v>2968</v>
      </c>
      <c r="Y30" s="3">
        <f>X30-X24</f>
        <v/>
      </c>
      <c r="Z30" s="4">
        <f>W30/Y30</f>
        <v/>
      </c>
      <c r="AA30" s="33" t="n"/>
      <c r="AB30" s="4" t="n"/>
      <c r="AC30" s="4" t="n"/>
      <c r="AD30" s="34" t="n"/>
      <c r="AE30" s="85">
        <f>AF29</f>
        <v/>
      </c>
      <c r="AF30" s="14" t="n">
        <v>48291</v>
      </c>
      <c r="AG30" s="151">
        <f>AF30-AE30</f>
        <v/>
      </c>
    </row>
    <row r="31">
      <c r="A31" s="42">
        <f>A30</f>
        <v/>
      </c>
      <c r="B31" s="24" t="inlineStr">
        <is>
          <t>NIGHT</t>
        </is>
      </c>
      <c r="C31" s="14">
        <f>D30</f>
        <v/>
      </c>
      <c r="D31" s="14" t="n">
        <v>4374</v>
      </c>
      <c r="E31" s="14">
        <f>D31-C31</f>
        <v/>
      </c>
      <c r="F31" s="3" t="n"/>
      <c r="G31" s="3" t="n"/>
      <c r="H31" s="3" t="n"/>
      <c r="I31" s="34" t="n"/>
      <c r="J31" s="66" t="n"/>
      <c r="K31" s="15" t="n"/>
      <c r="L31" s="68" t="n"/>
      <c r="M31" s="36" t="n"/>
      <c r="N31" s="14">
        <f>O30</f>
        <v/>
      </c>
      <c r="O31" s="14" t="n">
        <v>61855</v>
      </c>
      <c r="P31" s="151">
        <f>O31-N31</f>
        <v/>
      </c>
      <c r="Q31" s="84" t="n"/>
      <c r="R31" s="42">
        <f>R30</f>
        <v/>
      </c>
      <c r="S31" s="24" t="inlineStr">
        <is>
          <t>NIGHT</t>
        </is>
      </c>
      <c r="T31" s="14">
        <f>U30</f>
        <v/>
      </c>
      <c r="U31" s="14" t="n">
        <v>2979</v>
      </c>
      <c r="V31" s="14">
        <f>U31-T31</f>
        <v/>
      </c>
      <c r="W31" s="3" t="n"/>
      <c r="X31" s="3" t="n"/>
      <c r="Y31" s="3" t="n"/>
      <c r="Z31" s="4" t="n"/>
      <c r="AA31" s="35" t="n"/>
      <c r="AB31" s="15" t="n"/>
      <c r="AC31" s="15" t="n"/>
      <c r="AD31" s="36" t="n"/>
      <c r="AE31" s="85">
        <f>AF30</f>
        <v/>
      </c>
      <c r="AF31" s="14" t="n">
        <v>48323</v>
      </c>
      <c r="AG31" s="151">
        <f>AF31-AE31</f>
        <v/>
      </c>
    </row>
    <row r="32">
      <c r="A32" s="42">
        <f>A30+1</f>
        <v/>
      </c>
      <c r="B32" s="24" t="inlineStr">
        <is>
          <t>DAY</t>
        </is>
      </c>
      <c r="C32" s="14">
        <f>D31</f>
        <v/>
      </c>
      <c r="D32" s="14" t="n">
        <v>4385</v>
      </c>
      <c r="E32" s="14">
        <f>D32-C32</f>
        <v/>
      </c>
      <c r="F32" s="3" t="n"/>
      <c r="G32" s="3" t="n"/>
      <c r="H32" s="3" t="n"/>
      <c r="I32" s="34" t="n"/>
      <c r="J32" s="70" t="n"/>
      <c r="K32" s="44" t="n"/>
      <c r="L32" s="71" t="n"/>
      <c r="M32" s="36" t="n"/>
      <c r="N32" s="14">
        <f>O31</f>
        <v/>
      </c>
      <c r="O32" s="14" t="n">
        <v>62008</v>
      </c>
      <c r="P32" s="151">
        <f>O32-N32</f>
        <v/>
      </c>
      <c r="Q32" s="84" t="n"/>
      <c r="R32" s="42">
        <f>R30+1</f>
        <v/>
      </c>
      <c r="S32" s="24" t="inlineStr">
        <is>
          <t>DAY</t>
        </is>
      </c>
      <c r="T32" s="14">
        <f>U31</f>
        <v/>
      </c>
      <c r="U32" s="14" t="n">
        <v>2982</v>
      </c>
      <c r="V32" s="14">
        <f>U32-T32</f>
        <v/>
      </c>
      <c r="W32" s="3" t="n"/>
      <c r="X32" s="3" t="n"/>
      <c r="Y32" s="3" t="n"/>
      <c r="Z32" s="4" t="n"/>
      <c r="AA32" s="35" t="n"/>
      <c r="AB32" s="15" t="n"/>
      <c r="AC32" s="15" t="n"/>
      <c r="AD32" s="36" t="n"/>
      <c r="AE32" s="85">
        <f>AF31</f>
        <v/>
      </c>
      <c r="AF32" s="14" t="n">
        <v>48336</v>
      </c>
      <c r="AG32" s="151">
        <f>AF32-AE32</f>
        <v/>
      </c>
    </row>
    <row r="33">
      <c r="A33" s="42">
        <f>A32</f>
        <v/>
      </c>
      <c r="B33" s="24" t="inlineStr">
        <is>
          <t>NIGHT</t>
        </is>
      </c>
      <c r="C33" s="14">
        <f>D32</f>
        <v/>
      </c>
      <c r="D33" s="14" t="n">
        <v>4393</v>
      </c>
      <c r="E33" s="14">
        <f>D33-C33</f>
        <v/>
      </c>
      <c r="F33" s="3" t="n"/>
      <c r="G33" s="3" t="n"/>
      <c r="H33" s="3" t="n"/>
      <c r="I33" s="34" t="n"/>
      <c r="J33" s="70" t="n"/>
      <c r="K33" s="44" t="n"/>
      <c r="L33" s="71" t="n"/>
      <c r="M33" s="36" t="n"/>
      <c r="N33" s="14">
        <f>O32</f>
        <v/>
      </c>
      <c r="O33" s="14" t="n">
        <v>62126</v>
      </c>
      <c r="P33" s="151">
        <f>O33-N33</f>
        <v/>
      </c>
      <c r="Q33" s="84" t="n"/>
      <c r="R33" s="42">
        <f>R32</f>
        <v/>
      </c>
      <c r="S33" s="24" t="inlineStr">
        <is>
          <t>NIGHT</t>
        </is>
      </c>
      <c r="T33" s="14">
        <f>U32</f>
        <v/>
      </c>
      <c r="U33" s="14" t="n">
        <v>2988</v>
      </c>
      <c r="V33" s="14">
        <f>U33-T33</f>
        <v/>
      </c>
      <c r="W33" s="3" t="n"/>
      <c r="X33" s="3" t="n"/>
      <c r="Y33" s="3" t="n"/>
      <c r="Z33" s="4" t="n"/>
      <c r="AA33" s="43" t="n"/>
      <c r="AB33" s="44" t="n"/>
      <c r="AC33" s="44" t="n"/>
      <c r="AD33" s="36" t="n"/>
      <c r="AE33" s="85">
        <f>AF32</f>
        <v/>
      </c>
      <c r="AF33" s="14" t="n">
        <v>48446</v>
      </c>
      <c r="AG33" s="151">
        <f>AF33-AE33</f>
        <v/>
      </c>
    </row>
    <row r="34">
      <c r="A34" s="42">
        <f>A32+1</f>
        <v/>
      </c>
      <c r="B34" s="24" t="inlineStr">
        <is>
          <t>DAY</t>
        </is>
      </c>
      <c r="C34" s="14">
        <f>D33</f>
        <v/>
      </c>
      <c r="D34" s="14" t="n">
        <v>4398</v>
      </c>
      <c r="E34" s="14">
        <f>D34-C34</f>
        <v/>
      </c>
      <c r="F34" s="3" t="n">
        <v>200</v>
      </c>
      <c r="G34" s="3" t="n">
        <v>4394</v>
      </c>
      <c r="H34" s="3">
        <f>G34-G30</f>
        <v/>
      </c>
      <c r="I34" s="34">
        <f>F34/H34</f>
        <v/>
      </c>
      <c r="J34" s="70" t="n"/>
      <c r="K34" s="44" t="n"/>
      <c r="L34" s="71" t="n"/>
      <c r="M34" s="36" t="n"/>
      <c r="N34" s="14">
        <f>O33</f>
        <v/>
      </c>
      <c r="O34" s="14" t="n">
        <v>61293</v>
      </c>
      <c r="P34" s="151">
        <f>O34-N34</f>
        <v/>
      </c>
      <c r="Q34" s="84" t="n"/>
      <c r="R34" s="42">
        <f>R32+1</f>
        <v/>
      </c>
      <c r="S34" s="24" t="inlineStr">
        <is>
          <t>DAY</t>
        </is>
      </c>
      <c r="T34" s="14">
        <f>U33</f>
        <v/>
      </c>
      <c r="U34" s="14" t="n">
        <v>2995</v>
      </c>
      <c r="V34" s="14">
        <f>U34-T34</f>
        <v/>
      </c>
      <c r="W34" s="3" t="n"/>
      <c r="X34" s="3" t="n"/>
      <c r="Y34" s="3" t="n"/>
      <c r="Z34" s="4" t="n"/>
      <c r="AA34" s="43" t="n"/>
      <c r="AB34" s="44" t="n"/>
      <c r="AC34" s="44" t="n"/>
      <c r="AD34" s="36" t="n"/>
      <c r="AE34" s="85">
        <f>AF33</f>
        <v/>
      </c>
      <c r="AF34" s="14" t="n">
        <v>48564</v>
      </c>
      <c r="AG34" s="151">
        <f>AF34-AE34</f>
        <v/>
      </c>
    </row>
    <row r="35">
      <c r="A35" s="42">
        <f>A34</f>
        <v/>
      </c>
      <c r="B35" s="24" t="inlineStr">
        <is>
          <t>NIGHT</t>
        </is>
      </c>
      <c r="C35" s="14">
        <f>D34</f>
        <v/>
      </c>
      <c r="D35" s="14" t="n">
        <v>4405</v>
      </c>
      <c r="E35" s="14">
        <f>D35-C35</f>
        <v/>
      </c>
      <c r="F35" s="3" t="n"/>
      <c r="G35" s="3" t="n"/>
      <c r="H35" s="3" t="n"/>
      <c r="I35" s="34" t="n"/>
      <c r="J35" s="35" t="n"/>
      <c r="K35" s="15" t="n"/>
      <c r="L35" s="15" t="n"/>
      <c r="M35" s="36" t="n"/>
      <c r="N35" s="14">
        <f>O34</f>
        <v/>
      </c>
      <c r="O35" s="14" t="n">
        <v>62259</v>
      </c>
      <c r="P35" s="151">
        <f>O35-N35</f>
        <v/>
      </c>
      <c r="Q35" s="84" t="n"/>
      <c r="R35" s="42">
        <f>R34</f>
        <v/>
      </c>
      <c r="S35" s="24" t="inlineStr">
        <is>
          <t>NIGHT</t>
        </is>
      </c>
      <c r="T35" s="14">
        <f>U34</f>
        <v/>
      </c>
      <c r="U35" s="14" t="n">
        <v>3000</v>
      </c>
      <c r="V35" s="14">
        <f>U35-T35</f>
        <v/>
      </c>
      <c r="W35" s="3" t="n"/>
      <c r="X35" s="3" t="n"/>
      <c r="Y35" s="3" t="n"/>
      <c r="Z35" s="4" t="n"/>
      <c r="AA35" s="35" t="n"/>
      <c r="AB35" s="15" t="n"/>
      <c r="AC35" s="15" t="n"/>
      <c r="AD35" s="36" t="n"/>
      <c r="AE35" s="85">
        <f>AF34</f>
        <v/>
      </c>
      <c r="AF35" s="14" t="n">
        <v>48670</v>
      </c>
      <c r="AG35" s="151">
        <f>AF35-AE35</f>
        <v/>
      </c>
    </row>
    <row r="36">
      <c r="A36" s="42">
        <f>A34+1</f>
        <v/>
      </c>
      <c r="B36" s="24" t="inlineStr">
        <is>
          <t>DAY</t>
        </is>
      </c>
      <c r="C36" s="14">
        <f>D35</f>
        <v/>
      </c>
      <c r="D36" s="14" t="n">
        <v>4412</v>
      </c>
      <c r="E36" s="14">
        <f>D36-C36</f>
        <v/>
      </c>
      <c r="F36" s="3" t="n">
        <v>500</v>
      </c>
      <c r="G36" s="3" t="n">
        <v>4407</v>
      </c>
      <c r="H36" s="3">
        <f>G36-G34</f>
        <v/>
      </c>
      <c r="I36" s="34">
        <f>F36/H36</f>
        <v/>
      </c>
      <c r="J36" s="35" t="n"/>
      <c r="K36" s="15" t="n"/>
      <c r="L36" s="15" t="n"/>
      <c r="M36" s="36" t="n"/>
      <c r="N36" s="14">
        <f>O35</f>
        <v/>
      </c>
      <c r="O36" s="14" t="n">
        <v>62386</v>
      </c>
      <c r="P36" s="151">
        <f>O36-N36</f>
        <v/>
      </c>
      <c r="Q36" s="84" t="n"/>
      <c r="R36" s="42">
        <f>R34+1</f>
        <v/>
      </c>
      <c r="S36" s="24" t="inlineStr">
        <is>
          <t>DAY</t>
        </is>
      </c>
      <c r="T36" s="14">
        <f>U35</f>
        <v/>
      </c>
      <c r="U36" s="14" t="n">
        <v>3005</v>
      </c>
      <c r="V36" s="14">
        <f>U36-T36</f>
        <v/>
      </c>
      <c r="W36" s="3" t="n">
        <v>500</v>
      </c>
      <c r="X36" s="3" t="n">
        <v>3001</v>
      </c>
      <c r="Y36" s="3">
        <f>X36-X30</f>
        <v/>
      </c>
      <c r="Z36" s="4">
        <f>W36/Y36</f>
        <v/>
      </c>
      <c r="AA36" s="35" t="n"/>
      <c r="AB36" s="15" t="n"/>
      <c r="AC36" s="15" t="n"/>
      <c r="AD36" s="36" t="n"/>
      <c r="AE36" s="85">
        <f>AF35</f>
        <v/>
      </c>
      <c r="AF36" s="14" t="n">
        <v>48714</v>
      </c>
      <c r="AG36" s="151">
        <f>AF36-AE36</f>
        <v/>
      </c>
    </row>
    <row r="37">
      <c r="A37" s="42">
        <f>A36</f>
        <v/>
      </c>
      <c r="B37" s="24" t="inlineStr">
        <is>
          <t>NIGHT</t>
        </is>
      </c>
      <c r="C37" s="14">
        <f>D36</f>
        <v/>
      </c>
      <c r="D37" s="14" t="n">
        <v>4418</v>
      </c>
      <c r="E37" s="14">
        <f>D37-C37</f>
        <v/>
      </c>
      <c r="F37" s="3" t="n"/>
      <c r="G37" s="3" t="n"/>
      <c r="H37" s="3" t="n"/>
      <c r="I37" s="34" t="n"/>
      <c r="J37" s="35" t="n"/>
      <c r="K37" s="15" t="n"/>
      <c r="L37" s="15" t="n"/>
      <c r="M37" s="36" t="n"/>
      <c r="N37" s="14">
        <f>O36</f>
        <v/>
      </c>
      <c r="O37" s="14" t="n">
        <v>62436</v>
      </c>
      <c r="P37" s="151">
        <f>O37-N37</f>
        <v/>
      </c>
      <c r="Q37" s="84" t="n"/>
      <c r="R37" s="42">
        <f>R36</f>
        <v/>
      </c>
      <c r="S37" s="24" t="inlineStr">
        <is>
          <t>NIGHT</t>
        </is>
      </c>
      <c r="T37" s="14">
        <f>U36</f>
        <v/>
      </c>
      <c r="U37" s="14" t="n">
        <v>3010</v>
      </c>
      <c r="V37" s="14">
        <f>U37-T37</f>
        <v/>
      </c>
      <c r="W37" s="3" t="n"/>
      <c r="X37" s="3" t="n"/>
      <c r="Y37" s="3" t="n"/>
      <c r="Z37" s="4" t="n"/>
      <c r="AA37" s="35" t="n"/>
      <c r="AB37" s="15" t="n"/>
      <c r="AC37" s="15" t="n"/>
      <c r="AD37" s="36" t="n"/>
      <c r="AE37" s="85">
        <f>AF36</f>
        <v/>
      </c>
      <c r="AF37" s="14" t="n">
        <v>48842</v>
      </c>
      <c r="AG37" s="151">
        <f>AF37-AE37</f>
        <v/>
      </c>
    </row>
    <row r="38">
      <c r="A38" s="42">
        <f>A36+1</f>
        <v/>
      </c>
      <c r="B38" s="24" t="inlineStr">
        <is>
          <t>DAY</t>
        </is>
      </c>
      <c r="C38" s="14">
        <f>D37</f>
        <v/>
      </c>
      <c r="D38" s="14" t="n">
        <v>4425</v>
      </c>
      <c r="E38" s="14">
        <f>D38-C38</f>
        <v/>
      </c>
      <c r="F38" s="3" t="n"/>
      <c r="G38" s="3" t="n"/>
      <c r="H38" s="3" t="n"/>
      <c r="I38" s="34" t="n"/>
      <c r="J38" s="35" t="n"/>
      <c r="K38" s="15" t="n"/>
      <c r="L38" s="15" t="n"/>
      <c r="M38" s="36" t="n"/>
      <c r="N38" s="14">
        <f>O37</f>
        <v/>
      </c>
      <c r="O38" s="14" t="n">
        <v>62575</v>
      </c>
      <c r="P38" s="151">
        <f>O38-N38</f>
        <v/>
      </c>
      <c r="Q38" s="84" t="n"/>
      <c r="R38" s="42">
        <f>R36+1</f>
        <v/>
      </c>
      <c r="S38" s="24" t="inlineStr">
        <is>
          <t>DAY</t>
        </is>
      </c>
      <c r="T38" s="14">
        <f>U37</f>
        <v/>
      </c>
      <c r="U38" s="14" t="n">
        <v>3012</v>
      </c>
      <c r="V38" s="14">
        <f>U38-T38</f>
        <v/>
      </c>
      <c r="W38" s="3" t="n"/>
      <c r="X38" s="3" t="n"/>
      <c r="Y38" s="3" t="n"/>
      <c r="Z38" s="4" t="n"/>
      <c r="AA38" s="35" t="n"/>
      <c r="AB38" s="15" t="n"/>
      <c r="AC38" s="15" t="n"/>
      <c r="AD38" s="36" t="n"/>
      <c r="AE38" s="85">
        <f>AF37</f>
        <v/>
      </c>
      <c r="AF38" s="14" t="n">
        <v>48885</v>
      </c>
      <c r="AG38" s="151">
        <f>AF38-AE38</f>
        <v/>
      </c>
    </row>
    <row r="39">
      <c r="A39" s="42">
        <f>A38</f>
        <v/>
      </c>
      <c r="B39" s="24" t="inlineStr">
        <is>
          <t>NIGHT</t>
        </is>
      </c>
      <c r="C39" s="14">
        <f>D38</f>
        <v/>
      </c>
      <c r="D39" s="14" t="n">
        <v>4428</v>
      </c>
      <c r="E39" s="14">
        <f>D39-C39</f>
        <v/>
      </c>
      <c r="F39" s="3" t="n"/>
      <c r="G39" s="3" t="n"/>
      <c r="H39" s="3" t="n"/>
      <c r="I39" s="34" t="n"/>
      <c r="J39" s="35" t="n"/>
      <c r="K39" s="15" t="n"/>
      <c r="L39" s="15" t="n"/>
      <c r="M39" s="36" t="n"/>
      <c r="N39" s="14">
        <f>O38</f>
        <v/>
      </c>
      <c r="O39" s="14" t="n">
        <v>62596</v>
      </c>
      <c r="P39" s="151">
        <f>O39-N39</f>
        <v/>
      </c>
      <c r="Q39" s="84" t="n"/>
      <c r="R39" s="42">
        <f>R38</f>
        <v/>
      </c>
      <c r="S39" s="24" t="inlineStr">
        <is>
          <t>NIGHT</t>
        </is>
      </c>
      <c r="T39" s="14">
        <f>U38</f>
        <v/>
      </c>
      <c r="U39" s="14" t="n">
        <v>3014</v>
      </c>
      <c r="V39" s="14">
        <f>U39-T39</f>
        <v/>
      </c>
      <c r="W39" s="3" t="n"/>
      <c r="X39" s="3" t="n"/>
      <c r="Y39" s="3" t="n"/>
      <c r="Z39" s="4" t="n"/>
      <c r="AA39" s="35" t="n"/>
      <c r="AB39" s="15" t="n"/>
      <c r="AC39" s="15" t="n"/>
      <c r="AD39" s="36" t="n"/>
      <c r="AE39" s="85">
        <f>AF38</f>
        <v/>
      </c>
      <c r="AF39" s="14" t="n">
        <v>48903</v>
      </c>
      <c r="AG39" s="151">
        <f>AF39-AE39</f>
        <v/>
      </c>
    </row>
    <row r="40">
      <c r="A40" s="42">
        <f>A38+1</f>
        <v/>
      </c>
      <c r="B40" s="24" t="inlineStr">
        <is>
          <t>DAY</t>
        </is>
      </c>
      <c r="C40" s="14">
        <f>D39</f>
        <v/>
      </c>
      <c r="D40" s="14" t="n">
        <v>4430</v>
      </c>
      <c r="E40" s="14">
        <f>D40-C40</f>
        <v/>
      </c>
      <c r="F40" s="3" t="n">
        <v>260</v>
      </c>
      <c r="G40" s="3" t="n">
        <v>4429</v>
      </c>
      <c r="H40" s="3">
        <f>G40-G36</f>
        <v/>
      </c>
      <c r="I40" s="34">
        <f>F40/H40</f>
        <v/>
      </c>
      <c r="J40" s="35" t="n"/>
      <c r="K40" s="15" t="n"/>
      <c r="L40" s="15" t="n"/>
      <c r="M40" s="36" t="n"/>
      <c r="N40" s="14">
        <f>O39</f>
        <v/>
      </c>
      <c r="O40" s="87" t="n">
        <v>62600</v>
      </c>
      <c r="P40" s="151">
        <f>O40-N40</f>
        <v/>
      </c>
      <c r="Q40" s="84" t="n"/>
      <c r="R40" s="42">
        <f>R38+1</f>
        <v/>
      </c>
      <c r="S40" s="24" t="inlineStr">
        <is>
          <t>DAY</t>
        </is>
      </c>
      <c r="T40" s="14">
        <f>U39</f>
        <v/>
      </c>
      <c r="U40" s="14" t="n">
        <v>3014</v>
      </c>
      <c r="V40" s="14">
        <f>U40-T40</f>
        <v/>
      </c>
      <c r="W40" s="3" t="n">
        <v>300</v>
      </c>
      <c r="X40" s="3" t="n">
        <v>3014</v>
      </c>
      <c r="Y40" s="3">
        <f>X40-X36</f>
        <v/>
      </c>
      <c r="Z40" s="4">
        <f>W40/Y40</f>
        <v/>
      </c>
      <c r="AA40" s="35" t="n"/>
      <c r="AB40" s="15" t="n"/>
      <c r="AC40" s="15" t="n"/>
      <c r="AD40" s="36" t="n"/>
      <c r="AE40" s="85">
        <f>AF39</f>
        <v/>
      </c>
      <c r="AF40" s="14" t="n">
        <v>48903</v>
      </c>
      <c r="AG40" s="151">
        <f>AF40-AE40</f>
        <v/>
      </c>
    </row>
    <row r="41">
      <c r="A41" s="42">
        <f>A40</f>
        <v/>
      </c>
      <c r="B41" s="24" t="inlineStr">
        <is>
          <t>NIGHT</t>
        </is>
      </c>
      <c r="C41" s="14">
        <f>D40</f>
        <v/>
      </c>
      <c r="D41" s="14" t="n">
        <v>4436</v>
      </c>
      <c r="E41" s="14">
        <f>D41-C41</f>
        <v/>
      </c>
      <c r="F41" s="3" t="n"/>
      <c r="G41" s="3" t="n"/>
      <c r="H41" s="3" t="n"/>
      <c r="I41" s="34" t="n"/>
      <c r="J41" s="35" t="n"/>
      <c r="K41" s="15" t="n"/>
      <c r="L41" s="15" t="n"/>
      <c r="M41" s="36" t="n"/>
      <c r="N41" s="14">
        <f>O40</f>
        <v/>
      </c>
      <c r="O41" s="14" t="n">
        <v>62681</v>
      </c>
      <c r="P41" s="151">
        <f>O41-N41</f>
        <v/>
      </c>
      <c r="Q41" s="84" t="n"/>
      <c r="R41" s="42">
        <f>R40</f>
        <v/>
      </c>
      <c r="S41" s="24" t="inlineStr">
        <is>
          <t>NIGHT</t>
        </is>
      </c>
      <c r="T41" s="14">
        <f>U40</f>
        <v/>
      </c>
      <c r="U41" s="14" t="n">
        <v>3016</v>
      </c>
      <c r="V41" s="14">
        <f>U41-T41</f>
        <v/>
      </c>
      <c r="W41" s="3" t="n"/>
      <c r="X41" s="3" t="n"/>
      <c r="Y41" s="3" t="n"/>
      <c r="Z41" s="4" t="n"/>
      <c r="AA41" s="35" t="n"/>
      <c r="AB41" s="15" t="n"/>
      <c r="AC41" s="15" t="n"/>
      <c r="AD41" s="36" t="n"/>
      <c r="AE41" s="85">
        <f>AF40</f>
        <v/>
      </c>
      <c r="AF41" s="14" t="n">
        <v>48930</v>
      </c>
      <c r="AG41" s="151">
        <f>AF41-AE41</f>
        <v/>
      </c>
    </row>
    <row r="42">
      <c r="A42" s="42">
        <f>A40+1</f>
        <v/>
      </c>
      <c r="B42" s="24" t="inlineStr">
        <is>
          <t>DAY</t>
        </is>
      </c>
      <c r="C42" s="14">
        <f>D41</f>
        <v/>
      </c>
      <c r="D42" s="14" t="n">
        <v>4446</v>
      </c>
      <c r="E42" s="14">
        <f>D42-C42</f>
        <v/>
      </c>
      <c r="F42" s="3" t="n"/>
      <c r="G42" s="3" t="n"/>
      <c r="H42" s="3" t="n"/>
      <c r="I42" s="34" t="n"/>
      <c r="J42" s="33" t="n"/>
      <c r="K42" s="4" t="n"/>
      <c r="L42" s="4" t="n"/>
      <c r="M42" s="34" t="n"/>
      <c r="N42" s="14">
        <f>O41</f>
        <v/>
      </c>
      <c r="O42" s="14" t="n">
        <v>62827</v>
      </c>
      <c r="P42" s="151">
        <f>O42-N42</f>
        <v/>
      </c>
      <c r="Q42" s="84" t="n"/>
      <c r="R42" s="42">
        <f>R40+1</f>
        <v/>
      </c>
      <c r="S42" s="24" t="inlineStr">
        <is>
          <t>DAY</t>
        </is>
      </c>
      <c r="T42" s="14">
        <f>U41</f>
        <v/>
      </c>
      <c r="U42" s="14" t="n">
        <v>3025</v>
      </c>
      <c r="V42" s="14">
        <f>U42-T42</f>
        <v/>
      </c>
      <c r="W42" s="3" t="n"/>
      <c r="X42" s="3" t="n"/>
      <c r="Y42" s="3" t="n"/>
      <c r="Z42" s="4" t="n"/>
      <c r="AA42" s="33" t="n"/>
      <c r="AB42" s="4" t="n"/>
      <c r="AC42" s="4" t="n"/>
      <c r="AD42" s="34" t="n"/>
      <c r="AE42" s="85">
        <f>AF41</f>
        <v/>
      </c>
      <c r="AF42" s="14" t="n">
        <v>49067</v>
      </c>
      <c r="AG42" s="151">
        <f>AF42-AE42</f>
        <v/>
      </c>
    </row>
    <row r="43">
      <c r="A43" s="42">
        <f>A42</f>
        <v/>
      </c>
      <c r="B43" s="24" t="inlineStr">
        <is>
          <t>NIGHT</t>
        </is>
      </c>
      <c r="C43" s="14">
        <f>D42</f>
        <v/>
      </c>
      <c r="D43" s="14" t="n">
        <v>4454</v>
      </c>
      <c r="E43" s="14">
        <f>D43-C43</f>
        <v/>
      </c>
      <c r="F43" s="3" t="n"/>
      <c r="G43" s="3" t="n"/>
      <c r="H43" s="3" t="n"/>
      <c r="I43" s="34" t="n"/>
      <c r="J43" s="61" t="n">
        <v>0.2916666666666667</v>
      </c>
      <c r="K43" s="62" t="n">
        <v>0.7916666666666666</v>
      </c>
      <c r="L43" s="62">
        <f>K43-J43</f>
        <v/>
      </c>
      <c r="M43" s="151" t="inlineStr">
        <is>
          <t>No Operator</t>
        </is>
      </c>
      <c r="N43" s="14">
        <f>O42</f>
        <v/>
      </c>
      <c r="O43" s="14" t="n">
        <v>62964</v>
      </c>
      <c r="P43" s="151">
        <f>O43-N43</f>
        <v/>
      </c>
      <c r="Q43" s="84" t="n"/>
      <c r="R43" s="42">
        <f>R42</f>
        <v/>
      </c>
      <c r="S43" s="24" t="inlineStr">
        <is>
          <t>NIGHT</t>
        </is>
      </c>
      <c r="T43" s="14">
        <f>U42</f>
        <v/>
      </c>
      <c r="U43" s="14" t="n">
        <v>3032</v>
      </c>
      <c r="V43" s="14">
        <f>U43-T43</f>
        <v/>
      </c>
      <c r="W43" s="3" t="n"/>
      <c r="X43" s="3" t="n"/>
      <c r="Y43" s="3" t="n"/>
      <c r="Z43" s="4" t="n"/>
      <c r="AA43" s="35" t="n"/>
      <c r="AB43" s="15" t="n"/>
      <c r="AC43" s="15" t="n"/>
      <c r="AD43" s="36" t="n"/>
      <c r="AE43" s="85">
        <f>AF42</f>
        <v/>
      </c>
      <c r="AF43" s="14" t="n">
        <v>49227</v>
      </c>
      <c r="AG43" s="151">
        <f>AF43-AE43</f>
        <v/>
      </c>
    </row>
    <row r="44">
      <c r="A44" s="42">
        <f>A42+1</f>
        <v/>
      </c>
      <c r="B44" s="24" t="inlineStr">
        <is>
          <t>DAY</t>
        </is>
      </c>
      <c r="C44" s="14">
        <f>D43</f>
        <v/>
      </c>
      <c r="D44" s="14" t="n">
        <v>4455</v>
      </c>
      <c r="E44" s="14">
        <f>D44-C44</f>
        <v/>
      </c>
      <c r="F44" s="3" t="n">
        <v>350</v>
      </c>
      <c r="G44" s="3" t="n">
        <v>4454</v>
      </c>
      <c r="H44" s="3">
        <f>G44-G40</f>
        <v/>
      </c>
      <c r="I44" s="34">
        <f>F44/H44</f>
        <v/>
      </c>
      <c r="J44" s="61" t="n">
        <v>0.2916666666666667</v>
      </c>
      <c r="K44" s="62" t="n">
        <v>0.7916666666666666</v>
      </c>
      <c r="L44" s="62">
        <f>K44-J44</f>
        <v/>
      </c>
      <c r="M44" s="151" t="inlineStr">
        <is>
          <t>No Operator</t>
        </is>
      </c>
      <c r="N44" s="14">
        <f>O43</f>
        <v/>
      </c>
      <c r="O44" s="14" t="n">
        <v>62973</v>
      </c>
      <c r="P44" s="151">
        <f>O44-N44</f>
        <v/>
      </c>
      <c r="Q44" s="84" t="n"/>
      <c r="R44" s="42">
        <f>R42+1</f>
        <v/>
      </c>
      <c r="S44" s="24" t="inlineStr">
        <is>
          <t>DAY</t>
        </is>
      </c>
      <c r="T44" s="14">
        <f>U43</f>
        <v/>
      </c>
      <c r="U44" s="14" t="n">
        <v>3041</v>
      </c>
      <c r="V44" s="14">
        <f>U44-T44</f>
        <v/>
      </c>
      <c r="W44" s="3" t="n">
        <v>350</v>
      </c>
      <c r="X44" s="3" t="n">
        <v>3034</v>
      </c>
      <c r="Y44" s="3">
        <f>X44-X40</f>
        <v/>
      </c>
      <c r="Z44" s="4">
        <f>W44/Y44</f>
        <v/>
      </c>
      <c r="AA44" s="35" t="n"/>
      <c r="AB44" s="15" t="n"/>
      <c r="AC44" s="15" t="n"/>
      <c r="AD44" s="36" t="n"/>
      <c r="AE44" s="85">
        <f>AF43</f>
        <v/>
      </c>
      <c r="AF44" s="14" t="n">
        <v>49344</v>
      </c>
      <c r="AG44" s="151">
        <f>AF44-AE44</f>
        <v/>
      </c>
    </row>
    <row r="45">
      <c r="A45" s="42">
        <f>A44</f>
        <v/>
      </c>
      <c r="B45" s="24" t="inlineStr">
        <is>
          <t>NIGHT</t>
        </is>
      </c>
      <c r="C45" s="14">
        <f>D44</f>
        <v/>
      </c>
      <c r="D45" s="14" t="n">
        <v>4466</v>
      </c>
      <c r="E45" s="14">
        <f>D45-C45</f>
        <v/>
      </c>
      <c r="F45" s="3" t="n"/>
      <c r="G45" s="3" t="n"/>
      <c r="H45" s="3" t="n"/>
      <c r="I45" s="34" t="n"/>
      <c r="J45" s="35" t="n"/>
      <c r="K45" s="15" t="n"/>
      <c r="L45" s="15" t="n"/>
      <c r="M45" s="36" t="n"/>
      <c r="N45" s="14">
        <f>O44</f>
        <v/>
      </c>
      <c r="O45" s="14" t="n">
        <v>63115</v>
      </c>
      <c r="P45" s="151">
        <f>O45-N45</f>
        <v/>
      </c>
      <c r="Q45" s="84" t="n"/>
      <c r="R45" s="42">
        <f>R44</f>
        <v/>
      </c>
      <c r="S45" s="24" t="inlineStr">
        <is>
          <t>NIGHT</t>
        </is>
      </c>
      <c r="T45" s="14">
        <f>U44</f>
        <v/>
      </c>
      <c r="U45" s="14" t="n">
        <v>3047</v>
      </c>
      <c r="V45" s="14">
        <f>U45-T45</f>
        <v/>
      </c>
      <c r="W45" s="3" t="n"/>
      <c r="X45" s="3" t="n"/>
      <c r="Y45" s="3" t="n"/>
      <c r="Z45" s="4" t="n"/>
      <c r="AA45" s="35" t="n"/>
      <c r="AB45" s="15" t="n"/>
      <c r="AC45" s="15" t="n"/>
      <c r="AD45" s="36" t="n"/>
      <c r="AE45" s="85">
        <f>AF44</f>
        <v/>
      </c>
      <c r="AF45" s="14" t="n">
        <v>49471</v>
      </c>
      <c r="AG45" s="151">
        <f>AF45-AE45</f>
        <v/>
      </c>
    </row>
    <row r="46">
      <c r="A46" s="42">
        <f>A44+1</f>
        <v/>
      </c>
      <c r="B46" s="24" t="inlineStr">
        <is>
          <t>DAY</t>
        </is>
      </c>
      <c r="C46" s="14">
        <f>D45</f>
        <v/>
      </c>
      <c r="D46" s="14" t="n">
        <v>4476</v>
      </c>
      <c r="E46" s="14">
        <f>D46-C46</f>
        <v/>
      </c>
      <c r="F46" s="3" t="n"/>
      <c r="G46" s="3" t="n"/>
      <c r="H46" s="3" t="n"/>
      <c r="I46" s="34" t="n"/>
      <c r="J46" s="35" t="n"/>
      <c r="K46" s="15" t="n"/>
      <c r="L46" s="15" t="n"/>
      <c r="M46" s="36" t="n"/>
      <c r="N46" s="14">
        <f>O45</f>
        <v/>
      </c>
      <c r="O46" s="14" t="n">
        <v>63267</v>
      </c>
      <c r="P46" s="151">
        <f>O46-N46</f>
        <v/>
      </c>
      <c r="Q46" s="84" t="n"/>
      <c r="R46" s="42">
        <f>R44+1</f>
        <v/>
      </c>
      <c r="S46" s="24" t="inlineStr">
        <is>
          <t>DAY</t>
        </is>
      </c>
      <c r="T46" s="14">
        <f>U45</f>
        <v/>
      </c>
      <c r="U46" s="14" t="n">
        <v>3053</v>
      </c>
      <c r="V46" s="14">
        <f>U46-T46</f>
        <v/>
      </c>
      <c r="W46" s="86" t="n"/>
      <c r="X46" s="3" t="n"/>
      <c r="Y46" s="3" t="n"/>
      <c r="Z46" s="4" t="n"/>
      <c r="AA46" s="81" t="n"/>
      <c r="AB46" s="15" t="n"/>
      <c r="AC46" s="15" t="n"/>
      <c r="AD46" s="36" t="n"/>
      <c r="AE46" s="85">
        <f>AF45</f>
        <v/>
      </c>
      <c r="AF46" s="14" t="n">
        <v>49536</v>
      </c>
      <c r="AG46" s="151">
        <f>AF46-AE46</f>
        <v/>
      </c>
    </row>
    <row r="47">
      <c r="A47" s="42">
        <f>A46</f>
        <v/>
      </c>
      <c r="B47" s="24" t="inlineStr">
        <is>
          <t>NIGHT</t>
        </is>
      </c>
      <c r="C47" s="14">
        <f>D46</f>
        <v/>
      </c>
      <c r="D47" s="14" t="n">
        <v>4485</v>
      </c>
      <c r="E47" s="14">
        <f>D47-C47</f>
        <v/>
      </c>
      <c r="F47" s="3" t="n"/>
      <c r="G47" s="3" t="n"/>
      <c r="H47" s="3" t="n"/>
      <c r="I47" s="34" t="n"/>
      <c r="J47" s="33" t="n"/>
      <c r="K47" s="4" t="n"/>
      <c r="L47" s="4" t="n"/>
      <c r="M47" s="34" t="n"/>
      <c r="N47" s="14">
        <f>O46</f>
        <v/>
      </c>
      <c r="O47" s="14" t="n">
        <v>63372</v>
      </c>
      <c r="P47" s="151">
        <f>O47-N47</f>
        <v/>
      </c>
      <c r="Q47" s="84" t="n"/>
      <c r="R47" s="42">
        <f>R46</f>
        <v/>
      </c>
      <c r="S47" s="24" t="inlineStr">
        <is>
          <t>NIGHT</t>
        </is>
      </c>
      <c r="T47" s="14">
        <f>U46</f>
        <v/>
      </c>
      <c r="U47" s="14" t="n">
        <v>3056</v>
      </c>
      <c r="V47" s="14">
        <f>U47-T47</f>
        <v/>
      </c>
      <c r="W47" s="3" t="n"/>
      <c r="X47" s="3" t="n"/>
      <c r="Y47" s="3" t="n"/>
      <c r="Z47" s="4" t="n"/>
      <c r="AA47" s="81" t="n"/>
      <c r="AB47" s="81" t="n"/>
      <c r="AC47" s="82" t="n"/>
      <c r="AD47" s="36" t="n"/>
      <c r="AE47" s="85">
        <f>AF46</f>
        <v/>
      </c>
      <c r="AF47" s="14" t="n">
        <v>49555</v>
      </c>
      <c r="AG47" s="151">
        <f>AF47-AE47</f>
        <v/>
      </c>
    </row>
    <row r="48">
      <c r="A48" s="42">
        <f>A46+1</f>
        <v/>
      </c>
      <c r="B48" s="24" t="inlineStr">
        <is>
          <t>DAY</t>
        </is>
      </c>
      <c r="C48" s="14">
        <f>D47</f>
        <v/>
      </c>
      <c r="D48" s="14" t="n">
        <v>4494</v>
      </c>
      <c r="E48" s="14">
        <f>D48-C48</f>
        <v/>
      </c>
      <c r="F48" s="3" t="n">
        <v>250</v>
      </c>
      <c r="G48" s="3" t="n">
        <v>4487</v>
      </c>
      <c r="H48" s="3">
        <f>G48-G44</f>
        <v/>
      </c>
      <c r="I48" s="34">
        <f>F48/H48</f>
        <v/>
      </c>
      <c r="J48" s="35" t="n"/>
      <c r="K48" s="15" t="n"/>
      <c r="L48" s="15" t="n"/>
      <c r="M48" s="36" t="n"/>
      <c r="N48" s="14">
        <f>O47</f>
        <v/>
      </c>
      <c r="O48" s="14" t="n">
        <v>63532</v>
      </c>
      <c r="P48" s="151">
        <f>O48-N48</f>
        <v/>
      </c>
      <c r="Q48" s="84" t="n"/>
      <c r="R48" s="42">
        <f>R46+1</f>
        <v/>
      </c>
      <c r="S48" s="24" t="inlineStr">
        <is>
          <t>DAY</t>
        </is>
      </c>
      <c r="T48" s="14">
        <f>U47</f>
        <v/>
      </c>
      <c r="U48" s="14" t="n">
        <v>3062</v>
      </c>
      <c r="V48" s="14">
        <f>U48-T48</f>
        <v/>
      </c>
      <c r="W48" s="3" t="n"/>
      <c r="X48" s="3" t="n"/>
      <c r="Y48" s="3" t="n"/>
      <c r="Z48" s="4" t="n"/>
      <c r="AA48" s="81" t="n"/>
      <c r="AB48" s="81" t="n"/>
      <c r="AC48" s="62" t="n"/>
      <c r="AD48" s="36" t="n"/>
      <c r="AE48" s="85">
        <f>AF47</f>
        <v/>
      </c>
      <c r="AF48" s="14" t="n">
        <v>49643</v>
      </c>
      <c r="AG48" s="151">
        <f>AF48-AE48</f>
        <v/>
      </c>
    </row>
    <row r="49">
      <c r="A49" s="42">
        <f>A48</f>
        <v/>
      </c>
      <c r="B49" s="24" t="inlineStr">
        <is>
          <t>NIGHT</t>
        </is>
      </c>
      <c r="C49" s="14">
        <f>D48</f>
        <v/>
      </c>
      <c r="D49" s="14" t="n">
        <v>4497</v>
      </c>
      <c r="E49" s="14">
        <f>D49-C49</f>
        <v/>
      </c>
      <c r="F49" s="3" t="n"/>
      <c r="G49" s="3" t="n"/>
      <c r="H49" s="3" t="n"/>
      <c r="I49" s="34" t="n"/>
      <c r="J49" s="35" t="n"/>
      <c r="K49" s="15" t="n"/>
      <c r="L49" s="15" t="n"/>
      <c r="M49" s="36" t="n"/>
      <c r="N49" s="14">
        <f>O48</f>
        <v/>
      </c>
      <c r="O49" s="14" t="n">
        <v>63586</v>
      </c>
      <c r="P49" s="151">
        <f>O49-N49</f>
        <v/>
      </c>
      <c r="Q49" s="84" t="n"/>
      <c r="R49" s="42">
        <f>R48</f>
        <v/>
      </c>
      <c r="S49" s="24" t="inlineStr">
        <is>
          <t>NIGHT</t>
        </is>
      </c>
      <c r="T49" s="14">
        <f>U48</f>
        <v/>
      </c>
      <c r="U49" s="14" t="n">
        <v>3066</v>
      </c>
      <c r="V49" s="14">
        <f>U49-T49</f>
        <v/>
      </c>
      <c r="W49" s="3" t="n"/>
      <c r="X49" s="3" t="n"/>
      <c r="Y49" s="3" t="n"/>
      <c r="Z49" s="4" t="n"/>
      <c r="AA49" s="35" t="n"/>
      <c r="AB49" s="15" t="n"/>
      <c r="AC49" s="15" t="n"/>
      <c r="AD49" s="36" t="n"/>
      <c r="AE49" s="85">
        <f>AF48</f>
        <v/>
      </c>
      <c r="AF49" s="14" t="n">
        <v>49701</v>
      </c>
      <c r="AG49" s="151">
        <f>AF49-AE49</f>
        <v/>
      </c>
    </row>
    <row r="50">
      <c r="A50" s="42">
        <f>A48+1</f>
        <v/>
      </c>
      <c r="B50" s="24" t="inlineStr">
        <is>
          <t>DAY</t>
        </is>
      </c>
      <c r="C50" s="14">
        <f>D49</f>
        <v/>
      </c>
      <c r="D50" s="14" t="n">
        <v>4504</v>
      </c>
      <c r="E50" s="14">
        <f>D50-C50</f>
        <v/>
      </c>
      <c r="F50" s="3" t="n">
        <v>300</v>
      </c>
      <c r="G50" s="3" t="n">
        <v>4498</v>
      </c>
      <c r="H50" s="3">
        <f>G50-G48</f>
        <v/>
      </c>
      <c r="I50" s="34">
        <f>F50/H50</f>
        <v/>
      </c>
      <c r="J50" s="35" t="n"/>
      <c r="K50" s="15" t="n"/>
      <c r="L50" s="15" t="n"/>
      <c r="M50" s="36" t="n"/>
      <c r="N50" s="14">
        <f>O49</f>
        <v/>
      </c>
      <c r="O50" s="14" t="n">
        <v>63704</v>
      </c>
      <c r="P50" s="151">
        <f>O50-N50</f>
        <v/>
      </c>
      <c r="Q50" s="84" t="n"/>
      <c r="R50" s="42">
        <f>R48+1</f>
        <v/>
      </c>
      <c r="S50" s="24" t="inlineStr">
        <is>
          <t>DAY</t>
        </is>
      </c>
      <c r="T50" s="14">
        <f>U49</f>
        <v/>
      </c>
      <c r="U50" s="14" t="n">
        <v>3071</v>
      </c>
      <c r="V50" s="14">
        <f>U50-T50</f>
        <v/>
      </c>
      <c r="W50" s="3" t="n">
        <v>300</v>
      </c>
      <c r="X50" s="3" t="n">
        <v>3068</v>
      </c>
      <c r="Y50" s="3">
        <f>X50-X44</f>
        <v/>
      </c>
      <c r="Z50" s="4">
        <f>W50/Y50</f>
        <v/>
      </c>
      <c r="AA50" s="35" t="n"/>
      <c r="AB50" s="15" t="n"/>
      <c r="AC50" s="15" t="n"/>
      <c r="AD50" s="36" t="n"/>
      <c r="AE50" s="85">
        <f>AF49</f>
        <v/>
      </c>
      <c r="AF50" s="14" t="n">
        <v>49783</v>
      </c>
      <c r="AG50" s="151">
        <f>AF50-AE50</f>
        <v/>
      </c>
    </row>
    <row r="51">
      <c r="A51" s="42">
        <f>A50</f>
        <v/>
      </c>
      <c r="B51" s="24" t="inlineStr">
        <is>
          <t>NIGHT</t>
        </is>
      </c>
      <c r="C51" s="14">
        <f>D50</f>
        <v/>
      </c>
      <c r="D51" s="14" t="n">
        <v>4506</v>
      </c>
      <c r="E51" s="14">
        <f>D51-C51</f>
        <v/>
      </c>
      <c r="F51" s="3" t="n"/>
      <c r="G51" s="3" t="n"/>
      <c r="H51" s="3" t="n"/>
      <c r="I51" s="34" t="n"/>
      <c r="J51" s="35" t="n"/>
      <c r="K51" s="15" t="n"/>
      <c r="L51" s="15" t="n"/>
      <c r="M51" s="36" t="n"/>
      <c r="N51" s="14">
        <f>O50</f>
        <v/>
      </c>
      <c r="O51" s="14" t="n">
        <v>63723</v>
      </c>
      <c r="P51" s="151">
        <f>O51-N51</f>
        <v/>
      </c>
      <c r="Q51" s="84" t="n"/>
      <c r="R51" s="42">
        <f>R50</f>
        <v/>
      </c>
      <c r="S51" s="24" t="inlineStr">
        <is>
          <t>NIGHT</t>
        </is>
      </c>
      <c r="T51" s="14">
        <f>U50</f>
        <v/>
      </c>
      <c r="U51" s="14" t="n">
        <v>3077</v>
      </c>
      <c r="V51" s="14">
        <f>U51-T51</f>
        <v/>
      </c>
      <c r="W51" s="3" t="n"/>
      <c r="X51" s="3" t="n"/>
      <c r="Y51" s="3" t="n"/>
      <c r="Z51" s="4" t="n"/>
      <c r="AA51" s="35" t="n"/>
      <c r="AB51" s="15" t="n"/>
      <c r="AC51" s="15" t="n"/>
      <c r="AD51" s="36" t="n"/>
      <c r="AE51" s="85">
        <f>AF50</f>
        <v/>
      </c>
      <c r="AF51" s="14" t="n">
        <v>49894</v>
      </c>
      <c r="AG51" s="151">
        <f>AF51-AE51</f>
        <v/>
      </c>
    </row>
    <row r="52">
      <c r="A52" s="42">
        <f>A50+1</f>
        <v/>
      </c>
      <c r="B52" s="24" t="inlineStr">
        <is>
          <t>DAY</t>
        </is>
      </c>
      <c r="C52" s="14">
        <f>D51</f>
        <v/>
      </c>
      <c r="D52" s="14" t="n">
        <v>4513</v>
      </c>
      <c r="E52" s="14">
        <f>D52-C52</f>
        <v/>
      </c>
      <c r="F52" s="3" t="n"/>
      <c r="G52" s="3" t="n"/>
      <c r="H52" s="3" t="n"/>
      <c r="I52" s="34" t="n"/>
      <c r="J52" s="35" t="n"/>
      <c r="K52" s="15" t="n"/>
      <c r="L52" s="15" t="n"/>
      <c r="M52" s="36" t="n"/>
      <c r="N52" s="14">
        <f>O51</f>
        <v/>
      </c>
      <c r="O52" s="14" t="n">
        <v>63846</v>
      </c>
      <c r="P52" s="151">
        <f>O52-N52</f>
        <v/>
      </c>
      <c r="Q52" s="84" t="n"/>
      <c r="R52" s="42">
        <f>R50+1</f>
        <v/>
      </c>
      <c r="S52" s="24" t="inlineStr">
        <is>
          <t>DAY</t>
        </is>
      </c>
      <c r="T52" s="14">
        <f>U51</f>
        <v/>
      </c>
      <c r="U52" s="14" t="n">
        <v>3080</v>
      </c>
      <c r="V52" s="14">
        <f>U52-T52</f>
        <v/>
      </c>
      <c r="W52" s="3" t="n"/>
      <c r="X52" s="3" t="n"/>
      <c r="Y52" s="3" t="n"/>
      <c r="Z52" s="4" t="n"/>
      <c r="AA52" s="35" t="n"/>
      <c r="AB52" s="15" t="n"/>
      <c r="AC52" s="15" t="n"/>
      <c r="AD52" s="36" t="n"/>
      <c r="AE52" s="85">
        <f>AF51</f>
        <v/>
      </c>
      <c r="AF52" s="14" t="n">
        <v>49947</v>
      </c>
      <c r="AG52" s="151">
        <f>AF52-AE52</f>
        <v/>
      </c>
    </row>
    <row r="53">
      <c r="A53" s="42">
        <f>A52</f>
        <v/>
      </c>
      <c r="B53" s="24" t="inlineStr">
        <is>
          <t>NIGHT</t>
        </is>
      </c>
      <c r="C53" s="14">
        <f>D52</f>
        <v/>
      </c>
      <c r="D53" s="14" t="n">
        <v>4518</v>
      </c>
      <c r="E53" s="14">
        <f>D53-C53</f>
        <v/>
      </c>
      <c r="F53" s="3" t="n"/>
      <c r="G53" s="3" t="n"/>
      <c r="H53" s="3" t="n"/>
      <c r="I53" s="34" t="n"/>
      <c r="J53" s="35" t="n"/>
      <c r="K53" s="15" t="n"/>
      <c r="L53" s="15" t="n"/>
      <c r="M53" s="36" t="n"/>
      <c r="N53" s="14">
        <f>O52</f>
        <v/>
      </c>
      <c r="O53" s="14" t="n">
        <v>63903</v>
      </c>
      <c r="P53" s="151">
        <f>O53-N53</f>
        <v/>
      </c>
      <c r="Q53" s="84" t="n"/>
      <c r="R53" s="42">
        <f>R52</f>
        <v/>
      </c>
      <c r="S53" s="24" t="inlineStr">
        <is>
          <t>NIGHT</t>
        </is>
      </c>
      <c r="T53" s="14">
        <f>U52</f>
        <v/>
      </c>
      <c r="U53" s="14" t="n">
        <v>3081</v>
      </c>
      <c r="V53" s="14">
        <f>U53-T53</f>
        <v/>
      </c>
      <c r="W53" s="3" t="n"/>
      <c r="X53" s="3" t="n"/>
      <c r="Y53" s="3" t="n"/>
      <c r="Z53" s="4" t="n"/>
      <c r="AA53" s="35" t="n"/>
      <c r="AB53" s="15" t="n"/>
      <c r="AC53" s="15" t="n"/>
      <c r="AD53" s="36" t="n"/>
      <c r="AE53" s="85">
        <f>AF52</f>
        <v/>
      </c>
      <c r="AF53" s="14" t="n">
        <v>49947</v>
      </c>
      <c r="AG53" s="151">
        <f>AF53-AE53</f>
        <v/>
      </c>
    </row>
    <row r="54">
      <c r="A54" s="42">
        <f>A52+1</f>
        <v/>
      </c>
      <c r="B54" s="24" t="inlineStr">
        <is>
          <t>DAY</t>
        </is>
      </c>
      <c r="C54" s="14">
        <f>D53</f>
        <v/>
      </c>
      <c r="D54" s="14" t="n">
        <v>4525</v>
      </c>
      <c r="E54" s="14">
        <f>D54-C54</f>
        <v/>
      </c>
      <c r="F54" s="3" t="n">
        <v>250</v>
      </c>
      <c r="G54" s="3" t="n">
        <v>4520</v>
      </c>
      <c r="H54" s="3">
        <f>G54-G50</f>
        <v/>
      </c>
      <c r="I54" s="34">
        <f>F54/H54</f>
        <v/>
      </c>
      <c r="J54" s="35" t="n"/>
      <c r="K54" s="15" t="n"/>
      <c r="L54" s="15" t="n"/>
      <c r="M54" s="36" t="n"/>
      <c r="N54" s="14">
        <f>O53</f>
        <v/>
      </c>
      <c r="O54" s="86" t="n">
        <v>63948</v>
      </c>
      <c r="P54" s="151">
        <f>O54-N54</f>
        <v/>
      </c>
      <c r="Q54" s="84" t="n"/>
      <c r="R54" s="42">
        <f>R52+1</f>
        <v/>
      </c>
      <c r="S54" s="24" t="inlineStr">
        <is>
          <t>DAY</t>
        </is>
      </c>
      <c r="T54" s="14">
        <f>U53</f>
        <v/>
      </c>
      <c r="U54" s="14" t="n">
        <v>3081</v>
      </c>
      <c r="V54" s="14">
        <f>U54-T54</f>
        <v/>
      </c>
      <c r="W54" s="3" t="n">
        <v>400</v>
      </c>
      <c r="X54" s="3" t="n">
        <v>3081</v>
      </c>
      <c r="Y54" s="3">
        <f>X54-X50</f>
        <v/>
      </c>
      <c r="Z54" s="4">
        <f>W54/Y54</f>
        <v/>
      </c>
      <c r="AA54" s="35" t="n"/>
      <c r="AB54" s="15" t="n"/>
      <c r="AC54" s="15" t="n"/>
      <c r="AD54" s="36" t="n"/>
      <c r="AE54" s="85">
        <f>AF53</f>
        <v/>
      </c>
      <c r="AF54" s="14" t="n">
        <v>49947</v>
      </c>
      <c r="AG54" s="151">
        <f>AF54-AE54</f>
        <v/>
      </c>
    </row>
    <row r="55">
      <c r="A55" s="42">
        <f>A54</f>
        <v/>
      </c>
      <c r="B55" s="24" t="inlineStr">
        <is>
          <t>NIGHT</t>
        </is>
      </c>
      <c r="C55" s="14">
        <f>D54</f>
        <v/>
      </c>
      <c r="D55" s="14" t="n">
        <v>4535</v>
      </c>
      <c r="E55" s="14">
        <f>D55-C55</f>
        <v/>
      </c>
      <c r="F55" s="3" t="n"/>
      <c r="G55" s="3" t="n"/>
      <c r="H55" s="3" t="n"/>
      <c r="I55" s="34" t="n"/>
      <c r="J55" s="35" t="n"/>
      <c r="K55" s="15" t="n"/>
      <c r="L55" s="15" t="n"/>
      <c r="M55" s="36" t="n"/>
      <c r="N55" s="14">
        <f>O54</f>
        <v/>
      </c>
      <c r="O55" s="14" t="n">
        <v>64096</v>
      </c>
      <c r="P55" s="151">
        <f>O55-N55</f>
        <v/>
      </c>
      <c r="Q55" s="84" t="n"/>
      <c r="R55" s="42">
        <f>R54</f>
        <v/>
      </c>
      <c r="S55" s="24" t="inlineStr">
        <is>
          <t>NIGHT</t>
        </is>
      </c>
      <c r="T55" s="14">
        <f>U54</f>
        <v/>
      </c>
      <c r="U55" s="14" t="n">
        <v>3083</v>
      </c>
      <c r="V55" s="14">
        <f>U55-T55</f>
        <v/>
      </c>
      <c r="W55" s="3" t="n"/>
      <c r="X55" s="3" t="n"/>
      <c r="Y55" s="3" t="n"/>
      <c r="Z55" s="4" t="n"/>
      <c r="AA55" s="35" t="n"/>
      <c r="AB55" s="15" t="n"/>
      <c r="AC55" s="15" t="n"/>
      <c r="AD55" s="36" t="n"/>
      <c r="AE55" s="85">
        <f>AF54</f>
        <v/>
      </c>
      <c r="AF55" s="86" t="n">
        <v>49969</v>
      </c>
      <c r="AG55" s="151">
        <f>AF55-AE55</f>
        <v/>
      </c>
    </row>
    <row r="56">
      <c r="A56" s="42">
        <f>A54+1</f>
        <v/>
      </c>
      <c r="B56" s="24" t="inlineStr">
        <is>
          <t>DAY</t>
        </is>
      </c>
      <c r="C56" s="14">
        <f>D55</f>
        <v/>
      </c>
      <c r="D56" s="14" t="n">
        <v>4546</v>
      </c>
      <c r="E56" s="14">
        <f>D56-C56</f>
        <v/>
      </c>
      <c r="F56" s="3" t="n">
        <v>350</v>
      </c>
      <c r="G56" s="3" t="n">
        <v>4542</v>
      </c>
      <c r="H56" s="3">
        <f>G56-G54</f>
        <v/>
      </c>
      <c r="I56" s="34">
        <f>F56/H56</f>
        <v/>
      </c>
      <c r="J56" s="50" t="n"/>
      <c r="K56" s="14" t="n"/>
      <c r="L56" s="14" t="n"/>
      <c r="M56" s="151" t="n"/>
      <c r="N56" s="14">
        <f>O55</f>
        <v/>
      </c>
      <c r="O56" s="14" t="n">
        <v>64308</v>
      </c>
      <c r="P56" s="151">
        <f>O56-N56</f>
        <v/>
      </c>
      <c r="Q56" s="84" t="n"/>
      <c r="R56" s="42">
        <f>R54+1</f>
        <v/>
      </c>
      <c r="S56" s="24" t="inlineStr">
        <is>
          <t>DAY</t>
        </is>
      </c>
      <c r="T56" s="14">
        <f>U55</f>
        <v/>
      </c>
      <c r="U56" s="14" t="n">
        <v>3087</v>
      </c>
      <c r="V56" s="14">
        <f>U56-T56</f>
        <v/>
      </c>
      <c r="W56" s="3" t="n"/>
      <c r="X56" s="3" t="n"/>
      <c r="Y56" s="3" t="n"/>
      <c r="Z56" s="4" t="n"/>
      <c r="AA56" s="61" t="n"/>
      <c r="AB56" s="62" t="n"/>
      <c r="AC56" s="62" t="n"/>
      <c r="AD56" s="151" t="n"/>
      <c r="AE56" s="85">
        <f>AF55</f>
        <v/>
      </c>
      <c r="AF56" s="14" t="n">
        <v>49991</v>
      </c>
      <c r="AG56" s="151">
        <f>AF56-AE56</f>
        <v/>
      </c>
    </row>
    <row r="57">
      <c r="A57" s="42">
        <f>A56</f>
        <v/>
      </c>
      <c r="B57" s="24" t="inlineStr">
        <is>
          <t>NIGHT</t>
        </is>
      </c>
      <c r="C57" s="14">
        <f>D56</f>
        <v/>
      </c>
      <c r="D57" s="14" t="n">
        <v>4554</v>
      </c>
      <c r="E57" s="14">
        <f>D57-C57</f>
        <v/>
      </c>
      <c r="F57" s="3" t="n"/>
      <c r="G57" s="3" t="n"/>
      <c r="H57" s="3" t="n"/>
      <c r="I57" s="34" t="n"/>
      <c r="J57" s="50" t="n"/>
      <c r="K57" s="14" t="n"/>
      <c r="L57" s="14" t="n"/>
      <c r="M57" s="151" t="n"/>
      <c r="N57" s="14">
        <f>O56</f>
        <v/>
      </c>
      <c r="O57" s="14" t="n">
        <v>64438</v>
      </c>
      <c r="P57" s="151">
        <f>O57-N57</f>
        <v/>
      </c>
      <c r="Q57" s="84" t="n"/>
      <c r="R57" s="42">
        <f>R56</f>
        <v/>
      </c>
      <c r="S57" s="24" t="inlineStr">
        <is>
          <t>NIGHT</t>
        </is>
      </c>
      <c r="T57" s="14">
        <f>U56</f>
        <v/>
      </c>
      <c r="U57" s="14" t="n">
        <v>3089</v>
      </c>
      <c r="V57" s="14">
        <f>U57-T57</f>
        <v/>
      </c>
      <c r="W57" s="3" t="n"/>
      <c r="X57" s="3" t="n"/>
      <c r="Y57" s="3" t="n"/>
      <c r="Z57" s="4" t="n"/>
      <c r="AA57" s="50" t="n"/>
      <c r="AB57" s="14" t="n"/>
      <c r="AC57" s="14" t="n"/>
      <c r="AD57" s="151" t="n"/>
      <c r="AE57" s="85">
        <f>AF56</f>
        <v/>
      </c>
      <c r="AF57" s="14" t="n">
        <v>50026</v>
      </c>
      <c r="AG57" s="151">
        <f>AF57-AE57</f>
        <v/>
      </c>
    </row>
    <row r="58">
      <c r="A58" s="42">
        <f>A56+1</f>
        <v/>
      </c>
      <c r="B58" s="24" t="inlineStr">
        <is>
          <t>DAY</t>
        </is>
      </c>
      <c r="C58" s="14">
        <f>D57</f>
        <v/>
      </c>
      <c r="D58" s="14" t="n">
        <v>4564</v>
      </c>
      <c r="E58" s="14">
        <f>D58-C58</f>
        <v/>
      </c>
      <c r="F58" s="3" t="n"/>
      <c r="G58" s="3" t="n"/>
      <c r="H58" s="3" t="n"/>
      <c r="I58" s="34" t="n"/>
      <c r="J58" s="50" t="n"/>
      <c r="K58" s="14" t="n"/>
      <c r="L58" s="14" t="n"/>
      <c r="M58" s="151" t="n"/>
      <c r="N58" s="14">
        <f>O57</f>
        <v/>
      </c>
      <c r="O58" s="14" t="n">
        <v>64588</v>
      </c>
      <c r="P58" s="151">
        <f>O58-N58</f>
        <v/>
      </c>
      <c r="Q58" s="84" t="n"/>
      <c r="R58" s="42">
        <f>R56+1</f>
        <v/>
      </c>
      <c r="S58" s="24" t="inlineStr">
        <is>
          <t>DAY</t>
        </is>
      </c>
      <c r="T58" s="14">
        <f>U57</f>
        <v/>
      </c>
      <c r="U58" s="14" t="n">
        <v>3094</v>
      </c>
      <c r="V58" s="14">
        <f>U58-T58</f>
        <v/>
      </c>
      <c r="W58" s="3" t="n"/>
      <c r="X58" s="3" t="n"/>
      <c r="Y58" s="3" t="n"/>
      <c r="Z58" s="4" t="n"/>
      <c r="AA58" s="50" t="n"/>
      <c r="AB58" s="14" t="n"/>
      <c r="AC58" s="14" t="n"/>
      <c r="AD58" s="151" t="n"/>
      <c r="AE58" s="85">
        <f>AF57</f>
        <v/>
      </c>
      <c r="AF58" s="14" t="n">
        <v>50096</v>
      </c>
      <c r="AG58" s="151">
        <f>AF58-AE58</f>
        <v/>
      </c>
    </row>
    <row r="59">
      <c r="A59" s="42">
        <f>A58</f>
        <v/>
      </c>
      <c r="B59" s="24" t="inlineStr">
        <is>
          <t>NIGHT</t>
        </is>
      </c>
      <c r="C59" s="14">
        <f>D58</f>
        <v/>
      </c>
      <c r="D59" s="14" t="n">
        <v>4573</v>
      </c>
      <c r="E59" s="14">
        <f>D59-C59</f>
        <v/>
      </c>
      <c r="F59" s="3" t="n"/>
      <c r="G59" s="3" t="n"/>
      <c r="H59" s="3" t="n"/>
      <c r="I59" s="34" t="n"/>
      <c r="J59" s="50" t="n"/>
      <c r="K59" s="14" t="n"/>
      <c r="L59" s="14" t="n"/>
      <c r="M59" s="151" t="n"/>
      <c r="N59" s="14">
        <f>O58</f>
        <v/>
      </c>
      <c r="O59" s="14" t="n">
        <v>64706</v>
      </c>
      <c r="P59" s="151">
        <f>O59-N59</f>
        <v/>
      </c>
      <c r="Q59" s="84" t="n"/>
      <c r="R59" s="42">
        <f>R58</f>
        <v/>
      </c>
      <c r="S59" s="24" t="inlineStr">
        <is>
          <t>NIGHT</t>
        </is>
      </c>
      <c r="T59" s="14">
        <f>U58</f>
        <v/>
      </c>
      <c r="U59" s="14" t="n">
        <v>3097</v>
      </c>
      <c r="V59" s="14">
        <f>U59-T59</f>
        <v/>
      </c>
      <c r="W59" s="3" t="n"/>
      <c r="X59" s="3" t="n"/>
      <c r="Y59" s="3" t="n"/>
      <c r="Z59" s="4" t="n"/>
      <c r="AA59" s="50" t="n"/>
      <c r="AB59" s="14" t="n"/>
      <c r="AC59" s="14" t="n"/>
      <c r="AD59" s="151" t="n"/>
      <c r="AE59" s="85">
        <f>AF58</f>
        <v/>
      </c>
      <c r="AF59" s="14" t="n">
        <v>50145</v>
      </c>
      <c r="AG59" s="151">
        <f>AF59-AE59</f>
        <v/>
      </c>
    </row>
    <row r="60">
      <c r="A60" s="42">
        <f>A58+1</f>
        <v/>
      </c>
      <c r="B60" s="24" t="inlineStr">
        <is>
          <t>DAY</t>
        </is>
      </c>
      <c r="C60" s="14">
        <f>D59</f>
        <v/>
      </c>
      <c r="D60" s="88" t="n">
        <v>4582</v>
      </c>
      <c r="E60" s="88">
        <f>D60-C60</f>
        <v/>
      </c>
      <c r="F60" s="89" t="n">
        <v>460</v>
      </c>
      <c r="G60" s="89" t="n">
        <v>4576</v>
      </c>
      <c r="H60" s="89">
        <f>G60-G56</f>
        <v/>
      </c>
      <c r="I60" s="90">
        <f>F60/H60</f>
        <v/>
      </c>
      <c r="J60" s="91" t="n"/>
      <c r="K60" s="88" t="n"/>
      <c r="L60" s="88" t="n"/>
      <c r="M60" s="92" t="n"/>
      <c r="N60" s="14">
        <f>O59</f>
        <v/>
      </c>
      <c r="O60" s="88" t="n">
        <v>64877</v>
      </c>
      <c r="P60" s="151">
        <f>O60-N60</f>
        <v/>
      </c>
      <c r="Q60" s="84" t="n"/>
      <c r="R60" s="42">
        <f>R58+1</f>
        <v/>
      </c>
      <c r="S60" s="24" t="inlineStr">
        <is>
          <t>DAY</t>
        </is>
      </c>
      <c r="T60" s="14">
        <f>U59</f>
        <v/>
      </c>
      <c r="U60" s="88" t="n">
        <v>3105</v>
      </c>
      <c r="V60" s="88">
        <f>U60-T60</f>
        <v/>
      </c>
      <c r="W60" s="89" t="n">
        <v>250</v>
      </c>
      <c r="X60" s="89" t="n">
        <v>3100</v>
      </c>
      <c r="Y60" s="89">
        <f>X60-X54</f>
        <v/>
      </c>
      <c r="Z60" s="90">
        <f>W60/Y60</f>
        <v/>
      </c>
      <c r="AA60" s="91" t="n"/>
      <c r="AB60" s="88" t="n"/>
      <c r="AC60" s="88" t="n"/>
      <c r="AD60" s="92" t="n"/>
      <c r="AE60" s="85">
        <f>AF59</f>
        <v/>
      </c>
      <c r="AF60" s="14" t="n">
        <v>50229</v>
      </c>
      <c r="AG60" s="151">
        <f>AF60-AE60</f>
        <v/>
      </c>
    </row>
    <row r="61">
      <c r="A61" s="42">
        <f>A60</f>
        <v/>
      </c>
      <c r="B61" s="24" t="inlineStr">
        <is>
          <t>NIGHT</t>
        </is>
      </c>
      <c r="C61" s="14">
        <f>D60</f>
        <v/>
      </c>
      <c r="D61" s="88" t="n">
        <v>4592</v>
      </c>
      <c r="E61" s="88">
        <f>D61-C61</f>
        <v/>
      </c>
      <c r="F61" s="89" t="n"/>
      <c r="G61" s="89" t="n"/>
      <c r="H61" s="89" t="n"/>
      <c r="I61" s="90" t="n"/>
      <c r="J61" s="91" t="n"/>
      <c r="K61" s="88" t="n"/>
      <c r="L61" s="88" t="n"/>
      <c r="M61" s="92" t="n"/>
      <c r="N61" s="14">
        <f>O60</f>
        <v/>
      </c>
      <c r="O61" s="88" t="n">
        <v>65000</v>
      </c>
      <c r="P61" s="151">
        <f>O61-N61</f>
        <v/>
      </c>
      <c r="Q61" s="84" t="n"/>
      <c r="R61" s="42">
        <f>R60</f>
        <v/>
      </c>
      <c r="S61" s="24" t="inlineStr">
        <is>
          <t>NIGHT</t>
        </is>
      </c>
      <c r="T61" s="14">
        <f>U60</f>
        <v/>
      </c>
      <c r="U61" s="88" t="n">
        <v>3112</v>
      </c>
      <c r="V61" s="88">
        <f>U61-T61</f>
        <v/>
      </c>
      <c r="W61" s="89" t="n"/>
      <c r="X61" s="89" t="n"/>
      <c r="Y61" s="89" t="n"/>
      <c r="Z61" s="90" t="n"/>
      <c r="AA61" s="91" t="n"/>
      <c r="AB61" s="88" t="n"/>
      <c r="AC61" s="88" t="n"/>
      <c r="AD61" s="92" t="n"/>
      <c r="AE61" s="85">
        <f>AF60</f>
        <v/>
      </c>
      <c r="AF61" s="14" t="n">
        <v>50345</v>
      </c>
      <c r="AG61" s="151">
        <f>AF61-AE61</f>
        <v/>
      </c>
    </row>
    <row r="62">
      <c r="A62" s="42">
        <f>A60+1</f>
        <v/>
      </c>
      <c r="B62" s="24" t="inlineStr">
        <is>
          <t>DAY</t>
        </is>
      </c>
      <c r="C62" s="14">
        <f>D61</f>
        <v/>
      </c>
      <c r="D62" s="88" t="n">
        <v>4597</v>
      </c>
      <c r="E62" s="88">
        <f>D62-C62</f>
        <v/>
      </c>
      <c r="F62" s="89" t="n">
        <v>250</v>
      </c>
      <c r="G62" s="89" t="n">
        <v>4592</v>
      </c>
      <c r="H62" s="89">
        <f>G62-G60</f>
        <v/>
      </c>
      <c r="I62" s="90">
        <f>F62/H62</f>
        <v/>
      </c>
      <c r="J62" s="91" t="n"/>
      <c r="K62" s="88" t="n"/>
      <c r="L62" s="88" t="n"/>
      <c r="M62" s="92" t="n"/>
      <c r="N62" s="14">
        <f>O61</f>
        <v/>
      </c>
      <c r="O62" s="88" t="n">
        <v>65021</v>
      </c>
      <c r="P62" s="151">
        <f>O62-N62</f>
        <v/>
      </c>
      <c r="Q62" s="84" t="n"/>
      <c r="R62" s="42">
        <f>R60+1</f>
        <v/>
      </c>
      <c r="S62" s="24" t="inlineStr">
        <is>
          <t>DAY</t>
        </is>
      </c>
      <c r="T62" s="14">
        <f>U61</f>
        <v/>
      </c>
      <c r="U62" s="88" t="n">
        <v>3117</v>
      </c>
      <c r="V62" s="88">
        <f>U62-T62</f>
        <v/>
      </c>
      <c r="W62" s="89" t="n"/>
      <c r="X62" s="89" t="n"/>
      <c r="Y62" s="89" t="n"/>
      <c r="Z62" s="90" t="n"/>
      <c r="AA62" s="91" t="n"/>
      <c r="AB62" s="88" t="n"/>
      <c r="AC62" s="88" t="n"/>
      <c r="AD62" s="92" t="n"/>
      <c r="AE62" s="85">
        <f>AF61</f>
        <v/>
      </c>
      <c r="AF62" s="14" t="n">
        <v>50434</v>
      </c>
      <c r="AG62" s="151">
        <f>AF62-AE62</f>
        <v/>
      </c>
    </row>
    <row r="63">
      <c r="A63" s="42">
        <f>A62</f>
        <v/>
      </c>
      <c r="B63" s="24" t="inlineStr">
        <is>
          <t>NIGHT</t>
        </is>
      </c>
      <c r="C63" s="14">
        <f>D62</f>
        <v/>
      </c>
      <c r="D63" s="88" t="n">
        <v>4607</v>
      </c>
      <c r="E63" s="88">
        <f>D63-C63</f>
        <v/>
      </c>
      <c r="F63" s="89" t="n"/>
      <c r="G63" s="89" t="n"/>
      <c r="H63" s="89" t="n"/>
      <c r="I63" s="90" t="n"/>
      <c r="J63" s="91" t="n"/>
      <c r="K63" s="88" t="n"/>
      <c r="L63" s="88" t="n"/>
      <c r="M63" s="92" t="n"/>
      <c r="N63" s="14">
        <f>O62</f>
        <v/>
      </c>
      <c r="O63" s="88" t="n">
        <v>65124</v>
      </c>
      <c r="P63" s="151">
        <f>O63-N63</f>
        <v/>
      </c>
      <c r="Q63" s="84" t="n"/>
      <c r="R63" s="42">
        <f>R62</f>
        <v/>
      </c>
      <c r="S63" s="24" t="inlineStr">
        <is>
          <t>NIGHT</t>
        </is>
      </c>
      <c r="T63" s="14">
        <f>U62</f>
        <v/>
      </c>
      <c r="U63" s="88" t="n">
        <v>3125</v>
      </c>
      <c r="V63" s="88">
        <f>U63-T63</f>
        <v/>
      </c>
      <c r="W63" s="89" t="n"/>
      <c r="X63" s="89" t="n"/>
      <c r="Y63" s="89" t="n"/>
      <c r="Z63" s="90" t="n"/>
      <c r="AA63" s="91" t="n"/>
      <c r="AB63" s="88" t="n"/>
      <c r="AC63" s="88" t="n"/>
      <c r="AD63" s="92" t="n"/>
      <c r="AE63" s="85">
        <f>AF62</f>
        <v/>
      </c>
      <c r="AF63" s="14" t="n">
        <v>50544</v>
      </c>
      <c r="AG63" s="151">
        <f>AF63-AE63</f>
        <v/>
      </c>
    </row>
    <row r="64">
      <c r="A64" s="42">
        <f>A62+1</f>
        <v/>
      </c>
      <c r="B64" s="24" t="inlineStr">
        <is>
          <t>DAY</t>
        </is>
      </c>
      <c r="C64" s="14">
        <f>D63</f>
        <v/>
      </c>
      <c r="D64" s="88" t="n">
        <v>4616</v>
      </c>
      <c r="E64" s="88">
        <f>D64-C64</f>
        <v/>
      </c>
      <c r="F64" s="89" t="n">
        <v>250</v>
      </c>
      <c r="G64" s="89" t="n">
        <v>4614</v>
      </c>
      <c r="H64" s="89">
        <f>G64-G62</f>
        <v/>
      </c>
      <c r="I64" s="90">
        <f>F64/H64</f>
        <v/>
      </c>
      <c r="J64" s="91" t="n"/>
      <c r="K64" s="88" t="n"/>
      <c r="L64" s="88" t="n"/>
      <c r="M64" s="92" t="n"/>
      <c r="N64" s="14">
        <f>O63</f>
        <v/>
      </c>
      <c r="O64" s="88" t="n">
        <v>65269</v>
      </c>
      <c r="P64" s="151">
        <f>O64-N64</f>
        <v/>
      </c>
      <c r="Q64" s="84" t="n"/>
      <c r="R64" s="42">
        <f>R62+1</f>
        <v/>
      </c>
      <c r="S64" s="24" t="inlineStr">
        <is>
          <t>DAY</t>
        </is>
      </c>
      <c r="T64" s="14">
        <f>U63</f>
        <v/>
      </c>
      <c r="U64" s="88" t="n">
        <v>3131</v>
      </c>
      <c r="V64" s="88">
        <f>U64-T64</f>
        <v/>
      </c>
      <c r="W64" s="89" t="n">
        <v>500</v>
      </c>
      <c r="X64" s="89" t="n">
        <v>3129</v>
      </c>
      <c r="Y64" s="89">
        <f>X64-X60</f>
        <v/>
      </c>
      <c r="Z64" s="90">
        <f>W64/Y64</f>
        <v/>
      </c>
      <c r="AA64" s="91" t="n"/>
      <c r="AB64" s="88" t="n"/>
      <c r="AC64" s="88" t="n"/>
      <c r="AD64" s="92" t="n"/>
      <c r="AE64" s="85">
        <f>AF63</f>
        <v/>
      </c>
      <c r="AF64" s="14" t="n">
        <v>50628</v>
      </c>
      <c r="AG64" s="151">
        <f>AF64-AE64</f>
        <v/>
      </c>
    </row>
    <row r="65" ht="15.75" customHeight="1" thickBot="1">
      <c r="A65" s="42">
        <f>A64</f>
        <v/>
      </c>
      <c r="B65" s="24" t="inlineStr">
        <is>
          <t>NIGHT</t>
        </is>
      </c>
      <c r="C65" s="14">
        <f>D64</f>
        <v/>
      </c>
      <c r="D65" s="88" t="n">
        <v>4620</v>
      </c>
      <c r="E65" s="88">
        <f>D65-C65</f>
        <v/>
      </c>
      <c r="F65" s="89" t="n"/>
      <c r="G65" s="89" t="n"/>
      <c r="H65" s="89" t="n"/>
      <c r="I65" s="90" t="n"/>
      <c r="J65" s="91" t="n"/>
      <c r="K65" s="88" t="n"/>
      <c r="L65" s="88" t="n"/>
      <c r="M65" s="92" t="n"/>
      <c r="N65" s="14">
        <f>O64</f>
        <v/>
      </c>
      <c r="O65" s="88" t="n">
        <v>65308</v>
      </c>
      <c r="P65" s="151">
        <f>O65-N65</f>
        <v/>
      </c>
      <c r="Q65" s="84" t="n"/>
      <c r="R65" s="42">
        <f>R64</f>
        <v/>
      </c>
      <c r="S65" s="24" t="inlineStr">
        <is>
          <t>NIGHT</t>
        </is>
      </c>
      <c r="T65" s="14">
        <f>U64</f>
        <v/>
      </c>
      <c r="U65" s="88" t="n">
        <v>3136</v>
      </c>
      <c r="V65" s="88">
        <f>U65-T65</f>
        <v/>
      </c>
      <c r="W65" s="89" t="n"/>
      <c r="X65" s="89" t="n"/>
      <c r="Y65" s="89" t="n"/>
      <c r="Z65" s="90" t="n"/>
      <c r="AA65" s="91" t="n"/>
      <c r="AB65" s="88" t="n"/>
      <c r="AC65" s="88" t="n"/>
      <c r="AD65" s="92" t="n"/>
      <c r="AE65" s="85">
        <f>AF64</f>
        <v/>
      </c>
      <c r="AF65" s="14" t="n">
        <v>50713</v>
      </c>
      <c r="AG65" s="151">
        <f>AF65-AE65</f>
        <v/>
      </c>
    </row>
    <row r="66" ht="15.75" customHeight="1" thickBot="1">
      <c r="A66" s="153" t="inlineStr">
        <is>
          <t>TOTAL HMR</t>
        </is>
      </c>
      <c r="B66" s="154" t="n"/>
      <c r="C66" s="154" t="n"/>
      <c r="D66" s="155" t="n"/>
      <c r="E66" s="74">
        <f>SUBTOTAL(9,E4:E65)</f>
        <v/>
      </c>
      <c r="F66" s="74">
        <f>SUBTOTAL(9,F4:F65)</f>
        <v/>
      </c>
      <c r="G66" s="74" t="n"/>
      <c r="H66" s="74">
        <f>SUBTOTAL(9,H4:H65)</f>
        <v/>
      </c>
      <c r="I66" s="59">
        <f>F66/H66</f>
        <v/>
      </c>
      <c r="J66" s="56" t="n"/>
      <c r="K66" s="57" t="n"/>
      <c r="L66" s="83">
        <f>SUM(L4:L59)</f>
        <v/>
      </c>
      <c r="M66" s="58" t="n"/>
      <c r="N66" s="63" t="n"/>
      <c r="O66" s="60" t="n"/>
      <c r="P66" s="74">
        <f>SUBTOTAL(9,P4:P65)</f>
        <v/>
      </c>
      <c r="R66" s="153" t="inlineStr">
        <is>
          <t>TOTAL HMR</t>
        </is>
      </c>
      <c r="S66" s="154" t="n"/>
      <c r="T66" s="154" t="n"/>
      <c r="U66" s="155" t="n"/>
      <c r="V66" s="74">
        <f>SUBTOTAL(9,V4:V65)</f>
        <v/>
      </c>
      <c r="W66" s="74">
        <f>SUBTOTAL(9,W4:W65)</f>
        <v/>
      </c>
      <c r="X66" s="74" t="n"/>
      <c r="Y66" s="74">
        <f>SUBTOTAL(9,Y4:Y65)</f>
        <v/>
      </c>
      <c r="Z66" s="59">
        <f>W66/Y66</f>
        <v/>
      </c>
      <c r="AA66" s="56" t="n"/>
      <c r="AB66" s="57" t="n"/>
      <c r="AC66" s="78">
        <f>SUM(AC4:AC59)</f>
        <v/>
      </c>
      <c r="AD66" s="58" t="n"/>
      <c r="AE66" s="63" t="n"/>
      <c r="AF66" s="1" t="n"/>
      <c r="AG66" s="74">
        <f>SUM(AG4:AG65)</f>
        <v/>
      </c>
    </row>
    <row r="67">
      <c r="A67" s="144" t="inlineStr">
        <is>
          <t>FIX HMR INVOICE NO….........................</t>
        </is>
      </c>
      <c r="B67" s="145" t="n"/>
      <c r="C67" s="145" t="n"/>
      <c r="D67" s="146" t="n"/>
      <c r="E67" s="73" t="n">
        <v>520</v>
      </c>
      <c r="F67" s="22" t="n"/>
      <c r="G67" s="22" t="n"/>
      <c r="H67" s="22" t="n"/>
      <c r="I67" s="23">
        <f>F66/E66</f>
        <v/>
      </c>
      <c r="J67" s="38" t="n"/>
      <c r="K67" s="23" t="n"/>
      <c r="L67" s="23" t="n"/>
      <c r="M67" s="39" t="n"/>
      <c r="N67" s="64" t="n"/>
      <c r="O67" s="23" t="n"/>
      <c r="P67" s="39" t="n"/>
      <c r="R67" s="144" t="inlineStr">
        <is>
          <t>FIX HMR INVOICE NO….........................</t>
        </is>
      </c>
      <c r="S67" s="145" t="n"/>
      <c r="T67" s="145" t="n"/>
      <c r="U67" s="146" t="n"/>
      <c r="V67" s="73" t="n">
        <v>520</v>
      </c>
      <c r="W67" s="22" t="n"/>
      <c r="X67" s="22" t="n"/>
      <c r="Y67" s="22" t="n"/>
      <c r="Z67" s="23">
        <f>W66/V66</f>
        <v/>
      </c>
      <c r="AA67" s="38" t="n"/>
      <c r="AB67" s="23" t="n"/>
      <c r="AC67" s="23" t="n"/>
      <c r="AD67" s="39" t="n"/>
      <c r="AE67" s="64" t="n"/>
      <c r="AF67" s="60" t="n"/>
      <c r="AG67" s="39" t="n"/>
    </row>
    <row r="68" ht="15.75" customHeight="1" thickBot="1">
      <c r="A68" s="141" t="inlineStr">
        <is>
          <t>EXTRA HMR INVOICE NO. …..................</t>
        </is>
      </c>
      <c r="B68" s="142" t="n"/>
      <c r="C68" s="142" t="n"/>
      <c r="D68" s="143" t="n"/>
      <c r="E68" s="27">
        <f>IF(E66-E67&lt;0,0,E66-E67)</f>
        <v/>
      </c>
      <c r="F68" s="27" t="n"/>
      <c r="G68" s="27" t="n"/>
      <c r="H68" s="27" t="n"/>
      <c r="I68" s="45" t="n"/>
      <c r="J68" s="141" t="n"/>
      <c r="K68" s="27" t="n"/>
      <c r="L68" s="27" t="n"/>
      <c r="M68" s="21" t="n"/>
      <c r="N68" s="65" t="n"/>
      <c r="O68" s="27" t="n"/>
      <c r="P68" s="21" t="n"/>
      <c r="R68" s="141" t="inlineStr">
        <is>
          <t>EXTRA HMR INVOICE NO. …..................</t>
        </is>
      </c>
      <c r="S68" s="142" t="n"/>
      <c r="T68" s="142" t="n"/>
      <c r="U68" s="143" t="n"/>
      <c r="V68" s="27">
        <f>IF(V66-V67&lt;0,0,V66-V67)</f>
        <v/>
      </c>
      <c r="W68" s="27" t="n"/>
      <c r="X68" s="27" t="n"/>
      <c r="Y68" s="27" t="n"/>
      <c r="Z68" s="27" t="n"/>
      <c r="AA68" s="141" t="n"/>
      <c r="AB68" s="27" t="n"/>
      <c r="AC68" s="27" t="n"/>
      <c r="AD68" s="21" t="n"/>
      <c r="AE68" s="65" t="n"/>
      <c r="AF68" s="23" t="n"/>
      <c r="AG68" s="21" t="n"/>
    </row>
    <row r="70">
      <c r="A70" s="13" t="inlineStr">
        <is>
          <t>25-26/H/1895-MAR-26-RS-02-CN-RS.2000-2 Day-No Operator</t>
        </is>
      </c>
    </row>
    <row r="71">
      <c r="A71" s="13" t="inlineStr">
        <is>
          <t>CN/26-27/R-H/06</t>
        </is>
      </c>
    </row>
  </sheetData>
  <mergeCells count="8">
    <mergeCell ref="R66:U66"/>
    <mergeCell ref="A67:D67"/>
    <mergeCell ref="A1:M1"/>
    <mergeCell ref="R1:AD1"/>
    <mergeCell ref="R67:U67"/>
    <mergeCell ref="R68:U68"/>
    <mergeCell ref="A68:D68"/>
    <mergeCell ref="A66:D66"/>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G66"/>
  <sheetViews>
    <sheetView zoomScale="85" zoomScaleNormal="85" workbookViewId="0">
      <pane xSplit="1" ySplit="3" topLeftCell="B34" activePane="bottomRight" state="frozen"/>
      <selection pane="topRight" activeCell="B1" sqref="B1"/>
      <selection pane="bottomLeft" activeCell="A4" sqref="A4"/>
      <selection pane="bottomRight" activeCell="I72" sqref="I72"/>
    </sheetView>
  </sheetViews>
  <sheetFormatPr baseColWidth="8" defaultRowHeight="15"/>
  <cols>
    <col width="10.140625" customWidth="1" min="1" max="1"/>
    <col width="12.28515625" bestFit="1" customWidth="1" min="13" max="13"/>
    <col width="12.28515625" bestFit="1" customWidth="1" min="30" max="30"/>
  </cols>
  <sheetData>
    <row r="1" ht="24" customHeight="1" thickBot="1">
      <c r="A1" s="147" t="inlineStr">
        <is>
          <t>SANY-2025-650 Ltr (RS-02)</t>
        </is>
      </c>
      <c r="B1" s="148" t="n"/>
      <c r="C1" s="148" t="n"/>
      <c r="D1" s="148" t="n"/>
      <c r="E1" s="148" t="n"/>
      <c r="F1" s="148" t="n"/>
      <c r="G1" s="148" t="n"/>
      <c r="H1" s="148" t="n"/>
      <c r="I1" s="148" t="n"/>
      <c r="J1" s="148" t="n"/>
      <c r="K1" s="148" t="n"/>
      <c r="L1" s="148" t="n"/>
      <c r="M1" s="148" t="n"/>
      <c r="N1" s="25" t="n"/>
      <c r="O1" s="25" t="n"/>
      <c r="P1" s="25" t="n"/>
      <c r="R1" s="147" t="inlineStr">
        <is>
          <t>Hyster-2025 (RS-03)</t>
        </is>
      </c>
      <c r="S1" s="148" t="n"/>
      <c r="T1" s="148" t="n"/>
      <c r="U1" s="148" t="n"/>
      <c r="V1" s="148" t="n"/>
      <c r="W1" s="148" t="n"/>
      <c r="X1" s="148" t="n"/>
      <c r="Y1" s="148" t="n"/>
      <c r="Z1" s="148" t="n"/>
      <c r="AA1" s="148" t="n"/>
      <c r="AB1" s="148" t="n"/>
      <c r="AC1" s="148" t="n"/>
      <c r="AD1" s="148" t="n"/>
    </row>
    <row r="2" ht="63.75" customHeight="1" thickBot="1">
      <c r="A2" s="28" t="inlineStr">
        <is>
          <t>DATE</t>
        </is>
      </c>
      <c r="B2" s="40" t="inlineStr">
        <is>
          <t>SHIFT</t>
        </is>
      </c>
      <c r="C2" s="29" t="inlineStr">
        <is>
          <t>START HMR</t>
        </is>
      </c>
      <c r="D2" s="29" t="inlineStr">
        <is>
          <t>END HMR</t>
        </is>
      </c>
      <c r="E2" s="29" t="inlineStr">
        <is>
          <t>WORKING HMR</t>
        </is>
      </c>
      <c r="F2" s="29" t="inlineStr">
        <is>
          <t>DIESEL RECEIVED</t>
        </is>
      </c>
      <c r="G2" s="29" t="inlineStr">
        <is>
          <t>HMR</t>
        </is>
      </c>
      <c r="H2" s="29" t="inlineStr">
        <is>
          <t>Diesel filling Hours</t>
        </is>
      </c>
      <c r="I2" s="30" t="inlineStr">
        <is>
          <t>Average</t>
        </is>
      </c>
      <c r="J2" s="28" t="inlineStr">
        <is>
          <t>B/D Start Time</t>
        </is>
      </c>
      <c r="K2" s="29" t="inlineStr">
        <is>
          <t>B/D End Time</t>
        </is>
      </c>
      <c r="L2" s="29" t="inlineStr">
        <is>
          <t>Total B/D Hours</t>
        </is>
      </c>
      <c r="M2" s="30" t="inlineStr">
        <is>
          <t>B/D Reason</t>
        </is>
      </c>
      <c r="N2" s="46" t="inlineStr">
        <is>
          <t>Start Conatiner</t>
        </is>
      </c>
      <c r="O2" s="47" t="inlineStr">
        <is>
          <t>End Conatiner</t>
        </is>
      </c>
      <c r="P2" s="48" t="inlineStr">
        <is>
          <t>Per Day Container Count</t>
        </is>
      </c>
      <c r="R2" s="28" t="inlineStr">
        <is>
          <t>DATE</t>
        </is>
      </c>
      <c r="S2" s="40" t="inlineStr">
        <is>
          <t>SHIFT</t>
        </is>
      </c>
      <c r="T2" s="29" t="inlineStr">
        <is>
          <t>START HMR</t>
        </is>
      </c>
      <c r="U2" s="29" t="inlineStr">
        <is>
          <t>END HMR</t>
        </is>
      </c>
      <c r="V2" s="29" t="inlineStr">
        <is>
          <t>WORKING HMR</t>
        </is>
      </c>
      <c r="W2" s="29" t="inlineStr">
        <is>
          <t>DIESEL RECEIVED</t>
        </is>
      </c>
      <c r="X2" s="29" t="inlineStr">
        <is>
          <t>HMR</t>
        </is>
      </c>
      <c r="Y2" s="29" t="inlineStr">
        <is>
          <t>Diesel filling Hours</t>
        </is>
      </c>
      <c r="Z2" s="29" t="inlineStr">
        <is>
          <t>Average</t>
        </is>
      </c>
      <c r="AA2" s="28" t="inlineStr">
        <is>
          <t>B/D Start Time</t>
        </is>
      </c>
      <c r="AB2" s="29" t="inlineStr">
        <is>
          <t>B/D End Time</t>
        </is>
      </c>
      <c r="AC2" s="29" t="inlineStr">
        <is>
          <t>Total B/D Hours</t>
        </is>
      </c>
      <c r="AD2" s="30" t="inlineStr">
        <is>
          <t>B/D Reason</t>
        </is>
      </c>
      <c r="AE2" s="46" t="inlineStr">
        <is>
          <t>Start Conatiner</t>
        </is>
      </c>
      <c r="AF2" s="47" t="inlineStr">
        <is>
          <t>End Conatiner</t>
        </is>
      </c>
      <c r="AG2" s="48" t="inlineStr">
        <is>
          <t>Per Day Container Count</t>
        </is>
      </c>
    </row>
    <row r="3" ht="15.75" customHeight="1">
      <c r="A3" s="17" t="inlineStr">
        <is>
          <t>Prev</t>
        </is>
      </c>
      <c r="B3" s="8" t="n"/>
      <c r="C3" s="2" t="n"/>
      <c r="D3" s="2" t="n"/>
      <c r="E3" s="2" t="n"/>
      <c r="F3" s="6" t="n"/>
      <c r="G3" s="6" t="n">
        <v>4614</v>
      </c>
      <c r="H3" s="6" t="n"/>
      <c r="I3" s="18" t="n"/>
      <c r="J3" s="31" t="n"/>
      <c r="K3" s="6" t="n"/>
      <c r="L3" s="6" t="n"/>
      <c r="M3" s="18" t="n"/>
      <c r="N3" s="31" t="n"/>
      <c r="O3" s="6" t="n"/>
      <c r="P3" s="18" t="n"/>
      <c r="Q3" s="13" t="n"/>
      <c r="R3" s="17" t="inlineStr">
        <is>
          <t>Prev</t>
        </is>
      </c>
      <c r="S3" s="8" t="n"/>
      <c r="T3" s="2" t="n"/>
      <c r="U3" s="2" t="n"/>
      <c r="V3" s="2" t="n"/>
      <c r="W3" s="6" t="n"/>
      <c r="X3" s="6" t="n">
        <v>3129</v>
      </c>
      <c r="Y3" s="6" t="n"/>
      <c r="Z3" s="6" t="n"/>
      <c r="AA3" s="31" t="n"/>
      <c r="AB3" s="6" t="n"/>
      <c r="AC3" s="6" t="n"/>
      <c r="AD3" s="18" t="n"/>
      <c r="AE3" s="31" t="n"/>
      <c r="AF3" s="6" t="n"/>
      <c r="AG3" s="18" t="n"/>
    </row>
    <row r="4">
      <c r="A4" s="42" t="n">
        <v>46113</v>
      </c>
      <c r="B4" s="24" t="inlineStr">
        <is>
          <t>DAY</t>
        </is>
      </c>
      <c r="C4" s="88" t="n">
        <v>4620</v>
      </c>
      <c r="D4" s="14" t="n">
        <v>4624</v>
      </c>
      <c r="E4" s="14">
        <f>D4-C4</f>
        <v/>
      </c>
      <c r="F4" s="3" t="n"/>
      <c r="G4" s="3" t="n"/>
      <c r="H4" s="3" t="n"/>
      <c r="I4" s="34" t="n"/>
      <c r="J4" s="32" t="n"/>
      <c r="K4" s="3" t="n"/>
      <c r="L4" s="3" t="n"/>
      <c r="M4" s="19" t="n"/>
      <c r="N4" s="88" t="n">
        <v>65308</v>
      </c>
      <c r="O4" s="14" t="n">
        <v>65351</v>
      </c>
      <c r="P4" s="151">
        <f>O4-N4</f>
        <v/>
      </c>
      <c r="Q4" s="84" t="n"/>
      <c r="R4" s="42" t="n">
        <v>46113</v>
      </c>
      <c r="S4" s="24" t="inlineStr">
        <is>
          <t>DAY</t>
        </is>
      </c>
      <c r="T4" s="88" t="n">
        <v>3136</v>
      </c>
      <c r="U4" s="14" t="n">
        <v>3138</v>
      </c>
      <c r="V4" s="14">
        <f>U4-T4</f>
        <v/>
      </c>
      <c r="W4" s="3" t="n"/>
      <c r="X4" s="3" t="n"/>
      <c r="Y4" s="3" t="n"/>
      <c r="Z4" s="4" t="n"/>
      <c r="AA4" s="32" t="n"/>
      <c r="AB4" s="3" t="n"/>
      <c r="AC4" s="3" t="n"/>
      <c r="AD4" s="19" t="n"/>
      <c r="AE4" s="14" t="n">
        <v>50713</v>
      </c>
      <c r="AF4" s="14" t="n">
        <v>50746</v>
      </c>
      <c r="AG4" s="151">
        <f>AF4-AE4</f>
        <v/>
      </c>
    </row>
    <row r="5">
      <c r="A5" s="42">
        <f>A4</f>
        <v/>
      </c>
      <c r="B5" s="24" t="inlineStr">
        <is>
          <t>NIGHT</t>
        </is>
      </c>
      <c r="C5" s="14">
        <f>D4</f>
        <v/>
      </c>
      <c r="D5" s="14" t="n">
        <v>4625</v>
      </c>
      <c r="E5" s="14">
        <f>D5-C5</f>
        <v/>
      </c>
      <c r="F5" s="3" t="n"/>
      <c r="G5" s="3" t="n"/>
      <c r="H5" s="3" t="n"/>
      <c r="I5" s="34" t="n"/>
      <c r="J5" s="32" t="n"/>
      <c r="K5" s="3" t="n"/>
      <c r="L5" s="3" t="n"/>
      <c r="M5" s="19" t="n"/>
      <c r="N5" s="14">
        <f>O4</f>
        <v/>
      </c>
      <c r="O5" s="14" t="n">
        <v>65361</v>
      </c>
      <c r="P5" s="151">
        <f>O5-N5</f>
        <v/>
      </c>
      <c r="Q5" s="84" t="n"/>
      <c r="R5" s="42">
        <f>R4</f>
        <v/>
      </c>
      <c r="S5" s="24" t="inlineStr">
        <is>
          <t>NIGHT</t>
        </is>
      </c>
      <c r="T5" s="14">
        <f>U4</f>
        <v/>
      </c>
      <c r="U5" s="14" t="n">
        <v>3140</v>
      </c>
      <c r="V5" s="14">
        <f>U5-T5</f>
        <v/>
      </c>
      <c r="W5" s="3" t="n"/>
      <c r="X5" s="3" t="n"/>
      <c r="Y5" s="3" t="n"/>
      <c r="Z5" s="4" t="n"/>
      <c r="AA5" s="32" t="n"/>
      <c r="AB5" s="3" t="n"/>
      <c r="AC5" s="3" t="n"/>
      <c r="AD5" s="19" t="n"/>
      <c r="AE5" s="85">
        <f>AF4</f>
        <v/>
      </c>
      <c r="AF5" s="14" t="n">
        <v>50811</v>
      </c>
      <c r="AG5" s="151">
        <f>AF5-AE5</f>
        <v/>
      </c>
    </row>
    <row r="6">
      <c r="A6" s="42">
        <f>A4+1</f>
        <v/>
      </c>
      <c r="B6" s="24" t="inlineStr">
        <is>
          <t>DAY</t>
        </is>
      </c>
      <c r="C6" s="14">
        <f>D5</f>
        <v/>
      </c>
      <c r="D6" s="14" t="n">
        <v>4627</v>
      </c>
      <c r="E6" s="14">
        <f>D6-C6</f>
        <v/>
      </c>
      <c r="F6" s="3" t="n"/>
      <c r="G6" s="3" t="n"/>
      <c r="H6" s="3" t="n"/>
      <c r="I6" s="34" t="n"/>
      <c r="J6" s="33" t="n"/>
      <c r="K6" s="4" t="n"/>
      <c r="L6" s="4" t="n"/>
      <c r="M6" s="34" t="n"/>
      <c r="N6" s="14">
        <f>O5</f>
        <v/>
      </c>
      <c r="O6" s="14" t="n">
        <v>65376</v>
      </c>
      <c r="P6" s="151">
        <f>O6-N6</f>
        <v/>
      </c>
      <c r="Q6" s="84" t="n"/>
      <c r="R6" s="42">
        <f>R4+1</f>
        <v/>
      </c>
      <c r="S6" s="24" t="inlineStr">
        <is>
          <t>DAY</t>
        </is>
      </c>
      <c r="T6" s="14">
        <f>U5</f>
        <v/>
      </c>
      <c r="U6" s="14" t="n">
        <v>3141</v>
      </c>
      <c r="V6" s="14">
        <f>U6-T6</f>
        <v/>
      </c>
      <c r="W6" s="3" t="n"/>
      <c r="X6" s="3" t="n"/>
      <c r="Y6" s="3" t="n"/>
      <c r="Z6" s="4" t="n"/>
      <c r="AA6" s="33" t="n"/>
      <c r="AB6" s="4" t="n"/>
      <c r="AC6" s="4" t="n"/>
      <c r="AD6" s="34" t="n"/>
      <c r="AE6" s="85">
        <f>AF5</f>
        <v/>
      </c>
      <c r="AF6" s="14" t="n">
        <v>50813</v>
      </c>
      <c r="AG6" s="151">
        <f>AF6-AE6</f>
        <v/>
      </c>
    </row>
    <row r="7">
      <c r="A7" s="42">
        <f>A6</f>
        <v/>
      </c>
      <c r="B7" s="24" t="inlineStr">
        <is>
          <t>NIGHT</t>
        </is>
      </c>
      <c r="C7" s="14">
        <f>D6</f>
        <v/>
      </c>
      <c r="D7" s="14" t="n">
        <v>4627</v>
      </c>
      <c r="E7" s="14">
        <f>D7-C7</f>
        <v/>
      </c>
      <c r="F7" s="3" t="n"/>
      <c r="G7" s="3" t="n"/>
      <c r="H7" s="3" t="n"/>
      <c r="I7" s="34" t="n"/>
      <c r="J7" s="61" t="n">
        <v>0.2916666666666667</v>
      </c>
      <c r="K7" s="62" t="n">
        <v>0.7916666666666666</v>
      </c>
      <c r="L7" s="62">
        <f>K7-J7</f>
        <v/>
      </c>
      <c r="M7" s="151" t="inlineStr">
        <is>
          <t>No Operator</t>
        </is>
      </c>
      <c r="N7" s="14">
        <f>O6</f>
        <v/>
      </c>
      <c r="O7" s="14" t="n">
        <v>65381</v>
      </c>
      <c r="P7" s="151">
        <f>O7-N7</f>
        <v/>
      </c>
      <c r="Q7" s="84" t="n"/>
      <c r="R7" s="42">
        <f>R6</f>
        <v/>
      </c>
      <c r="S7" s="24" t="inlineStr">
        <is>
          <t>NIGHT</t>
        </is>
      </c>
      <c r="T7" s="14">
        <f>U6</f>
        <v/>
      </c>
      <c r="U7" s="14" t="n">
        <v>3142</v>
      </c>
      <c r="V7" s="14">
        <f>U7-T7</f>
        <v/>
      </c>
      <c r="W7" s="3" t="n"/>
      <c r="X7" s="3" t="n"/>
      <c r="Y7" s="3" t="n"/>
      <c r="Z7" s="4" t="n"/>
      <c r="AA7" s="33" t="n"/>
      <c r="AB7" s="4" t="n"/>
      <c r="AC7" s="4" t="n"/>
      <c r="AD7" s="34" t="n"/>
      <c r="AE7" s="85">
        <f>AF6</f>
        <v/>
      </c>
      <c r="AF7" s="14" t="n">
        <v>50865</v>
      </c>
      <c r="AG7" s="151">
        <f>AF7-AE7</f>
        <v/>
      </c>
    </row>
    <row r="8">
      <c r="A8" s="42">
        <f>A6+1</f>
        <v/>
      </c>
      <c r="B8" s="24" t="inlineStr">
        <is>
          <t>DAY</t>
        </is>
      </c>
      <c r="C8" s="14">
        <f>D7</f>
        <v/>
      </c>
      <c r="D8" s="14" t="n">
        <v>4631</v>
      </c>
      <c r="E8" s="14">
        <f>D8-C8</f>
        <v/>
      </c>
      <c r="F8" s="3" t="n"/>
      <c r="G8" s="3" t="n"/>
      <c r="H8" s="3" t="n"/>
      <c r="I8" s="34" t="n"/>
      <c r="J8" s="35" t="n"/>
      <c r="K8" s="15" t="n"/>
      <c r="L8" s="15" t="n"/>
      <c r="M8" s="36" t="n"/>
      <c r="N8" s="14">
        <f>O7</f>
        <v/>
      </c>
      <c r="O8" s="14" t="n">
        <v>65415</v>
      </c>
      <c r="P8" s="151">
        <f>O8-N8</f>
        <v/>
      </c>
      <c r="Q8" s="84" t="n"/>
      <c r="R8" s="42">
        <f>R6+1</f>
        <v/>
      </c>
      <c r="S8" s="24" t="inlineStr">
        <is>
          <t>DAY</t>
        </is>
      </c>
      <c r="T8" s="14">
        <f>U7</f>
        <v/>
      </c>
      <c r="U8" s="14" t="n">
        <v>3145</v>
      </c>
      <c r="V8" s="14">
        <f>U8-T8</f>
        <v/>
      </c>
      <c r="W8" s="3" t="n"/>
      <c r="X8" s="3" t="n"/>
      <c r="Y8" s="3" t="n"/>
      <c r="Z8" s="4" t="n"/>
      <c r="AA8" s="35" t="n"/>
      <c r="AB8" s="15" t="n"/>
      <c r="AC8" s="15" t="n"/>
      <c r="AD8" s="36" t="n"/>
      <c r="AE8" s="85">
        <f>AF7</f>
        <v/>
      </c>
      <c r="AF8" s="85" t="n">
        <v>50888</v>
      </c>
      <c r="AG8" s="151">
        <f>AF8-AE8</f>
        <v/>
      </c>
    </row>
    <row r="9">
      <c r="A9" s="42">
        <f>A8</f>
        <v/>
      </c>
      <c r="B9" s="24" t="inlineStr">
        <is>
          <t>NIGHT</t>
        </is>
      </c>
      <c r="C9" s="14">
        <f>D8</f>
        <v/>
      </c>
      <c r="D9" s="14" t="n">
        <v>4636</v>
      </c>
      <c r="E9" s="14">
        <f>D9-C9</f>
        <v/>
      </c>
      <c r="F9" s="3" t="n"/>
      <c r="G9" s="3" t="n"/>
      <c r="H9" s="3" t="n"/>
      <c r="I9" s="34" t="n"/>
      <c r="J9" s="61" t="n">
        <v>0.2916666666666667</v>
      </c>
      <c r="K9" s="62" t="n">
        <v>0.7916666666666666</v>
      </c>
      <c r="L9" s="62">
        <f>K9-J9</f>
        <v/>
      </c>
      <c r="M9" s="151" t="inlineStr">
        <is>
          <t>No Operator</t>
        </is>
      </c>
      <c r="N9" s="14">
        <f>O8</f>
        <v/>
      </c>
      <c r="O9" s="14" t="n">
        <v>65486</v>
      </c>
      <c r="P9" s="151">
        <f>O9-N9</f>
        <v/>
      </c>
      <c r="Q9" s="84" t="n"/>
      <c r="R9" s="42">
        <f>R8</f>
        <v/>
      </c>
      <c r="S9" s="24" t="inlineStr">
        <is>
          <t>NIGHT</t>
        </is>
      </c>
      <c r="T9" s="14">
        <f>U8</f>
        <v/>
      </c>
      <c r="U9" s="14" t="n">
        <v>3152</v>
      </c>
      <c r="V9" s="14">
        <f>U9-T9</f>
        <v/>
      </c>
      <c r="W9" s="3" t="n"/>
      <c r="X9" s="3" t="n"/>
      <c r="Y9" s="3" t="n"/>
      <c r="Z9" s="4" t="n"/>
      <c r="AA9" s="33" t="n"/>
      <c r="AB9" s="4" t="n"/>
      <c r="AC9" s="4" t="n"/>
      <c r="AD9" s="34" t="n"/>
      <c r="AE9" s="85">
        <f>AF8</f>
        <v/>
      </c>
      <c r="AF9" s="85" t="n">
        <v>50976</v>
      </c>
      <c r="AG9" s="151">
        <f>AF9-AE9</f>
        <v/>
      </c>
    </row>
    <row r="10">
      <c r="A10" s="42">
        <f>A8+1</f>
        <v/>
      </c>
      <c r="B10" s="24" t="inlineStr">
        <is>
          <t>DAY</t>
        </is>
      </c>
      <c r="C10" s="14">
        <f>D9</f>
        <v/>
      </c>
      <c r="D10" s="14" t="n">
        <v>4646</v>
      </c>
      <c r="E10" s="14">
        <f>D10-C10</f>
        <v/>
      </c>
      <c r="F10" s="3" t="n">
        <v>350</v>
      </c>
      <c r="G10" s="3" t="n">
        <v>4639</v>
      </c>
      <c r="H10" s="3">
        <f>G10-G3</f>
        <v/>
      </c>
      <c r="I10" s="34">
        <f>F10/H10</f>
        <v/>
      </c>
      <c r="J10" s="32" t="n"/>
      <c r="K10" s="3" t="n"/>
      <c r="L10" s="3" t="n"/>
      <c r="M10" s="19" t="n"/>
      <c r="N10" s="14">
        <f>O9</f>
        <v/>
      </c>
      <c r="O10" s="14" t="n">
        <v>65613</v>
      </c>
      <c r="P10" s="151">
        <f>O10-N10</f>
        <v/>
      </c>
      <c r="Q10" s="84" t="n"/>
      <c r="R10" s="42">
        <f>R8+1</f>
        <v/>
      </c>
      <c r="S10" s="24" t="inlineStr">
        <is>
          <t>DAY</t>
        </is>
      </c>
      <c r="T10" s="14">
        <f>U9</f>
        <v/>
      </c>
      <c r="U10" s="14" t="n">
        <v>3159</v>
      </c>
      <c r="V10" s="14">
        <f>U10-T10</f>
        <v/>
      </c>
      <c r="W10" s="3" t="n">
        <v>350</v>
      </c>
      <c r="X10" s="3" t="n">
        <v>3154</v>
      </c>
      <c r="Y10" s="3">
        <f>X10-X3</f>
        <v/>
      </c>
      <c r="Z10" s="4">
        <f>W10/Y10</f>
        <v/>
      </c>
      <c r="AA10" s="32" t="n"/>
      <c r="AB10" s="3" t="n"/>
      <c r="AC10" s="3" t="n"/>
      <c r="AD10" s="19" t="n"/>
      <c r="AE10" s="85">
        <f>AF9</f>
        <v/>
      </c>
      <c r="AF10" s="85" t="n">
        <v>51039</v>
      </c>
      <c r="AG10" s="151">
        <f>AF10-AE10</f>
        <v/>
      </c>
    </row>
    <row r="11">
      <c r="A11" s="42">
        <f>A10</f>
        <v/>
      </c>
      <c r="B11" s="24" t="inlineStr">
        <is>
          <t>NIGHT</t>
        </is>
      </c>
      <c r="C11" s="14">
        <f>D10</f>
        <v/>
      </c>
      <c r="D11" s="14" t="n">
        <v>4654</v>
      </c>
      <c r="E11" s="14">
        <f>D11-C11</f>
        <v/>
      </c>
      <c r="F11" s="3" t="n"/>
      <c r="G11" s="3" t="n"/>
      <c r="H11" s="3" t="n"/>
      <c r="I11" s="34" t="n"/>
      <c r="J11" s="61" t="n">
        <v>0.2916666666666667</v>
      </c>
      <c r="K11" s="62" t="n">
        <v>0.7916666666666666</v>
      </c>
      <c r="L11" s="62">
        <f>K11-J11</f>
        <v/>
      </c>
      <c r="M11" s="151" t="inlineStr">
        <is>
          <t>No Operator</t>
        </is>
      </c>
      <c r="N11" s="14">
        <f>O10</f>
        <v/>
      </c>
      <c r="O11" s="14" t="n">
        <v>65743</v>
      </c>
      <c r="P11" s="151">
        <f>O11-N11</f>
        <v/>
      </c>
      <c r="Q11" s="84" t="n"/>
      <c r="R11" s="42">
        <f>R10</f>
        <v/>
      </c>
      <c r="S11" s="24" t="inlineStr">
        <is>
          <t>NIGHT</t>
        </is>
      </c>
      <c r="T11" s="14">
        <f>U10</f>
        <v/>
      </c>
      <c r="U11" s="14" t="n">
        <v>3166</v>
      </c>
      <c r="V11" s="14">
        <f>U11-T11</f>
        <v/>
      </c>
      <c r="W11" s="3" t="n"/>
      <c r="X11" s="3" t="n"/>
      <c r="Y11" s="3" t="n"/>
      <c r="Z11" s="4" t="n"/>
      <c r="AA11" s="32" t="n"/>
      <c r="AB11" s="3" t="n"/>
      <c r="AC11" s="3" t="n"/>
      <c r="AD11" s="19" t="n"/>
      <c r="AE11" s="85">
        <f>AF10</f>
        <v/>
      </c>
      <c r="AF11" s="85" t="n">
        <v>51160</v>
      </c>
      <c r="AG11" s="151">
        <f>AF11-AE11</f>
        <v/>
      </c>
    </row>
    <row r="12">
      <c r="A12" s="42">
        <f>A10+1</f>
        <v/>
      </c>
      <c r="B12" s="24" t="inlineStr">
        <is>
          <t>DAY</t>
        </is>
      </c>
      <c r="C12" s="14">
        <f>D11</f>
        <v/>
      </c>
      <c r="D12" s="14" t="n">
        <v>4663</v>
      </c>
      <c r="E12" s="14">
        <f>D12-C12</f>
        <v/>
      </c>
      <c r="F12" s="3" t="n"/>
      <c r="G12" s="3" t="n"/>
      <c r="H12" s="3" t="n"/>
      <c r="I12" s="34" t="n"/>
      <c r="J12" s="32" t="n"/>
      <c r="K12" s="3" t="n"/>
      <c r="L12" s="3" t="n"/>
      <c r="M12" s="19" t="n"/>
      <c r="N12" s="14">
        <f>O11</f>
        <v/>
      </c>
      <c r="O12" s="14" t="n">
        <v>65885</v>
      </c>
      <c r="P12" s="151">
        <f>O12-N12</f>
        <v/>
      </c>
      <c r="Q12" s="84" t="n"/>
      <c r="R12" s="42">
        <f>R10+1</f>
        <v/>
      </c>
      <c r="S12" s="24" t="inlineStr">
        <is>
          <t>DAY</t>
        </is>
      </c>
      <c r="T12" s="14">
        <f>U11</f>
        <v/>
      </c>
      <c r="U12" s="14" t="n">
        <v>3174</v>
      </c>
      <c r="V12" s="14">
        <f>U12-T12</f>
        <v/>
      </c>
      <c r="W12" s="3" t="n"/>
      <c r="X12" s="3" t="n"/>
      <c r="Y12" s="3" t="n"/>
      <c r="Z12" s="4" t="n"/>
      <c r="AA12" s="32" t="n"/>
      <c r="AB12" s="3" t="n"/>
      <c r="AC12" s="3" t="n"/>
      <c r="AD12" s="19" t="n"/>
      <c r="AE12" s="85">
        <f>AF11</f>
        <v/>
      </c>
      <c r="AF12" s="85" t="n">
        <v>51226</v>
      </c>
      <c r="AG12" s="151">
        <f>AF12-AE12</f>
        <v/>
      </c>
    </row>
    <row r="13">
      <c r="A13" s="42">
        <f>A12</f>
        <v/>
      </c>
      <c r="B13" s="24" t="inlineStr">
        <is>
          <t>NIGHT</t>
        </is>
      </c>
      <c r="C13" s="14">
        <f>D12</f>
        <v/>
      </c>
      <c r="D13" s="14" t="n">
        <v>4667</v>
      </c>
      <c r="E13" s="14">
        <f>D13-C13</f>
        <v/>
      </c>
      <c r="F13" s="3" t="n"/>
      <c r="G13" s="3" t="n"/>
      <c r="H13" s="3" t="n"/>
      <c r="I13" s="34" t="n"/>
      <c r="J13" s="33" t="n"/>
      <c r="K13" s="4" t="n"/>
      <c r="L13" s="4" t="n"/>
      <c r="M13" s="34" t="n"/>
      <c r="N13" s="14">
        <f>O12</f>
        <v/>
      </c>
      <c r="O13" s="14" t="n">
        <v>65946</v>
      </c>
      <c r="P13" s="151">
        <f>O13-N13</f>
        <v/>
      </c>
      <c r="Q13" s="84" t="n"/>
      <c r="R13" s="42">
        <f>R12</f>
        <v/>
      </c>
      <c r="S13" s="24" t="inlineStr">
        <is>
          <t>NIGHT</t>
        </is>
      </c>
      <c r="T13" s="14">
        <f>U12</f>
        <v/>
      </c>
      <c r="U13" s="14" t="n">
        <v>3180</v>
      </c>
      <c r="V13" s="14">
        <f>U13-T13</f>
        <v/>
      </c>
      <c r="W13" s="3" t="n"/>
      <c r="X13" s="3" t="n"/>
      <c r="Y13" s="3" t="n"/>
      <c r="Z13" s="4" t="n"/>
      <c r="AA13" s="61" t="n">
        <v>0.2916666666666667</v>
      </c>
      <c r="AB13" s="62" t="n">
        <v>0.7916666666666666</v>
      </c>
      <c r="AC13" s="62">
        <f>AB13-AA13</f>
        <v/>
      </c>
      <c r="AD13" s="151" t="inlineStr">
        <is>
          <t>No Operator</t>
        </is>
      </c>
      <c r="AE13" s="85">
        <f>AF12</f>
        <v/>
      </c>
      <c r="AF13" s="85" t="n">
        <v>51251</v>
      </c>
      <c r="AG13" s="151">
        <f>AF13-AE13</f>
        <v/>
      </c>
    </row>
    <row r="14">
      <c r="A14" s="42">
        <f>A12+1</f>
        <v/>
      </c>
      <c r="B14" s="24" t="inlineStr">
        <is>
          <t>DAY</t>
        </is>
      </c>
      <c r="C14" s="14">
        <f>D13</f>
        <v/>
      </c>
      <c r="D14" s="14" t="n">
        <v>4676</v>
      </c>
      <c r="E14" s="14">
        <f>D14-C14</f>
        <v/>
      </c>
      <c r="F14" s="3" t="n">
        <v>400</v>
      </c>
      <c r="G14" s="3" t="n">
        <v>4671</v>
      </c>
      <c r="H14" s="3">
        <f>G14-G10</f>
        <v/>
      </c>
      <c r="I14" s="34">
        <f>F14/H14</f>
        <v/>
      </c>
      <c r="J14" s="35" t="n"/>
      <c r="K14" s="15" t="n"/>
      <c r="L14" s="15" t="n"/>
      <c r="M14" s="36" t="n"/>
      <c r="N14" s="14">
        <f>O13</f>
        <v/>
      </c>
      <c r="O14" s="14" t="n">
        <v>66040</v>
      </c>
      <c r="P14" s="151">
        <f>O14-N14</f>
        <v/>
      </c>
      <c r="Q14" s="84" t="n"/>
      <c r="R14" s="42">
        <f>R12+1</f>
        <v/>
      </c>
      <c r="S14" s="24" t="inlineStr">
        <is>
          <t>DAY</t>
        </is>
      </c>
      <c r="T14" s="14">
        <f>U13</f>
        <v/>
      </c>
      <c r="U14" s="14" t="n">
        <v>3185</v>
      </c>
      <c r="V14" s="14">
        <f>U14-T14</f>
        <v/>
      </c>
      <c r="W14" s="3" t="n">
        <v>310</v>
      </c>
      <c r="X14" s="3" t="n">
        <v>3180</v>
      </c>
      <c r="Y14" s="3">
        <f>X14-X10</f>
        <v/>
      </c>
      <c r="Z14" s="4">
        <f>W14/Y14</f>
        <v/>
      </c>
      <c r="AA14" s="35" t="n"/>
      <c r="AB14" s="15" t="n"/>
      <c r="AC14" s="15" t="n"/>
      <c r="AD14" s="36" t="n"/>
      <c r="AE14" s="85">
        <f>AF13</f>
        <v/>
      </c>
      <c r="AF14" s="85" t="n">
        <v>51351</v>
      </c>
      <c r="AG14" s="151">
        <f>AF14-AE14</f>
        <v/>
      </c>
    </row>
    <row r="15">
      <c r="A15" s="42">
        <f>A14</f>
        <v/>
      </c>
      <c r="B15" s="24" t="inlineStr">
        <is>
          <t>NIGHT</t>
        </is>
      </c>
      <c r="C15" s="14">
        <f>D14</f>
        <v/>
      </c>
      <c r="D15" s="14" t="n">
        <v>4677</v>
      </c>
      <c r="E15" s="14">
        <f>D15-C15</f>
        <v/>
      </c>
      <c r="F15" s="3" t="n"/>
      <c r="G15" s="3" t="n"/>
      <c r="H15" s="3" t="n"/>
      <c r="I15" s="34" t="n"/>
      <c r="J15" s="32" t="n"/>
      <c r="K15" s="3" t="n"/>
      <c r="L15" s="3" t="n"/>
      <c r="M15" s="19" t="n"/>
      <c r="N15" s="14">
        <f>O14</f>
        <v/>
      </c>
      <c r="O15" s="14" t="n">
        <v>66053</v>
      </c>
      <c r="P15" s="151">
        <f>O15-N15</f>
        <v/>
      </c>
      <c r="Q15" s="84" t="n"/>
      <c r="R15" s="42">
        <f>R14</f>
        <v/>
      </c>
      <c r="S15" s="24" t="inlineStr">
        <is>
          <t>NIGHT</t>
        </is>
      </c>
      <c r="T15" s="14">
        <f>U14</f>
        <v/>
      </c>
      <c r="U15" s="14" t="n">
        <v>3190</v>
      </c>
      <c r="V15" s="14">
        <f>U15-T15</f>
        <v/>
      </c>
      <c r="W15" s="3" t="n"/>
      <c r="X15" s="3" t="n"/>
      <c r="Y15" s="3" t="n"/>
      <c r="Z15" s="4" t="n"/>
      <c r="AA15" s="61" t="n">
        <v>0.2916666666666667</v>
      </c>
      <c r="AB15" s="62" t="n">
        <v>0.7916666666666666</v>
      </c>
      <c r="AC15" s="62">
        <f>AB15-AA15</f>
        <v/>
      </c>
      <c r="AD15" s="151" t="inlineStr">
        <is>
          <t>No Operator</t>
        </is>
      </c>
      <c r="AE15" s="85">
        <f>AF14</f>
        <v/>
      </c>
      <c r="AF15" s="85" t="n">
        <v>51416</v>
      </c>
      <c r="AG15" s="151">
        <f>AF15-AE15</f>
        <v/>
      </c>
    </row>
    <row r="16">
      <c r="A16" s="42">
        <f>A14+1</f>
        <v/>
      </c>
      <c r="B16" s="24" t="inlineStr">
        <is>
          <t>DAY</t>
        </is>
      </c>
      <c r="C16" s="14">
        <f>D15</f>
        <v/>
      </c>
      <c r="D16" s="14" t="n">
        <v>4681</v>
      </c>
      <c r="E16" s="14">
        <f>D16-C16</f>
        <v/>
      </c>
      <c r="F16" s="3" t="n"/>
      <c r="G16" s="3" t="n"/>
      <c r="H16" s="3" t="n"/>
      <c r="I16" s="34" t="n"/>
      <c r="J16" s="32" t="n"/>
      <c r="K16" s="3" t="n"/>
      <c r="L16" s="3" t="n"/>
      <c r="M16" s="19" t="n"/>
      <c r="N16" s="14">
        <f>O15</f>
        <v/>
      </c>
      <c r="O16" s="14" t="n">
        <v>66089</v>
      </c>
      <c r="P16" s="151">
        <f>O16-N16</f>
        <v/>
      </c>
      <c r="Q16" s="84" t="n"/>
      <c r="R16" s="42">
        <f>R14+1</f>
        <v/>
      </c>
      <c r="S16" s="24" t="inlineStr">
        <is>
          <t>DAY</t>
        </is>
      </c>
      <c r="T16" s="14">
        <f>U15</f>
        <v/>
      </c>
      <c r="U16" s="14" t="n">
        <v>3193</v>
      </c>
      <c r="V16" s="14">
        <f>U16-T16</f>
        <v/>
      </c>
      <c r="W16" s="3" t="n"/>
      <c r="X16" s="3" t="n"/>
      <c r="Y16" s="3" t="n"/>
      <c r="Z16" s="4" t="n"/>
      <c r="AA16" s="32" t="n"/>
      <c r="AB16" s="3" t="n"/>
      <c r="AC16" s="3" t="n"/>
      <c r="AD16" s="19" t="n"/>
      <c r="AE16" s="85">
        <f>AF15</f>
        <v/>
      </c>
      <c r="AF16" s="85" t="n">
        <v>51442</v>
      </c>
      <c r="AG16" s="151">
        <f>AF16-AE16</f>
        <v/>
      </c>
    </row>
    <row r="17">
      <c r="A17" s="42">
        <f>A16</f>
        <v/>
      </c>
      <c r="B17" s="24" t="inlineStr">
        <is>
          <t>NIGHT</t>
        </is>
      </c>
      <c r="C17" s="14">
        <f>D16</f>
        <v/>
      </c>
      <c r="D17" s="14" t="n">
        <v>4683</v>
      </c>
      <c r="E17" s="14">
        <f>D17-C17</f>
        <v/>
      </c>
      <c r="F17" s="3" t="n"/>
      <c r="G17" s="3" t="n"/>
      <c r="H17" s="3" t="n"/>
      <c r="I17" s="34" t="n"/>
      <c r="J17" s="32" t="n"/>
      <c r="K17" s="3" t="n"/>
      <c r="L17" s="3" t="n"/>
      <c r="M17" s="19" t="n"/>
      <c r="N17" s="14">
        <f>O16</f>
        <v/>
      </c>
      <c r="O17" s="14" t="n">
        <v>66119</v>
      </c>
      <c r="P17" s="151">
        <f>O17-N17</f>
        <v/>
      </c>
      <c r="Q17" s="84" t="n"/>
      <c r="R17" s="42">
        <f>R16</f>
        <v/>
      </c>
      <c r="S17" s="24" t="inlineStr">
        <is>
          <t>NIGHT</t>
        </is>
      </c>
      <c r="T17" s="14">
        <f>U16</f>
        <v/>
      </c>
      <c r="U17" s="14" t="n">
        <v>3195</v>
      </c>
      <c r="V17" s="14">
        <f>U17-T17</f>
        <v/>
      </c>
      <c r="W17" s="3" t="n"/>
      <c r="X17" s="3" t="n"/>
      <c r="Y17" s="3" t="n"/>
      <c r="Z17" s="4" t="n"/>
      <c r="AA17" s="61" t="n">
        <v>0.2916666666666667</v>
      </c>
      <c r="AB17" s="62" t="n">
        <v>0.7916666666666666</v>
      </c>
      <c r="AC17" s="62">
        <f>AB17-AA17</f>
        <v/>
      </c>
      <c r="AD17" s="151" t="inlineStr">
        <is>
          <t>No Operator</t>
        </is>
      </c>
      <c r="AE17" s="85">
        <f>AF16</f>
        <v/>
      </c>
      <c r="AF17" s="85" t="n">
        <v>51488</v>
      </c>
      <c r="AG17" s="151">
        <f>AF17-AE17</f>
        <v/>
      </c>
    </row>
    <row r="18">
      <c r="A18" s="42">
        <f>A16+1</f>
        <v/>
      </c>
      <c r="B18" s="24" t="inlineStr">
        <is>
          <t>DAY</t>
        </is>
      </c>
      <c r="C18" s="14">
        <f>D17</f>
        <v/>
      </c>
      <c r="D18" s="14" t="n">
        <v>4686</v>
      </c>
      <c r="E18" s="14">
        <f>D18-C18</f>
        <v/>
      </c>
      <c r="F18" s="3" t="n"/>
      <c r="G18" s="3" t="n"/>
      <c r="H18" s="3" t="n"/>
      <c r="I18" s="34" t="n"/>
      <c r="J18" s="32" t="n"/>
      <c r="K18" s="3" t="n"/>
      <c r="L18" s="3" t="n"/>
      <c r="M18" s="19" t="n"/>
      <c r="N18" s="14">
        <f>O17</f>
        <v/>
      </c>
      <c r="O18" s="14" t="n">
        <v>66134</v>
      </c>
      <c r="P18" s="151">
        <f>O18-N18</f>
        <v/>
      </c>
      <c r="Q18" s="84" t="n"/>
      <c r="R18" s="42">
        <f>R16+1</f>
        <v/>
      </c>
      <c r="S18" s="24" t="inlineStr">
        <is>
          <t>DAY</t>
        </is>
      </c>
      <c r="T18" s="14">
        <f>U17</f>
        <v/>
      </c>
      <c r="U18" s="14" t="n">
        <v>3197</v>
      </c>
      <c r="V18" s="14">
        <f>U18-T18</f>
        <v/>
      </c>
      <c r="W18" s="3" t="n"/>
      <c r="X18" s="3" t="n"/>
      <c r="Y18" s="3" t="n"/>
      <c r="Z18" s="4" t="n"/>
      <c r="AA18" s="50" t="n"/>
      <c r="AB18" s="14" t="n"/>
      <c r="AC18" s="14" t="n"/>
      <c r="AD18" s="151" t="n"/>
      <c r="AE18" s="85">
        <f>AF17</f>
        <v/>
      </c>
      <c r="AF18" s="85" t="n">
        <v>51518</v>
      </c>
      <c r="AG18" s="151">
        <f>AF18-AE18</f>
        <v/>
      </c>
    </row>
    <row r="19">
      <c r="A19" s="42">
        <f>A18</f>
        <v/>
      </c>
      <c r="B19" s="24" t="inlineStr">
        <is>
          <t>NIGHT</t>
        </is>
      </c>
      <c r="C19" s="14">
        <f>D18</f>
        <v/>
      </c>
      <c r="D19" s="14" t="n">
        <v>4692</v>
      </c>
      <c r="E19" s="14">
        <f>D19-C19</f>
        <v/>
      </c>
      <c r="F19" s="3" t="n"/>
      <c r="G19" s="3" t="n"/>
      <c r="H19" s="3" t="n"/>
      <c r="I19" s="34" t="n"/>
      <c r="J19" s="61" t="n">
        <v>0.2916666666666667</v>
      </c>
      <c r="K19" s="62" t="n">
        <v>0.7916666666666666</v>
      </c>
      <c r="L19" s="62">
        <f>K19-J19</f>
        <v/>
      </c>
      <c r="M19" s="151" t="inlineStr">
        <is>
          <t>No Operator</t>
        </is>
      </c>
      <c r="N19" s="14">
        <f>O18</f>
        <v/>
      </c>
      <c r="O19" s="14" t="n">
        <v>66209</v>
      </c>
      <c r="P19" s="151">
        <f>O19-N19</f>
        <v/>
      </c>
      <c r="Q19" s="84" t="n"/>
      <c r="R19" s="42">
        <f>R18</f>
        <v/>
      </c>
      <c r="S19" s="24" t="inlineStr">
        <is>
          <t>NIGHT</t>
        </is>
      </c>
      <c r="T19" s="14">
        <f>U18</f>
        <v/>
      </c>
      <c r="U19" s="14" t="n">
        <v>3197</v>
      </c>
      <c r="V19" s="14">
        <f>U19-T19</f>
        <v/>
      </c>
      <c r="W19" s="3" t="n"/>
      <c r="X19" s="3" t="n"/>
      <c r="Y19" s="3" t="n"/>
      <c r="Z19" s="4" t="n"/>
      <c r="AA19" s="61" t="n"/>
      <c r="AB19" s="62" t="n"/>
      <c r="AC19" s="62" t="n"/>
      <c r="AD19" s="151" t="n"/>
      <c r="AE19" s="85">
        <f>AF18</f>
        <v/>
      </c>
      <c r="AF19" s="85" t="n">
        <v>51518</v>
      </c>
      <c r="AG19" s="151">
        <f>AF19-AE19</f>
        <v/>
      </c>
    </row>
    <row r="20">
      <c r="A20" s="42">
        <f>A18+1</f>
        <v/>
      </c>
      <c r="B20" s="24" t="inlineStr">
        <is>
          <t>DAY</t>
        </is>
      </c>
      <c r="C20" s="14">
        <f>D19</f>
        <v/>
      </c>
      <c r="D20" s="14" t="n">
        <v>4698</v>
      </c>
      <c r="E20" s="14">
        <f>D20-C20</f>
        <v/>
      </c>
      <c r="F20" s="3" t="n">
        <v>300</v>
      </c>
      <c r="G20" s="3" t="n">
        <v>4691</v>
      </c>
      <c r="H20" s="3">
        <f>G20-G14</f>
        <v/>
      </c>
      <c r="I20" s="34">
        <f>F20/H20</f>
        <v/>
      </c>
      <c r="J20" s="61" t="n"/>
      <c r="K20" s="62" t="n"/>
      <c r="L20" s="62" t="n"/>
      <c r="M20" s="151" t="n"/>
      <c r="N20" s="14">
        <f>O19</f>
        <v/>
      </c>
      <c r="O20" s="14" t="n">
        <v>66270</v>
      </c>
      <c r="P20" s="151">
        <f>O20-N20</f>
        <v/>
      </c>
      <c r="Q20" s="84" t="n"/>
      <c r="R20" s="42">
        <f>R18+1</f>
        <v/>
      </c>
      <c r="S20" s="24" t="inlineStr">
        <is>
          <t>DAY</t>
        </is>
      </c>
      <c r="T20" s="14">
        <f>U19</f>
        <v/>
      </c>
      <c r="U20" s="14" t="n">
        <v>3201</v>
      </c>
      <c r="V20" s="14">
        <f>U20-T20</f>
        <v/>
      </c>
      <c r="W20" s="3" t="n"/>
      <c r="X20" s="3" t="n"/>
      <c r="Y20" s="3" t="n"/>
      <c r="Z20" s="4" t="n"/>
      <c r="AA20" s="33" t="n"/>
      <c r="AB20" s="4" t="n"/>
      <c r="AC20" s="4" t="n"/>
      <c r="AD20" s="34" t="n"/>
      <c r="AE20" s="85">
        <f>AF19</f>
        <v/>
      </c>
      <c r="AF20" s="85" t="n">
        <v>51633</v>
      </c>
      <c r="AG20" s="151">
        <f>AF20-AE20</f>
        <v/>
      </c>
    </row>
    <row r="21">
      <c r="A21" s="42">
        <f>A20</f>
        <v/>
      </c>
      <c r="B21" s="24" t="inlineStr">
        <is>
          <t>NIGHT</t>
        </is>
      </c>
      <c r="C21" s="14">
        <f>D20</f>
        <v/>
      </c>
      <c r="D21" s="14" t="n">
        <v>4705</v>
      </c>
      <c r="E21" s="14">
        <f>D21-C21</f>
        <v/>
      </c>
      <c r="F21" s="3" t="n"/>
      <c r="G21" s="3" t="n"/>
      <c r="H21" s="3" t="n"/>
      <c r="I21" s="34" t="n"/>
      <c r="J21" s="61" t="n">
        <v>0.2916666666666667</v>
      </c>
      <c r="K21" s="62" t="n">
        <v>0.7916666666666666</v>
      </c>
      <c r="L21" s="62">
        <f>K21-J21</f>
        <v/>
      </c>
      <c r="M21" s="151" t="inlineStr">
        <is>
          <t>No Operator</t>
        </is>
      </c>
      <c r="N21" s="14">
        <f>O20</f>
        <v/>
      </c>
      <c r="O21" s="14" t="n">
        <v>66395</v>
      </c>
      <c r="P21" s="151">
        <f>O21-N21</f>
        <v/>
      </c>
      <c r="Q21" s="84" t="n"/>
      <c r="R21" s="42">
        <f>R20</f>
        <v/>
      </c>
      <c r="S21" s="24" t="inlineStr">
        <is>
          <t>NIGHT</t>
        </is>
      </c>
      <c r="T21" s="14">
        <f>U20</f>
        <v/>
      </c>
      <c r="U21" s="14" t="n">
        <v>3204</v>
      </c>
      <c r="V21" s="14">
        <f>U21-T21</f>
        <v/>
      </c>
      <c r="W21" s="3" t="n"/>
      <c r="X21" s="3" t="n"/>
      <c r="Y21" s="3" t="n"/>
      <c r="Z21" s="15" t="n"/>
      <c r="AA21" s="50" t="n"/>
      <c r="AB21" s="14" t="n"/>
      <c r="AC21" s="14" t="n"/>
      <c r="AD21" s="151" t="n"/>
      <c r="AE21" s="85">
        <f>AF20</f>
        <v/>
      </c>
      <c r="AF21" s="85" t="n">
        <v>51700</v>
      </c>
      <c r="AG21" s="151">
        <f>AF21-AE21</f>
        <v/>
      </c>
    </row>
    <row r="22">
      <c r="A22" s="42">
        <f>A20+1</f>
        <v/>
      </c>
      <c r="B22" s="24" t="inlineStr">
        <is>
          <t>DAY</t>
        </is>
      </c>
      <c r="C22" s="14">
        <f>D21</f>
        <v/>
      </c>
      <c r="D22" s="14" t="n">
        <v>4713</v>
      </c>
      <c r="E22" s="14">
        <f>D22-C22</f>
        <v/>
      </c>
      <c r="F22" s="14" t="n"/>
      <c r="G22" s="86" t="n"/>
      <c r="H22" s="3" t="n"/>
      <c r="I22" s="34" t="n"/>
      <c r="J22" s="32" t="n"/>
      <c r="K22" s="3" t="n"/>
      <c r="L22" s="3" t="n"/>
      <c r="M22" s="19" t="n"/>
      <c r="N22" s="14">
        <f>O21</f>
        <v/>
      </c>
      <c r="O22" s="14" t="n">
        <v>66530</v>
      </c>
      <c r="P22" s="151">
        <f>O22-N22</f>
        <v/>
      </c>
      <c r="Q22" s="84" t="n"/>
      <c r="R22" s="42">
        <f>R20+1</f>
        <v/>
      </c>
      <c r="S22" s="24" t="inlineStr">
        <is>
          <t>DAY</t>
        </is>
      </c>
      <c r="T22" s="14">
        <f>U21</f>
        <v/>
      </c>
      <c r="U22" s="14" t="n">
        <v>3211</v>
      </c>
      <c r="V22" s="14">
        <f>U22-T22</f>
        <v/>
      </c>
      <c r="W22" s="3" t="n">
        <v>425</v>
      </c>
      <c r="X22" s="3" t="n">
        <v>3207</v>
      </c>
      <c r="Y22" s="3">
        <f>X22-X14</f>
        <v/>
      </c>
      <c r="Z22" s="4">
        <f>W22/Y22</f>
        <v/>
      </c>
      <c r="AA22" s="35" t="n"/>
      <c r="AB22" s="15" t="n"/>
      <c r="AC22" s="15" t="n"/>
      <c r="AD22" s="36" t="n"/>
      <c r="AE22" s="85">
        <f>AF21</f>
        <v/>
      </c>
      <c r="AF22" s="85" t="n">
        <v>51814</v>
      </c>
      <c r="AG22" s="151">
        <f>AF22-AE22</f>
        <v/>
      </c>
    </row>
    <row r="23">
      <c r="A23" s="42">
        <f>A22</f>
        <v/>
      </c>
      <c r="B23" s="24" t="inlineStr">
        <is>
          <t>NIGHT</t>
        </is>
      </c>
      <c r="C23" s="14">
        <f>D22</f>
        <v/>
      </c>
      <c r="D23" s="14" t="n">
        <v>4719</v>
      </c>
      <c r="E23" s="14">
        <f>D23-C23</f>
        <v/>
      </c>
      <c r="F23" s="3" t="n"/>
      <c r="G23" s="3" t="n"/>
      <c r="H23" s="3" t="n"/>
      <c r="I23" s="34" t="n"/>
      <c r="J23" s="50" t="n"/>
      <c r="K23" s="14" t="n"/>
      <c r="L23" s="14" t="n"/>
      <c r="M23" s="151" t="n"/>
      <c r="N23" s="14">
        <f>O22</f>
        <v/>
      </c>
      <c r="O23" s="14" t="n">
        <v>66647</v>
      </c>
      <c r="P23" s="151">
        <f>O23-N23</f>
        <v/>
      </c>
      <c r="Q23" s="84" t="n"/>
      <c r="R23" s="42">
        <f>R22</f>
        <v/>
      </c>
      <c r="S23" s="24" t="inlineStr">
        <is>
          <t>NIGHT</t>
        </is>
      </c>
      <c r="T23" s="14">
        <f>U22</f>
        <v/>
      </c>
      <c r="U23" s="14" t="n">
        <v>3212</v>
      </c>
      <c r="V23" s="14">
        <f>U23-T23</f>
        <v/>
      </c>
      <c r="W23" s="3" t="n"/>
      <c r="X23" s="3" t="n"/>
      <c r="Y23" s="3" t="n"/>
      <c r="Z23" s="4" t="n"/>
      <c r="AA23" s="50" t="n"/>
      <c r="AB23" s="14" t="n"/>
      <c r="AC23" s="14" t="n"/>
      <c r="AD23" s="151" t="n"/>
      <c r="AE23" s="85">
        <f>AF22</f>
        <v/>
      </c>
      <c r="AF23" s="85" t="n">
        <v>51818</v>
      </c>
      <c r="AG23" s="151">
        <f>AF23-AE23</f>
        <v/>
      </c>
    </row>
    <row r="24">
      <c r="A24" s="42">
        <f>A22+1</f>
        <v/>
      </c>
      <c r="B24" s="24" t="inlineStr">
        <is>
          <t>DAY</t>
        </is>
      </c>
      <c r="C24" s="14">
        <f>D23</f>
        <v/>
      </c>
      <c r="D24" s="14" t="n">
        <v>4729</v>
      </c>
      <c r="E24" s="14">
        <f>D24-C24</f>
        <v/>
      </c>
      <c r="F24" s="3" t="n">
        <v>350</v>
      </c>
      <c r="G24" s="3" t="n">
        <v>4722</v>
      </c>
      <c r="H24" s="3">
        <f>G24-G20</f>
        <v/>
      </c>
      <c r="I24" s="34">
        <f>F24/H24</f>
        <v/>
      </c>
      <c r="J24" s="50" t="n"/>
      <c r="K24" s="14" t="n"/>
      <c r="L24" s="14" t="n"/>
      <c r="M24" s="151" t="n"/>
      <c r="N24" s="14">
        <f>O23</f>
        <v/>
      </c>
      <c r="O24" s="14" t="n">
        <v>66762</v>
      </c>
      <c r="P24" s="151">
        <f>O24-N24</f>
        <v/>
      </c>
      <c r="Q24" s="84" t="n"/>
      <c r="R24" s="42">
        <f>R22+1</f>
        <v/>
      </c>
      <c r="S24" s="24" t="inlineStr">
        <is>
          <t>DAY</t>
        </is>
      </c>
      <c r="T24" s="14">
        <f>U23</f>
        <v/>
      </c>
      <c r="U24" s="14" t="n">
        <v>3218</v>
      </c>
      <c r="V24" s="14">
        <f>U24-T24</f>
        <v/>
      </c>
      <c r="W24" s="3" t="n"/>
      <c r="X24" s="3" t="n"/>
      <c r="Y24" s="3" t="n"/>
      <c r="Z24" s="4" t="n"/>
      <c r="AA24" s="50" t="n"/>
      <c r="AB24" s="14" t="n"/>
      <c r="AC24" s="14" t="n"/>
      <c r="AD24" s="151" t="n"/>
      <c r="AE24" s="85">
        <f>AF23</f>
        <v/>
      </c>
      <c r="AF24" s="85" t="n">
        <v>52017</v>
      </c>
      <c r="AG24" s="151">
        <f>AF24-AE24</f>
        <v/>
      </c>
    </row>
    <row r="25">
      <c r="A25" s="42">
        <f>A24</f>
        <v/>
      </c>
      <c r="B25" s="24" t="inlineStr">
        <is>
          <t>NIGHT</t>
        </is>
      </c>
      <c r="C25" s="14">
        <f>D24</f>
        <v/>
      </c>
      <c r="D25" s="14" t="n">
        <v>4738</v>
      </c>
      <c r="E25" s="14">
        <f>D25-C25</f>
        <v/>
      </c>
      <c r="F25" s="3" t="n"/>
      <c r="G25" s="3" t="n"/>
      <c r="H25" s="3" t="n"/>
      <c r="I25" s="34" t="n"/>
      <c r="J25" s="50" t="n"/>
      <c r="K25" s="14" t="n"/>
      <c r="L25" s="14" t="n"/>
      <c r="M25" s="151" t="n"/>
      <c r="N25" s="14">
        <f>O24</f>
        <v/>
      </c>
      <c r="O25" s="14" t="n">
        <v>66854</v>
      </c>
      <c r="P25" s="151">
        <f>O25-N25</f>
        <v/>
      </c>
      <c r="Q25" s="84" t="n"/>
      <c r="R25" s="42">
        <f>R24</f>
        <v/>
      </c>
      <c r="S25" s="24" t="inlineStr">
        <is>
          <t>NIGHT</t>
        </is>
      </c>
      <c r="T25" s="14">
        <f>U24</f>
        <v/>
      </c>
      <c r="U25" s="14" t="n">
        <v>3226</v>
      </c>
      <c r="V25" s="14">
        <f>U25-T25</f>
        <v/>
      </c>
      <c r="W25" s="3" t="n"/>
      <c r="X25" s="3" t="n"/>
      <c r="Y25" s="3" t="n"/>
      <c r="Z25" s="4" t="n"/>
      <c r="AA25" s="50" t="n"/>
      <c r="AB25" s="14" t="n"/>
      <c r="AC25" s="14" t="n"/>
      <c r="AD25" s="151" t="n"/>
      <c r="AE25" s="85">
        <f>AF24</f>
        <v/>
      </c>
      <c r="AF25" s="85" t="n">
        <v>52198</v>
      </c>
      <c r="AG25" s="151">
        <f>AF25-AE25</f>
        <v/>
      </c>
    </row>
    <row r="26">
      <c r="A26" s="42">
        <f>A24+1</f>
        <v/>
      </c>
      <c r="B26" s="24" t="inlineStr">
        <is>
          <t>DAY</t>
        </is>
      </c>
      <c r="C26" s="14">
        <f>D25</f>
        <v/>
      </c>
      <c r="D26" s="14" t="n">
        <v>4747</v>
      </c>
      <c r="E26" s="14">
        <f>D26-C26</f>
        <v/>
      </c>
      <c r="F26" s="3" t="n"/>
      <c r="G26" s="3" t="n"/>
      <c r="H26" s="3" t="n"/>
      <c r="I26" s="34" t="n"/>
      <c r="J26" s="35" t="n"/>
      <c r="K26" s="15" t="n"/>
      <c r="L26" s="15" t="n"/>
      <c r="M26" s="36" t="n"/>
      <c r="N26" s="14">
        <f>O25</f>
        <v/>
      </c>
      <c r="O26" s="14" t="n">
        <v>66980</v>
      </c>
      <c r="P26" s="151">
        <f>O26-N26</f>
        <v/>
      </c>
      <c r="Q26" s="84" t="n"/>
      <c r="R26" s="42">
        <f>R24+1</f>
        <v/>
      </c>
      <c r="S26" s="24" t="inlineStr">
        <is>
          <t>DAY</t>
        </is>
      </c>
      <c r="T26" s="14">
        <f>U25</f>
        <v/>
      </c>
      <c r="U26" s="14" t="n">
        <v>3228</v>
      </c>
      <c r="V26" s="14">
        <f>U26-T26</f>
        <v/>
      </c>
      <c r="W26" s="3" t="n"/>
      <c r="X26" s="3" t="n"/>
      <c r="Y26" s="3" t="n"/>
      <c r="Z26" s="4" t="n"/>
      <c r="AA26" s="35" t="n"/>
      <c r="AB26" s="15" t="n"/>
      <c r="AC26" s="15" t="n"/>
      <c r="AD26" s="36" t="n"/>
      <c r="AE26" s="85">
        <f>AF25</f>
        <v/>
      </c>
      <c r="AF26" s="85" t="n">
        <v>52224</v>
      </c>
      <c r="AG26" s="151">
        <f>AF26-AE26</f>
        <v/>
      </c>
    </row>
    <row r="27">
      <c r="A27" s="42">
        <f>A26</f>
        <v/>
      </c>
      <c r="B27" s="24" t="inlineStr">
        <is>
          <t>NIGHT</t>
        </is>
      </c>
      <c r="C27" s="14">
        <f>D26</f>
        <v/>
      </c>
      <c r="D27" s="14" t="n">
        <v>4757</v>
      </c>
      <c r="E27" s="14">
        <f>D27-C27</f>
        <v/>
      </c>
      <c r="F27" s="3" t="n"/>
      <c r="G27" s="3" t="n"/>
      <c r="H27" s="3" t="n"/>
      <c r="I27" s="34" t="n"/>
      <c r="J27" s="61" t="n"/>
      <c r="K27" s="62" t="n"/>
      <c r="L27" s="62" t="n"/>
      <c r="M27" s="151" t="n"/>
      <c r="N27" s="14">
        <f>O26</f>
        <v/>
      </c>
      <c r="O27" s="14" t="n">
        <v>67125</v>
      </c>
      <c r="P27" s="151">
        <f>O27-N27</f>
        <v/>
      </c>
      <c r="Q27" s="84" t="n"/>
      <c r="R27" s="42">
        <f>R26</f>
        <v/>
      </c>
      <c r="S27" s="24" t="inlineStr">
        <is>
          <t>NIGHT</t>
        </is>
      </c>
      <c r="T27" s="14">
        <f>U26</f>
        <v/>
      </c>
      <c r="U27" s="14" t="n">
        <v>3231</v>
      </c>
      <c r="V27" s="14">
        <f>U27-T27</f>
        <v/>
      </c>
      <c r="W27" s="3" t="n"/>
      <c r="X27" s="3" t="n"/>
      <c r="Y27" s="3" t="n"/>
      <c r="Z27" s="4" t="n"/>
      <c r="AA27" s="50" t="n"/>
      <c r="AB27" s="14" t="n"/>
      <c r="AC27" s="14" t="n"/>
      <c r="AD27" s="151" t="n"/>
      <c r="AE27" s="85">
        <f>AF26</f>
        <v/>
      </c>
      <c r="AF27" s="14" t="n">
        <v>52247</v>
      </c>
      <c r="AG27" s="151">
        <f>AF27-AE27</f>
        <v/>
      </c>
    </row>
    <row r="28">
      <c r="A28" s="42">
        <f>A26+1</f>
        <v/>
      </c>
      <c r="B28" s="24" t="inlineStr">
        <is>
          <t>DAY</t>
        </is>
      </c>
      <c r="C28" s="14">
        <f>D27</f>
        <v/>
      </c>
      <c r="D28" s="14" t="n">
        <v>4763</v>
      </c>
      <c r="E28" s="14">
        <f>D28-C28</f>
        <v/>
      </c>
      <c r="F28" s="3" t="n">
        <v>300</v>
      </c>
      <c r="G28" s="3" t="n">
        <v>4762</v>
      </c>
      <c r="H28" s="3">
        <f>G28-G24</f>
        <v/>
      </c>
      <c r="I28" s="34">
        <f>F28/H28</f>
        <v/>
      </c>
      <c r="J28" s="61" t="n"/>
      <c r="K28" s="62" t="n"/>
      <c r="L28" s="62" t="n"/>
      <c r="M28" s="151" t="n"/>
      <c r="N28" s="14">
        <f>O27</f>
        <v/>
      </c>
      <c r="O28" s="14" t="n">
        <v>67212</v>
      </c>
      <c r="P28" s="151">
        <f>O28-N28</f>
        <v/>
      </c>
      <c r="Q28" s="84" t="n"/>
      <c r="R28" s="42">
        <f>R26+1</f>
        <v/>
      </c>
      <c r="S28" s="24" t="inlineStr">
        <is>
          <t>DAY</t>
        </is>
      </c>
      <c r="T28" s="14">
        <f>U27</f>
        <v/>
      </c>
      <c r="U28" s="14" t="n">
        <v>3237</v>
      </c>
      <c r="V28" s="14">
        <f>U28-T28</f>
        <v/>
      </c>
      <c r="W28" s="3" t="n"/>
      <c r="X28" s="3" t="n"/>
      <c r="Y28" s="3" t="n"/>
      <c r="Z28" s="4" t="n"/>
      <c r="AA28" s="50" t="n"/>
      <c r="AB28" s="14" t="n"/>
      <c r="AC28" s="14" t="n"/>
      <c r="AD28" s="151" t="n"/>
      <c r="AE28" s="85">
        <f>AF27</f>
        <v/>
      </c>
      <c r="AF28" s="14" t="n">
        <v>52325</v>
      </c>
      <c r="AG28" s="151">
        <f>AF28-AE28</f>
        <v/>
      </c>
    </row>
    <row r="29">
      <c r="A29" s="42">
        <f>A28</f>
        <v/>
      </c>
      <c r="B29" s="24" t="inlineStr">
        <is>
          <t>NIGHT</t>
        </is>
      </c>
      <c r="C29" s="14">
        <f>D28</f>
        <v/>
      </c>
      <c r="D29" s="14" t="n">
        <v>4771</v>
      </c>
      <c r="E29" s="14">
        <f>D29-C29</f>
        <v/>
      </c>
      <c r="F29" s="3" t="n"/>
      <c r="G29" s="3" t="n"/>
      <c r="H29" s="3" t="n"/>
      <c r="I29" s="34" t="n"/>
      <c r="J29" s="50" t="n"/>
      <c r="K29" s="14" t="n"/>
      <c r="L29" s="14" t="n"/>
      <c r="M29" s="151" t="n"/>
      <c r="N29" s="14">
        <f>O28</f>
        <v/>
      </c>
      <c r="O29" s="14" t="n">
        <v>67320</v>
      </c>
      <c r="P29" s="151">
        <f>O29-N29</f>
        <v/>
      </c>
      <c r="Q29" s="84" t="n"/>
      <c r="R29" s="42">
        <f>R28</f>
        <v/>
      </c>
      <c r="S29" s="24" t="inlineStr">
        <is>
          <t>NIGHT</t>
        </is>
      </c>
      <c r="T29" s="14">
        <f>U28</f>
        <v/>
      </c>
      <c r="U29" s="14" t="n">
        <v>3243</v>
      </c>
      <c r="V29" s="14">
        <f>U29-T29</f>
        <v/>
      </c>
      <c r="W29" s="3" t="n"/>
      <c r="X29" s="3" t="n"/>
      <c r="Y29" s="3" t="n"/>
      <c r="Z29" s="4" t="n"/>
      <c r="AA29" s="50" t="n"/>
      <c r="AB29" s="14" t="n"/>
      <c r="AC29" s="14" t="n"/>
      <c r="AD29" s="151" t="n"/>
      <c r="AE29" s="85">
        <f>AF28</f>
        <v/>
      </c>
      <c r="AF29" s="14" t="n">
        <v>52462</v>
      </c>
      <c r="AG29" s="151">
        <f>AF29-AE29</f>
        <v/>
      </c>
    </row>
    <row r="30">
      <c r="A30" s="42">
        <f>A28+1</f>
        <v/>
      </c>
      <c r="B30" s="24" t="inlineStr">
        <is>
          <t>DAY</t>
        </is>
      </c>
      <c r="C30" s="14">
        <f>D29</f>
        <v/>
      </c>
      <c r="D30" s="14" t="n">
        <v>4779</v>
      </c>
      <c r="E30" s="14">
        <f>D30-C30</f>
        <v/>
      </c>
      <c r="F30" s="3" t="n">
        <v>400</v>
      </c>
      <c r="G30" s="3" t="n">
        <v>4778</v>
      </c>
      <c r="H30" s="3">
        <f>G30-G28</f>
        <v/>
      </c>
      <c r="I30" s="34">
        <f>F30/H30</f>
        <v/>
      </c>
      <c r="J30" s="67" t="n"/>
      <c r="K30" s="4" t="n"/>
      <c r="L30" s="69" t="n"/>
      <c r="M30" s="34" t="n"/>
      <c r="N30" s="14">
        <f>O29</f>
        <v/>
      </c>
      <c r="O30" s="14" t="n">
        <v>67410</v>
      </c>
      <c r="P30" s="151">
        <f>O30-N30</f>
        <v/>
      </c>
      <c r="Q30" s="84" t="n"/>
      <c r="R30" s="42">
        <f>R28+1</f>
        <v/>
      </c>
      <c r="S30" s="24" t="inlineStr">
        <is>
          <t>DAY</t>
        </is>
      </c>
      <c r="T30" s="14">
        <f>U29</f>
        <v/>
      </c>
      <c r="U30" s="14" t="n">
        <v>3249</v>
      </c>
      <c r="V30" s="14">
        <f>U30-T30</f>
        <v/>
      </c>
      <c r="W30" s="3" t="n">
        <v>600</v>
      </c>
      <c r="X30" s="3" t="n">
        <v>3247</v>
      </c>
      <c r="Y30" s="3">
        <f>X30-X22</f>
        <v/>
      </c>
      <c r="Z30" s="4">
        <f>W30/Y30</f>
        <v/>
      </c>
      <c r="AA30" s="33" t="n"/>
      <c r="AB30" s="4" t="n"/>
      <c r="AC30" s="4" t="n"/>
      <c r="AD30" s="34" t="n"/>
      <c r="AE30" s="85">
        <f>AF29</f>
        <v/>
      </c>
      <c r="AF30" s="14" t="n">
        <v>52556</v>
      </c>
      <c r="AG30" s="151">
        <f>AF30-AE30</f>
        <v/>
      </c>
    </row>
    <row r="31">
      <c r="A31" s="42">
        <f>A30</f>
        <v/>
      </c>
      <c r="B31" s="24" t="inlineStr">
        <is>
          <t>NIGHT</t>
        </is>
      </c>
      <c r="C31" s="14">
        <f>D30</f>
        <v/>
      </c>
      <c r="D31" s="14" t="n">
        <v>4783</v>
      </c>
      <c r="E31" s="14">
        <f>D31-C31</f>
        <v/>
      </c>
      <c r="F31" s="3" t="n"/>
      <c r="G31" s="3" t="n"/>
      <c r="H31" s="3" t="n"/>
      <c r="I31" s="34" t="n"/>
      <c r="J31" s="66" t="n"/>
      <c r="K31" s="15" t="n"/>
      <c r="L31" s="68" t="n"/>
      <c r="M31" s="36" t="n"/>
      <c r="N31" s="14">
        <f>O30</f>
        <v/>
      </c>
      <c r="O31" s="14" t="n">
        <v>67433</v>
      </c>
      <c r="P31" s="151">
        <f>O31-N31</f>
        <v/>
      </c>
      <c r="Q31" s="84" t="n"/>
      <c r="R31" s="42">
        <f>R30</f>
        <v/>
      </c>
      <c r="S31" s="24" t="inlineStr">
        <is>
          <t>NIGHT</t>
        </is>
      </c>
      <c r="T31" s="14">
        <f>U30</f>
        <v/>
      </c>
      <c r="U31" s="14" t="n">
        <v>3255</v>
      </c>
      <c r="V31" s="14">
        <f>U31-T31</f>
        <v/>
      </c>
      <c r="W31" s="3" t="n"/>
      <c r="X31" s="3" t="n"/>
      <c r="Y31" s="3" t="n"/>
      <c r="Z31" s="4" t="n"/>
      <c r="AA31" s="35" t="n"/>
      <c r="AB31" s="15" t="n"/>
      <c r="AC31" s="15" t="n"/>
      <c r="AD31" s="36" t="n"/>
      <c r="AE31" s="85">
        <f>AF30</f>
        <v/>
      </c>
      <c r="AF31" s="14" t="n">
        <v>52704</v>
      </c>
      <c r="AG31" s="151">
        <f>AF31-AE31</f>
        <v/>
      </c>
    </row>
    <row r="32">
      <c r="A32" s="42">
        <f>A30+1</f>
        <v/>
      </c>
      <c r="B32" s="24" t="inlineStr">
        <is>
          <t>DAY</t>
        </is>
      </c>
      <c r="C32" s="14">
        <f>D31</f>
        <v/>
      </c>
      <c r="D32" s="14" t="n">
        <v>4790</v>
      </c>
      <c r="E32" s="14">
        <f>D32-C32</f>
        <v/>
      </c>
      <c r="F32" s="3" t="n"/>
      <c r="G32" s="3" t="n"/>
      <c r="H32" s="3" t="n"/>
      <c r="I32" s="34" t="n"/>
      <c r="J32" s="70" t="n"/>
      <c r="K32" s="44" t="n"/>
      <c r="L32" s="71" t="n"/>
      <c r="M32" s="36" t="n"/>
      <c r="N32" s="14">
        <f>O31</f>
        <v/>
      </c>
      <c r="O32" s="14" t="n">
        <v>67498</v>
      </c>
      <c r="P32" s="151">
        <f>O32-N32</f>
        <v/>
      </c>
      <c r="Q32" s="84" t="n"/>
      <c r="R32" s="42">
        <f>R30+1</f>
        <v/>
      </c>
      <c r="S32" s="24" t="inlineStr">
        <is>
          <t>DAY</t>
        </is>
      </c>
      <c r="T32" s="14">
        <f>U31</f>
        <v/>
      </c>
      <c r="U32" s="14" t="n">
        <v>3258</v>
      </c>
      <c r="V32" s="14">
        <f>U32-T32</f>
        <v/>
      </c>
      <c r="W32" s="3" t="n"/>
      <c r="X32" s="3" t="n"/>
      <c r="Y32" s="3" t="n"/>
      <c r="Z32" s="4" t="n"/>
      <c r="AA32" s="35" t="n"/>
      <c r="AB32" s="15" t="n"/>
      <c r="AC32" s="15" t="n"/>
      <c r="AD32" s="36" t="n"/>
      <c r="AE32" s="85">
        <f>AF31</f>
        <v/>
      </c>
      <c r="AF32" s="14" t="n">
        <v>52731</v>
      </c>
      <c r="AG32" s="151">
        <f>AF32-AE32</f>
        <v/>
      </c>
    </row>
    <row r="33">
      <c r="A33" s="42">
        <f>A32</f>
        <v/>
      </c>
      <c r="B33" s="24" t="inlineStr">
        <is>
          <t>NIGHT</t>
        </is>
      </c>
      <c r="C33" s="14">
        <f>D32</f>
        <v/>
      </c>
      <c r="D33" s="14" t="n">
        <v>4797</v>
      </c>
      <c r="E33" s="14">
        <f>D33-C33</f>
        <v/>
      </c>
      <c r="F33" s="3" t="n"/>
      <c r="G33" s="3" t="n"/>
      <c r="H33" s="3" t="n"/>
      <c r="I33" s="34" t="n"/>
      <c r="J33" s="70" t="n"/>
      <c r="K33" s="44" t="n"/>
      <c r="L33" s="71" t="n"/>
      <c r="M33" s="36" t="n"/>
      <c r="N33" s="14">
        <f>O32</f>
        <v/>
      </c>
      <c r="O33" s="14" t="n">
        <v>67579</v>
      </c>
      <c r="P33" s="151">
        <f>O33-N33</f>
        <v/>
      </c>
      <c r="Q33" s="84" t="n"/>
      <c r="R33" s="42">
        <f>R32</f>
        <v/>
      </c>
      <c r="S33" s="24" t="inlineStr">
        <is>
          <t>NIGHT</t>
        </is>
      </c>
      <c r="T33" s="14">
        <f>U32</f>
        <v/>
      </c>
      <c r="U33" s="14" t="n">
        <v>3259</v>
      </c>
      <c r="V33" s="14">
        <f>U33-T33</f>
        <v/>
      </c>
      <c r="W33" s="3" t="n"/>
      <c r="X33" s="3" t="n"/>
      <c r="Y33" s="3" t="n"/>
      <c r="Z33" s="4" t="n"/>
      <c r="AA33" s="61" t="n">
        <v>0.2916666666666667</v>
      </c>
      <c r="AB33" s="62" t="n">
        <v>0.7916666666666666</v>
      </c>
      <c r="AC33" s="62">
        <f>AB33-AA33</f>
        <v/>
      </c>
      <c r="AD33" s="151" t="inlineStr">
        <is>
          <t>No Operator</t>
        </is>
      </c>
      <c r="AE33" s="85">
        <f>AF32</f>
        <v/>
      </c>
      <c r="AF33" s="14" t="n">
        <v>52752</v>
      </c>
      <c r="AG33" s="151">
        <f>AF33-AE33</f>
        <v/>
      </c>
    </row>
    <row r="34">
      <c r="A34" s="42">
        <f>A32+1</f>
        <v/>
      </c>
      <c r="B34" s="24" t="inlineStr">
        <is>
          <t>DAY</t>
        </is>
      </c>
      <c r="C34" s="14">
        <f>D33</f>
        <v/>
      </c>
      <c r="D34" s="14" t="n">
        <v>4807</v>
      </c>
      <c r="E34" s="14">
        <f>D34-C34</f>
        <v/>
      </c>
      <c r="F34" s="3" t="n">
        <v>335</v>
      </c>
      <c r="G34" s="3" t="n">
        <v>4805</v>
      </c>
      <c r="H34" s="3">
        <f>G34-G30</f>
        <v/>
      </c>
      <c r="I34" s="34">
        <f>F34/H34</f>
        <v/>
      </c>
      <c r="J34" s="70" t="n"/>
      <c r="K34" s="44" t="n"/>
      <c r="L34" s="71" t="n"/>
      <c r="M34" s="36" t="n"/>
      <c r="N34" s="14">
        <f>O33</f>
        <v/>
      </c>
      <c r="O34" s="14" t="n">
        <v>67740</v>
      </c>
      <c r="P34" s="151">
        <f>O34-N34</f>
        <v/>
      </c>
      <c r="Q34" s="84" t="n"/>
      <c r="R34" s="42">
        <f>R32+1</f>
        <v/>
      </c>
      <c r="S34" s="24" t="inlineStr">
        <is>
          <t>DAY</t>
        </is>
      </c>
      <c r="T34" s="14">
        <f>U33</f>
        <v/>
      </c>
      <c r="U34" s="14" t="n">
        <v>3263</v>
      </c>
      <c r="V34" s="14">
        <f>U34-T34</f>
        <v/>
      </c>
      <c r="W34" s="3" t="n"/>
      <c r="X34" s="3" t="n"/>
      <c r="Y34" s="3" t="n"/>
      <c r="Z34" s="4" t="n"/>
      <c r="AA34" s="43" t="n"/>
      <c r="AB34" s="44" t="n"/>
      <c r="AC34" s="44" t="n"/>
      <c r="AD34" s="36" t="n"/>
      <c r="AE34" s="85">
        <f>AF33</f>
        <v/>
      </c>
      <c r="AF34" s="14" t="n">
        <v>52800</v>
      </c>
      <c r="AG34" s="151">
        <f>AF34-AE34</f>
        <v/>
      </c>
    </row>
    <row r="35">
      <c r="A35" s="42">
        <f>A34</f>
        <v/>
      </c>
      <c r="B35" s="24" t="inlineStr">
        <is>
          <t>NIGHT</t>
        </is>
      </c>
      <c r="C35" s="14">
        <f>D34</f>
        <v/>
      </c>
      <c r="D35" s="14" t="n">
        <v>4814</v>
      </c>
      <c r="E35" s="14">
        <f>D35-C35</f>
        <v/>
      </c>
      <c r="F35" s="3" t="n"/>
      <c r="G35" s="3" t="n"/>
      <c r="H35" s="3" t="n"/>
      <c r="I35" s="34" t="n"/>
      <c r="J35" s="35" t="n"/>
      <c r="K35" s="15" t="n"/>
      <c r="L35" s="15" t="n"/>
      <c r="M35" s="36" t="n"/>
      <c r="N35" s="14">
        <f>O34</f>
        <v/>
      </c>
      <c r="O35" s="14" t="n">
        <v>67852</v>
      </c>
      <c r="P35" s="151">
        <f>O35-N35</f>
        <v/>
      </c>
      <c r="Q35" s="84" t="n"/>
      <c r="R35" s="42">
        <f>R34</f>
        <v/>
      </c>
      <c r="S35" s="24" t="inlineStr">
        <is>
          <t>NIGHT</t>
        </is>
      </c>
      <c r="T35" s="14">
        <f>U34</f>
        <v/>
      </c>
      <c r="U35" s="14" t="n">
        <v>3268</v>
      </c>
      <c r="V35" s="14">
        <f>U35-T35</f>
        <v/>
      </c>
      <c r="W35" s="3" t="n"/>
      <c r="X35" s="3" t="n"/>
      <c r="Y35" s="3" t="n"/>
      <c r="Z35" s="4" t="n"/>
      <c r="AA35" s="35" t="n"/>
      <c r="AB35" s="15" t="n"/>
      <c r="AC35" s="15" t="n"/>
      <c r="AD35" s="36" t="n"/>
      <c r="AE35" s="85">
        <f>AF34</f>
        <v/>
      </c>
      <c r="AF35" s="14" t="n">
        <v>52926</v>
      </c>
      <c r="AG35" s="151">
        <f>AF35-AE35</f>
        <v/>
      </c>
    </row>
    <row r="36">
      <c r="A36" s="42">
        <f>A34+1</f>
        <v/>
      </c>
      <c r="B36" s="24" t="inlineStr">
        <is>
          <t>DAY</t>
        </is>
      </c>
      <c r="C36" s="14">
        <f>D35</f>
        <v/>
      </c>
      <c r="D36" s="14" t="n">
        <v>4823</v>
      </c>
      <c r="E36" s="14">
        <f>D36-C36</f>
        <v/>
      </c>
      <c r="F36" s="3" t="n"/>
      <c r="G36" s="3" t="n"/>
      <c r="H36" s="3" t="n"/>
      <c r="I36" s="34" t="n"/>
      <c r="J36" s="35" t="n"/>
      <c r="K36" s="15" t="n"/>
      <c r="L36" s="15" t="n"/>
      <c r="M36" s="36" t="n"/>
      <c r="N36" s="14">
        <f>O35</f>
        <v/>
      </c>
      <c r="O36" s="14" t="n">
        <v>67981</v>
      </c>
      <c r="P36" s="151">
        <f>O36-N36</f>
        <v/>
      </c>
      <c r="Q36" s="84" t="n"/>
      <c r="R36" s="42">
        <f>R34+1</f>
        <v/>
      </c>
      <c r="S36" s="24" t="inlineStr">
        <is>
          <t>DAY</t>
        </is>
      </c>
      <c r="T36" s="14">
        <f>U35</f>
        <v/>
      </c>
      <c r="U36" s="14" t="n">
        <v>3274</v>
      </c>
      <c r="V36" s="14">
        <f>U36-T36</f>
        <v/>
      </c>
      <c r="W36" s="3" t="n">
        <v>580</v>
      </c>
      <c r="X36" s="3" t="n">
        <v>3274</v>
      </c>
      <c r="Y36" s="3">
        <f>X36-X30</f>
        <v/>
      </c>
      <c r="Z36" s="4">
        <f>W36/Y36</f>
        <v/>
      </c>
      <c r="AA36" s="35" t="n"/>
      <c r="AB36" s="15" t="n"/>
      <c r="AC36" s="15" t="n"/>
      <c r="AD36" s="36" t="n"/>
      <c r="AE36" s="85">
        <f>AF35</f>
        <v/>
      </c>
      <c r="AF36" s="14" t="n">
        <v>53017</v>
      </c>
      <c r="AG36" s="151">
        <f>AF36-AE36</f>
        <v/>
      </c>
    </row>
    <row r="37">
      <c r="A37" s="42">
        <f>A36</f>
        <v/>
      </c>
      <c r="B37" s="24" t="inlineStr">
        <is>
          <t>NIGHT</t>
        </is>
      </c>
      <c r="C37" s="14">
        <f>D36</f>
        <v/>
      </c>
      <c r="D37" s="14" t="n">
        <v>4827</v>
      </c>
      <c r="E37" s="14">
        <f>D37-C37</f>
        <v/>
      </c>
      <c r="F37" s="3" t="n"/>
      <c r="G37" s="3" t="n"/>
      <c r="H37" s="3" t="n"/>
      <c r="I37" s="34" t="n"/>
      <c r="J37" s="35" t="n"/>
      <c r="K37" s="15" t="n"/>
      <c r="L37" s="15" t="n"/>
      <c r="M37" s="36" t="n"/>
      <c r="N37" s="14">
        <f>O36</f>
        <v/>
      </c>
      <c r="O37" s="14" t="n">
        <v>68028</v>
      </c>
      <c r="P37" s="151">
        <f>O37-N37</f>
        <v/>
      </c>
      <c r="Q37" s="84" t="n"/>
      <c r="R37" s="42">
        <f>R36</f>
        <v/>
      </c>
      <c r="S37" s="24" t="inlineStr">
        <is>
          <t>NIGHT</t>
        </is>
      </c>
      <c r="T37" s="14">
        <f>U36</f>
        <v/>
      </c>
      <c r="U37" s="14" t="n">
        <v>3279</v>
      </c>
      <c r="V37" s="14">
        <f>U37-T37</f>
        <v/>
      </c>
      <c r="W37" s="3" t="n"/>
      <c r="X37" s="3" t="n"/>
      <c r="Y37" s="3" t="n"/>
      <c r="Z37" s="4" t="n"/>
      <c r="AA37" s="35" t="n"/>
      <c r="AB37" s="15" t="n"/>
      <c r="AC37" s="15" t="n"/>
      <c r="AD37" s="36" t="n"/>
      <c r="AE37" s="85">
        <f>AF36</f>
        <v/>
      </c>
      <c r="AF37" s="14" t="n">
        <v>53059</v>
      </c>
      <c r="AG37" s="151">
        <f>AF37-AE37</f>
        <v/>
      </c>
    </row>
    <row r="38">
      <c r="A38" s="42">
        <f>A36+1</f>
        <v/>
      </c>
      <c r="B38" s="24" t="inlineStr">
        <is>
          <t>DAY</t>
        </is>
      </c>
      <c r="C38" s="14">
        <f>D37</f>
        <v/>
      </c>
      <c r="D38" s="14" t="n">
        <v>4832</v>
      </c>
      <c r="E38" s="14">
        <f>D38-C38</f>
        <v/>
      </c>
      <c r="F38" s="3" t="n">
        <v>320</v>
      </c>
      <c r="G38" s="3" t="n">
        <v>4827</v>
      </c>
      <c r="H38" s="3">
        <f>G38-G34</f>
        <v/>
      </c>
      <c r="I38" s="34">
        <f>F38/H38</f>
        <v/>
      </c>
      <c r="J38" s="35" t="n"/>
      <c r="K38" s="15" t="n"/>
      <c r="L38" s="15" t="n"/>
      <c r="M38" s="36" t="n"/>
      <c r="N38" s="14">
        <f>O37</f>
        <v/>
      </c>
      <c r="O38" s="14" t="n">
        <v>68068</v>
      </c>
      <c r="P38" s="151">
        <f>O38-N38</f>
        <v/>
      </c>
      <c r="Q38" s="84" t="n"/>
      <c r="R38" s="42">
        <f>R36+1</f>
        <v/>
      </c>
      <c r="S38" s="24" t="inlineStr">
        <is>
          <t>DAY</t>
        </is>
      </c>
      <c r="T38" s="14">
        <f>U37</f>
        <v/>
      </c>
      <c r="U38" s="14" t="n">
        <v>3282</v>
      </c>
      <c r="V38" s="14">
        <f>U38-T38</f>
        <v/>
      </c>
      <c r="W38" s="3" t="n"/>
      <c r="X38" s="3" t="n"/>
      <c r="Y38" s="3" t="n"/>
      <c r="Z38" s="4" t="n"/>
      <c r="AA38" s="35" t="n"/>
      <c r="AB38" s="15" t="n"/>
      <c r="AC38" s="15" t="n"/>
      <c r="AD38" s="36" t="n"/>
      <c r="AE38" s="85">
        <f>AF37</f>
        <v/>
      </c>
      <c r="AF38" s="14" t="n">
        <v>53142</v>
      </c>
      <c r="AG38" s="151">
        <f>AF38-AE38</f>
        <v/>
      </c>
    </row>
    <row r="39">
      <c r="A39" s="42">
        <f>A38</f>
        <v/>
      </c>
      <c r="B39" s="24" t="inlineStr">
        <is>
          <t>NIGHT</t>
        </is>
      </c>
      <c r="C39" s="14">
        <f>D38</f>
        <v/>
      </c>
      <c r="D39" s="14" t="n">
        <v>4841</v>
      </c>
      <c r="E39" s="14">
        <f>D39-C39</f>
        <v/>
      </c>
      <c r="F39" s="3" t="n"/>
      <c r="G39" s="3" t="n"/>
      <c r="H39" s="3" t="n"/>
      <c r="I39" s="34" t="n"/>
      <c r="J39" s="35" t="n"/>
      <c r="K39" s="15" t="n"/>
      <c r="L39" s="15" t="n"/>
      <c r="M39" s="36" t="n"/>
      <c r="N39" s="14">
        <f>O38</f>
        <v/>
      </c>
      <c r="O39" s="14" t="n">
        <v>68217</v>
      </c>
      <c r="P39" s="151">
        <f>O39-N39</f>
        <v/>
      </c>
      <c r="Q39" s="84" t="n"/>
      <c r="R39" s="42">
        <f>R38</f>
        <v/>
      </c>
      <c r="S39" s="24" t="inlineStr">
        <is>
          <t>NIGHT</t>
        </is>
      </c>
      <c r="T39" s="14">
        <f>U38</f>
        <v/>
      </c>
      <c r="U39" s="14" t="n">
        <v>3290</v>
      </c>
      <c r="V39" s="14">
        <f>U39-T39</f>
        <v/>
      </c>
      <c r="W39" s="3" t="n"/>
      <c r="X39" s="3" t="n"/>
      <c r="Y39" s="3" t="n"/>
      <c r="Z39" s="4" t="n"/>
      <c r="AA39" s="35" t="n"/>
      <c r="AB39" s="15" t="n"/>
      <c r="AC39" s="15" t="n"/>
      <c r="AD39" s="36" t="n"/>
      <c r="AE39" s="85">
        <f>AF38</f>
        <v/>
      </c>
      <c r="AF39" s="14" t="n">
        <v>53278</v>
      </c>
      <c r="AG39" s="151">
        <f>AF39-AE39</f>
        <v/>
      </c>
    </row>
    <row r="40">
      <c r="A40" s="42">
        <f>A38+1</f>
        <v/>
      </c>
      <c r="B40" s="24" t="inlineStr">
        <is>
          <t>DAY</t>
        </is>
      </c>
      <c r="C40" s="14">
        <f>D39</f>
        <v/>
      </c>
      <c r="D40" s="14" t="n">
        <v>4849</v>
      </c>
      <c r="E40" s="14">
        <f>D40-C40</f>
        <v/>
      </c>
      <c r="F40" s="3" t="n"/>
      <c r="G40" s="3" t="n"/>
      <c r="H40" s="3" t="n"/>
      <c r="I40" s="34" t="n"/>
      <c r="J40" s="35" t="n"/>
      <c r="K40" s="15" t="n"/>
      <c r="L40" s="15" t="n"/>
      <c r="M40" s="36" t="n"/>
      <c r="N40" s="14">
        <f>O39</f>
        <v/>
      </c>
      <c r="O40" s="87" t="n">
        <v>68328</v>
      </c>
      <c r="P40" s="151">
        <f>O40-N40</f>
        <v/>
      </c>
      <c r="Q40" s="84" t="n"/>
      <c r="R40" s="42">
        <f>R38+1</f>
        <v/>
      </c>
      <c r="S40" s="24" t="inlineStr">
        <is>
          <t>DAY</t>
        </is>
      </c>
      <c r="T40" s="14">
        <f>U39</f>
        <v/>
      </c>
      <c r="U40" s="14" t="n">
        <v>3293</v>
      </c>
      <c r="V40" s="14">
        <f>U40-T40</f>
        <v/>
      </c>
      <c r="W40" s="3" t="n"/>
      <c r="X40" s="3" t="n"/>
      <c r="Y40" s="3" t="n"/>
      <c r="Z40" s="4" t="n"/>
      <c r="AA40" s="35" t="n"/>
      <c r="AB40" s="15" t="n"/>
      <c r="AC40" s="15" t="n"/>
      <c r="AD40" s="36" t="n"/>
      <c r="AE40" s="85">
        <f>AF39</f>
        <v/>
      </c>
      <c r="AF40" s="14" t="n">
        <v>53321</v>
      </c>
      <c r="AG40" s="151">
        <f>AF40-AE40</f>
        <v/>
      </c>
    </row>
    <row r="41">
      <c r="A41" s="42">
        <f>A40</f>
        <v/>
      </c>
      <c r="B41" s="24" t="inlineStr">
        <is>
          <t>NIGHT</t>
        </is>
      </c>
      <c r="C41" s="14">
        <f>D40</f>
        <v/>
      </c>
      <c r="D41" s="14" t="n">
        <v>4855</v>
      </c>
      <c r="E41" s="14">
        <f>D41-C41</f>
        <v/>
      </c>
      <c r="F41" s="3" t="n"/>
      <c r="G41" s="3" t="n"/>
      <c r="H41" s="3" t="n"/>
      <c r="I41" s="34" t="n"/>
      <c r="J41" s="35" t="n"/>
      <c r="K41" s="15" t="n"/>
      <c r="L41" s="15" t="n"/>
      <c r="M41" s="36" t="n"/>
      <c r="N41" s="14">
        <f>O40</f>
        <v/>
      </c>
      <c r="O41" s="14" t="n">
        <v>68456</v>
      </c>
      <c r="P41" s="151">
        <f>O41-N41</f>
        <v/>
      </c>
      <c r="Q41" s="84" t="n"/>
      <c r="R41" s="42">
        <f>R40</f>
        <v/>
      </c>
      <c r="S41" s="24" t="inlineStr">
        <is>
          <t>NIGHT</t>
        </is>
      </c>
      <c r="T41" s="14">
        <f>U40</f>
        <v/>
      </c>
      <c r="U41" s="14" t="n">
        <v>3298</v>
      </c>
      <c r="V41" s="14">
        <f>U41-T41</f>
        <v/>
      </c>
      <c r="W41" s="3" t="n"/>
      <c r="X41" s="3" t="n"/>
      <c r="Y41" s="3" t="n"/>
      <c r="Z41" s="4" t="n"/>
      <c r="AA41" s="35" t="n"/>
      <c r="AB41" s="15" t="n"/>
      <c r="AC41" s="15" t="n"/>
      <c r="AD41" s="36" t="n"/>
      <c r="AE41" s="85">
        <f>AF40</f>
        <v/>
      </c>
      <c r="AF41" s="14" t="n">
        <v>53371</v>
      </c>
      <c r="AG41" s="151">
        <f>AF41-AE41</f>
        <v/>
      </c>
    </row>
    <row r="42">
      <c r="A42" s="42">
        <f>A40+1</f>
        <v/>
      </c>
      <c r="B42" s="24" t="inlineStr">
        <is>
          <t>DAY</t>
        </is>
      </c>
      <c r="C42" s="14">
        <f>D41</f>
        <v/>
      </c>
      <c r="D42" s="14" t="n">
        <v>4864</v>
      </c>
      <c r="E42" s="14">
        <f>D42-C42</f>
        <v/>
      </c>
      <c r="F42" s="3" t="n">
        <v>450</v>
      </c>
      <c r="G42" s="3" t="n">
        <v>4863</v>
      </c>
      <c r="H42" s="3">
        <f>G42-G38</f>
        <v/>
      </c>
      <c r="I42" s="34">
        <f>F42/H42</f>
        <v/>
      </c>
      <c r="J42" s="33" t="n"/>
      <c r="K42" s="4" t="n"/>
      <c r="L42" s="4" t="n"/>
      <c r="M42" s="34" t="n"/>
      <c r="N42" s="14">
        <f>O41</f>
        <v/>
      </c>
      <c r="O42" s="14" t="n">
        <v>68544</v>
      </c>
      <c r="P42" s="151">
        <f>O42-N42</f>
        <v/>
      </c>
      <c r="Q42" s="84" t="n"/>
      <c r="R42" s="42">
        <f>R40+1</f>
        <v/>
      </c>
      <c r="S42" s="24" t="inlineStr">
        <is>
          <t>DAY</t>
        </is>
      </c>
      <c r="T42" s="14">
        <f>U41</f>
        <v/>
      </c>
      <c r="U42" s="14" t="n">
        <v>3303</v>
      </c>
      <c r="V42" s="14">
        <f>U42-T42</f>
        <v/>
      </c>
      <c r="W42" s="3" t="n"/>
      <c r="X42" s="3" t="n"/>
      <c r="Y42" s="3" t="n"/>
      <c r="Z42" s="4" t="n"/>
      <c r="AA42" s="33" t="n"/>
      <c r="AB42" s="4" t="n"/>
      <c r="AC42" s="4" t="n"/>
      <c r="AD42" s="34" t="n"/>
      <c r="AE42" s="85">
        <f>AF41</f>
        <v/>
      </c>
      <c r="AF42" s="14" t="n">
        <v>53409</v>
      </c>
      <c r="AG42" s="151">
        <f>AF42-AE42</f>
        <v/>
      </c>
    </row>
    <row r="43">
      <c r="A43" s="42">
        <f>A42</f>
        <v/>
      </c>
      <c r="B43" s="24" t="inlineStr">
        <is>
          <t>NIGHT</t>
        </is>
      </c>
      <c r="C43" s="14">
        <f>D42</f>
        <v/>
      </c>
      <c r="D43" s="14" t="n">
        <v>4874</v>
      </c>
      <c r="E43" s="14">
        <f>D43-C43</f>
        <v/>
      </c>
      <c r="F43" s="3" t="n"/>
      <c r="G43" s="3" t="n"/>
      <c r="H43" s="3" t="n"/>
      <c r="I43" s="34" t="n"/>
      <c r="J43" s="61" t="n"/>
      <c r="K43" s="62" t="n"/>
      <c r="L43" s="62" t="n"/>
      <c r="M43" s="151" t="n"/>
      <c r="N43" s="14">
        <f>O42</f>
        <v/>
      </c>
      <c r="O43" s="14" t="n">
        <v>68723</v>
      </c>
      <c r="P43" s="151">
        <f>O43-N43</f>
        <v/>
      </c>
      <c r="Q43" s="84" t="n"/>
      <c r="R43" s="42">
        <f>R42</f>
        <v/>
      </c>
      <c r="S43" s="24" t="inlineStr">
        <is>
          <t>NIGHT</t>
        </is>
      </c>
      <c r="T43" s="14">
        <f>U42</f>
        <v/>
      </c>
      <c r="U43" s="14" t="n">
        <v>3304</v>
      </c>
      <c r="V43" s="14">
        <f>U43-T43</f>
        <v/>
      </c>
      <c r="W43" s="3" t="n"/>
      <c r="X43" s="3" t="n"/>
      <c r="Y43" s="3" t="n"/>
      <c r="Z43" s="4" t="n"/>
      <c r="AA43" s="61" t="n">
        <v>0.9861111111111112</v>
      </c>
      <c r="AB43" s="62" t="n">
        <v>0.375</v>
      </c>
      <c r="AC43" s="62" t="n">
        <v>0.3888888888888889</v>
      </c>
      <c r="AD43" s="36" t="inlineStr">
        <is>
          <t>Hydrolic pipe damege</t>
        </is>
      </c>
      <c r="AE43" s="85">
        <f>AF42</f>
        <v/>
      </c>
      <c r="AF43" s="14" t="n">
        <v>53445</v>
      </c>
      <c r="AG43" s="151">
        <f>AF43-AE43</f>
        <v/>
      </c>
    </row>
    <row r="44">
      <c r="A44" s="42">
        <f>A42+1</f>
        <v/>
      </c>
      <c r="B44" s="24" t="inlineStr">
        <is>
          <t>DAY</t>
        </is>
      </c>
      <c r="C44" s="14">
        <f>D43</f>
        <v/>
      </c>
      <c r="D44" s="14" t="n">
        <v>4884</v>
      </c>
      <c r="E44" s="14">
        <f>D44-C44</f>
        <v/>
      </c>
      <c r="F44" s="3" t="n">
        <v>270</v>
      </c>
      <c r="G44" s="3" t="n">
        <v>4881</v>
      </c>
      <c r="H44" s="3">
        <f>G44-G42</f>
        <v/>
      </c>
      <c r="I44" s="34">
        <f>F44/H44</f>
        <v/>
      </c>
      <c r="J44" s="61" t="n"/>
      <c r="K44" s="62" t="n"/>
      <c r="L44" s="62" t="n"/>
      <c r="M44" s="151" t="n"/>
      <c r="N44" s="14">
        <f>O43</f>
        <v/>
      </c>
      <c r="O44" s="14" t="n">
        <v>68884</v>
      </c>
      <c r="P44" s="151">
        <f>O44-N44</f>
        <v/>
      </c>
      <c r="Q44" s="84" t="n"/>
      <c r="R44" s="42">
        <f>R42+1</f>
        <v/>
      </c>
      <c r="S44" s="24" t="inlineStr">
        <is>
          <t>DAY</t>
        </is>
      </c>
      <c r="T44" s="14">
        <f>U43</f>
        <v/>
      </c>
      <c r="U44" s="14" t="n">
        <v>3310</v>
      </c>
      <c r="V44" s="14">
        <f>U44-T44</f>
        <v/>
      </c>
      <c r="W44" s="3" t="n">
        <v>461</v>
      </c>
      <c r="X44" s="3" t="n">
        <v>3308</v>
      </c>
      <c r="Y44" s="3">
        <f>X44-X36</f>
        <v/>
      </c>
      <c r="Z44" s="4">
        <f>W44/Y44</f>
        <v/>
      </c>
      <c r="AA44" s="35" t="n"/>
      <c r="AB44" s="15" t="n"/>
      <c r="AC44" s="15" t="n"/>
      <c r="AD44" s="36" t="n"/>
      <c r="AE44" s="85">
        <f>AF43</f>
        <v/>
      </c>
      <c r="AF44" s="14" t="n">
        <v>53508</v>
      </c>
      <c r="AG44" s="151">
        <f>AF44-AE44</f>
        <v/>
      </c>
    </row>
    <row r="45">
      <c r="A45" s="42">
        <f>A44</f>
        <v/>
      </c>
      <c r="B45" s="24" t="inlineStr">
        <is>
          <t>NIGHT</t>
        </is>
      </c>
      <c r="C45" s="14">
        <f>D44</f>
        <v/>
      </c>
      <c r="D45" s="14" t="n">
        <v>4895</v>
      </c>
      <c r="E45" s="14">
        <f>D45-C45</f>
        <v/>
      </c>
      <c r="F45" s="3" t="n"/>
      <c r="G45" s="3" t="n"/>
      <c r="H45" s="3" t="n"/>
      <c r="I45" s="34" t="n"/>
      <c r="J45" s="35" t="n"/>
      <c r="K45" s="15" t="n"/>
      <c r="L45" s="15" t="n"/>
      <c r="M45" s="36" t="n"/>
      <c r="N45" s="14">
        <f>O44</f>
        <v/>
      </c>
      <c r="O45" s="14" t="n">
        <v>69051</v>
      </c>
      <c r="P45" s="151">
        <f>O45-N45</f>
        <v/>
      </c>
      <c r="Q45" s="84" t="n"/>
      <c r="R45" s="42">
        <f>R44</f>
        <v/>
      </c>
      <c r="S45" s="24" t="inlineStr">
        <is>
          <t>NIGHT</t>
        </is>
      </c>
      <c r="T45" s="14">
        <f>U44</f>
        <v/>
      </c>
      <c r="U45" s="14" t="n">
        <v>3314</v>
      </c>
      <c r="V45" s="14">
        <f>U45-T45</f>
        <v/>
      </c>
      <c r="W45" s="3" t="n"/>
      <c r="X45" s="3" t="n"/>
      <c r="Y45" s="3" t="n"/>
      <c r="Z45" s="4" t="n"/>
      <c r="AA45" s="35" t="n"/>
      <c r="AB45" s="15" t="n"/>
      <c r="AC45" s="15" t="n"/>
      <c r="AD45" s="36" t="n"/>
      <c r="AE45" s="85">
        <f>AF44</f>
        <v/>
      </c>
      <c r="AF45" s="14" t="n">
        <v>53563</v>
      </c>
      <c r="AG45" s="151">
        <f>AF45-AE45</f>
        <v/>
      </c>
    </row>
    <row r="46">
      <c r="A46" s="42">
        <f>A44+1</f>
        <v/>
      </c>
      <c r="B46" s="24" t="inlineStr">
        <is>
          <t>DAY</t>
        </is>
      </c>
      <c r="C46" s="14">
        <f>D45</f>
        <v/>
      </c>
      <c r="D46" s="14" t="n">
        <v>4901</v>
      </c>
      <c r="E46" s="14">
        <f>D46-C46</f>
        <v/>
      </c>
      <c r="F46" s="3" t="n"/>
      <c r="G46" s="3" t="n"/>
      <c r="H46" s="3" t="n"/>
      <c r="I46" s="34" t="n"/>
      <c r="J46" s="35" t="n"/>
      <c r="K46" s="15" t="n"/>
      <c r="L46" s="15" t="n"/>
      <c r="M46" s="36" t="n"/>
      <c r="N46" s="14">
        <f>O45</f>
        <v/>
      </c>
      <c r="O46" s="14" t="n">
        <v>69151</v>
      </c>
      <c r="P46" s="151">
        <f>O46-N46</f>
        <v/>
      </c>
      <c r="Q46" s="84" t="n"/>
      <c r="R46" s="42">
        <f>R44+1</f>
        <v/>
      </c>
      <c r="S46" s="24" t="inlineStr">
        <is>
          <t>DAY</t>
        </is>
      </c>
      <c r="T46" s="14">
        <f>U45</f>
        <v/>
      </c>
      <c r="U46" s="14" t="n">
        <v>3320</v>
      </c>
      <c r="V46" s="14">
        <f>U46-T46</f>
        <v/>
      </c>
      <c r="W46" s="86" t="n"/>
      <c r="X46" s="3" t="n"/>
      <c r="Y46" s="3" t="n"/>
      <c r="Z46" s="4" t="n"/>
      <c r="AA46" s="81" t="n"/>
      <c r="AB46" s="15" t="n"/>
      <c r="AC46" s="15" t="n"/>
      <c r="AD46" s="36" t="n"/>
      <c r="AE46" s="85">
        <f>AF45</f>
        <v/>
      </c>
      <c r="AF46" s="14" t="n">
        <v>53723</v>
      </c>
      <c r="AG46" s="151">
        <f>AF46-AE46</f>
        <v/>
      </c>
    </row>
    <row r="47">
      <c r="A47" s="42">
        <f>A46</f>
        <v/>
      </c>
      <c r="B47" s="24" t="inlineStr">
        <is>
          <t>NIGHT</t>
        </is>
      </c>
      <c r="C47" s="14">
        <f>D46</f>
        <v/>
      </c>
      <c r="D47" s="14" t="n">
        <v>4904</v>
      </c>
      <c r="E47" s="14">
        <f>D47-C47</f>
        <v/>
      </c>
      <c r="F47" s="3" t="n"/>
      <c r="G47" s="3" t="n"/>
      <c r="H47" s="3" t="n"/>
      <c r="I47" s="34" t="n"/>
      <c r="J47" s="33" t="n"/>
      <c r="K47" s="4" t="n"/>
      <c r="L47" s="4" t="n"/>
      <c r="M47" s="34" t="n"/>
      <c r="N47" s="14">
        <f>O46</f>
        <v/>
      </c>
      <c r="O47" s="14" t="n">
        <v>69194</v>
      </c>
      <c r="P47" s="151">
        <f>O47-N47</f>
        <v/>
      </c>
      <c r="Q47" s="84" t="n"/>
      <c r="R47" s="42">
        <f>R46</f>
        <v/>
      </c>
      <c r="S47" s="24" t="inlineStr">
        <is>
          <t>NIGHT</t>
        </is>
      </c>
      <c r="T47" s="14">
        <f>U46</f>
        <v/>
      </c>
      <c r="U47" s="14" t="n">
        <v>3327</v>
      </c>
      <c r="V47" s="14">
        <f>U47-T47</f>
        <v/>
      </c>
      <c r="W47" s="3" t="n"/>
      <c r="X47" s="3" t="n"/>
      <c r="Y47" s="3" t="n"/>
      <c r="Z47" s="4" t="n"/>
      <c r="AA47" s="81" t="n"/>
      <c r="AB47" s="81" t="n"/>
      <c r="AC47" s="82" t="n"/>
      <c r="AD47" s="36" t="n"/>
      <c r="AE47" s="85">
        <f>AF46</f>
        <v/>
      </c>
      <c r="AF47" s="14" t="n">
        <v>53833</v>
      </c>
      <c r="AG47" s="151">
        <f>AF47-AE47</f>
        <v/>
      </c>
    </row>
    <row r="48">
      <c r="A48" s="42">
        <f>A46+1</f>
        <v/>
      </c>
      <c r="B48" s="24" t="inlineStr">
        <is>
          <t>DAY</t>
        </is>
      </c>
      <c r="C48" s="14">
        <f>D47</f>
        <v/>
      </c>
      <c r="D48" s="14" t="n">
        <v>4908</v>
      </c>
      <c r="E48" s="14">
        <f>D48-C48</f>
        <v/>
      </c>
      <c r="F48" s="3" t="n">
        <v>380</v>
      </c>
      <c r="G48" s="3" t="n">
        <v>4907</v>
      </c>
      <c r="H48" s="3">
        <f>G48-G44</f>
        <v/>
      </c>
      <c r="I48" s="34">
        <f>F48/H48</f>
        <v/>
      </c>
      <c r="J48" s="35" t="n"/>
      <c r="K48" s="15" t="n"/>
      <c r="L48" s="15" t="n"/>
      <c r="M48" s="36" t="n"/>
      <c r="N48" s="14">
        <f>O47</f>
        <v/>
      </c>
      <c r="O48" s="14" t="n">
        <v>69227</v>
      </c>
      <c r="P48" s="151">
        <f>O48-N48</f>
        <v/>
      </c>
      <c r="Q48" s="84" t="n"/>
      <c r="R48" s="42">
        <f>R46+1</f>
        <v/>
      </c>
      <c r="S48" s="24" t="inlineStr">
        <is>
          <t>DAY</t>
        </is>
      </c>
      <c r="T48" s="14">
        <f>U47</f>
        <v/>
      </c>
      <c r="U48" s="14" t="n">
        <v>3333</v>
      </c>
      <c r="V48" s="14">
        <f>U48-T48</f>
        <v/>
      </c>
      <c r="W48" s="3" t="n"/>
      <c r="X48" s="3" t="n"/>
      <c r="Y48" s="3" t="n"/>
      <c r="Z48" s="4" t="n"/>
      <c r="AA48" s="81" t="n"/>
      <c r="AB48" s="81" t="n"/>
      <c r="AC48" s="62" t="n"/>
      <c r="AD48" s="36" t="n"/>
      <c r="AE48" s="85">
        <f>AF47</f>
        <v/>
      </c>
      <c r="AF48" s="14" t="n">
        <v>53961</v>
      </c>
      <c r="AG48" s="151">
        <f>AF48-AE48</f>
        <v/>
      </c>
    </row>
    <row r="49">
      <c r="A49" s="42">
        <f>A48</f>
        <v/>
      </c>
      <c r="B49" s="24" t="inlineStr">
        <is>
          <t>NIGHT</t>
        </is>
      </c>
      <c r="C49" s="14">
        <f>D48</f>
        <v/>
      </c>
      <c r="D49" s="14" t="n">
        <v>4911</v>
      </c>
      <c r="E49" s="14">
        <f>D49-C49</f>
        <v/>
      </c>
      <c r="F49" s="3" t="n"/>
      <c r="G49" s="3" t="n"/>
      <c r="H49" s="3" t="n"/>
      <c r="I49" s="34" t="n"/>
      <c r="J49" s="35" t="n"/>
      <c r="K49" s="15" t="n"/>
      <c r="L49" s="15" t="n"/>
      <c r="M49" s="36" t="n"/>
      <c r="N49" s="14">
        <f>O48</f>
        <v/>
      </c>
      <c r="O49" s="14" t="n">
        <v>69283</v>
      </c>
      <c r="P49" s="151">
        <f>O49-N49</f>
        <v/>
      </c>
      <c r="Q49" s="84" t="n"/>
      <c r="R49" s="42">
        <f>R48</f>
        <v/>
      </c>
      <c r="S49" s="24" t="inlineStr">
        <is>
          <t>NIGHT</t>
        </is>
      </c>
      <c r="T49" s="14">
        <f>U48</f>
        <v/>
      </c>
      <c r="U49" s="14" t="n">
        <v>3336</v>
      </c>
      <c r="V49" s="14">
        <f>U49-T49</f>
        <v/>
      </c>
      <c r="W49" s="3" t="n"/>
      <c r="X49" s="3" t="n"/>
      <c r="Y49" s="3" t="n"/>
      <c r="Z49" s="4" t="n"/>
      <c r="AA49" s="35" t="n"/>
      <c r="AB49" s="15" t="n"/>
      <c r="AC49" s="15" t="n"/>
      <c r="AD49" s="36" t="n"/>
      <c r="AE49" s="85">
        <f>AF48</f>
        <v/>
      </c>
      <c r="AF49" s="14" t="n">
        <v>54005</v>
      </c>
      <c r="AG49" s="151">
        <f>AF49-AE49</f>
        <v/>
      </c>
    </row>
    <row r="50">
      <c r="A50" s="42">
        <f>A48+1</f>
        <v/>
      </c>
      <c r="B50" s="24" t="inlineStr">
        <is>
          <t>DAY</t>
        </is>
      </c>
      <c r="C50" s="14">
        <f>D49</f>
        <v/>
      </c>
      <c r="D50" s="14" t="n">
        <v>4916</v>
      </c>
      <c r="E50" s="14">
        <f>D50-C50</f>
        <v/>
      </c>
      <c r="F50" s="3" t="n">
        <v>65</v>
      </c>
      <c r="G50" s="3" t="n">
        <v>4913</v>
      </c>
      <c r="H50" s="3">
        <f>G50-G48</f>
        <v/>
      </c>
      <c r="I50" s="34">
        <f>F50/H50</f>
        <v/>
      </c>
      <c r="J50" s="35" t="n"/>
      <c r="K50" s="15" t="n"/>
      <c r="L50" s="15" t="n"/>
      <c r="M50" s="36" t="n"/>
      <c r="N50" s="14">
        <f>O49</f>
        <v/>
      </c>
      <c r="O50" s="14" t="n">
        <v>69311</v>
      </c>
      <c r="P50" s="151">
        <f>O50-N50</f>
        <v/>
      </c>
      <c r="Q50" s="84" t="n"/>
      <c r="R50" s="42">
        <f>R48+1</f>
        <v/>
      </c>
      <c r="S50" s="24" t="inlineStr">
        <is>
          <t>DAY</t>
        </is>
      </c>
      <c r="T50" s="14">
        <f>U49</f>
        <v/>
      </c>
      <c r="U50" s="14" t="n">
        <v>3339</v>
      </c>
      <c r="V50" s="14">
        <f>U50-T50</f>
        <v/>
      </c>
      <c r="W50" s="3" t="n">
        <v>500</v>
      </c>
      <c r="X50" s="3" t="n">
        <v>3338</v>
      </c>
      <c r="Y50" s="3">
        <f>X50-X44</f>
        <v/>
      </c>
      <c r="Z50" s="4">
        <f>W50/Y50</f>
        <v/>
      </c>
      <c r="AA50" s="35" t="n"/>
      <c r="AB50" s="15" t="n"/>
      <c r="AC50" s="15" t="n"/>
      <c r="AD50" s="36" t="n"/>
      <c r="AE50" s="85">
        <f>AF49</f>
        <v/>
      </c>
      <c r="AF50" s="14" t="n">
        <v>54045</v>
      </c>
      <c r="AG50" s="151">
        <f>AF50-AE50</f>
        <v/>
      </c>
    </row>
    <row r="51">
      <c r="A51" s="42">
        <f>A50</f>
        <v/>
      </c>
      <c r="B51" s="24" t="inlineStr">
        <is>
          <t>NIGHT</t>
        </is>
      </c>
      <c r="C51" s="14">
        <f>D50</f>
        <v/>
      </c>
      <c r="D51" s="14" t="n">
        <v>4920</v>
      </c>
      <c r="E51" s="14">
        <f>D51-C51</f>
        <v/>
      </c>
      <c r="F51" s="3" t="n"/>
      <c r="G51" s="3" t="n"/>
      <c r="H51" s="3" t="n"/>
      <c r="I51" s="34" t="n"/>
      <c r="J51" s="35" t="n"/>
      <c r="K51" s="15" t="n"/>
      <c r="L51" s="15" t="n"/>
      <c r="M51" s="36" t="n"/>
      <c r="N51" s="14">
        <f>O50</f>
        <v/>
      </c>
      <c r="O51" s="14" t="n">
        <v>69378</v>
      </c>
      <c r="P51" s="151">
        <f>O51-N51</f>
        <v/>
      </c>
      <c r="Q51" s="84" t="n"/>
      <c r="R51" s="42">
        <f>R50</f>
        <v/>
      </c>
      <c r="S51" s="24" t="inlineStr">
        <is>
          <t>NIGHT</t>
        </is>
      </c>
      <c r="T51" s="14">
        <f>U50</f>
        <v/>
      </c>
      <c r="U51" s="14" t="n">
        <v>3344</v>
      </c>
      <c r="V51" s="14">
        <f>U51-T51</f>
        <v/>
      </c>
      <c r="W51" s="3" t="n"/>
      <c r="X51" s="3" t="n"/>
      <c r="Y51" s="3" t="n"/>
      <c r="Z51" s="4" t="n"/>
      <c r="AA51" s="35" t="n"/>
      <c r="AB51" s="15" t="n"/>
      <c r="AC51" s="15" t="n"/>
      <c r="AD51" s="36" t="n"/>
      <c r="AE51" s="85">
        <f>AF50</f>
        <v/>
      </c>
      <c r="AF51" s="14" t="n">
        <v>54147</v>
      </c>
      <c r="AG51" s="151">
        <f>AF51-AE51</f>
        <v/>
      </c>
    </row>
    <row r="52">
      <c r="A52" s="42">
        <f>A50+1</f>
        <v/>
      </c>
      <c r="B52" s="24" t="inlineStr">
        <is>
          <t>DAY</t>
        </is>
      </c>
      <c r="C52" s="14">
        <f>D51</f>
        <v/>
      </c>
      <c r="D52" s="14" t="n">
        <v>4926</v>
      </c>
      <c r="E52" s="14">
        <f>D52-C52</f>
        <v/>
      </c>
      <c r="F52" s="3" t="n"/>
      <c r="G52" s="3" t="n"/>
      <c r="H52" s="3" t="n"/>
      <c r="I52" s="34" t="n"/>
      <c r="J52" s="35" t="n"/>
      <c r="K52" s="15" t="n"/>
      <c r="L52" s="15" t="n"/>
      <c r="M52" s="36" t="n"/>
      <c r="N52" s="14">
        <f>O51</f>
        <v/>
      </c>
      <c r="O52" s="14" t="n">
        <v>69507</v>
      </c>
      <c r="P52" s="151">
        <f>O52-N52</f>
        <v/>
      </c>
      <c r="Q52" s="84" t="n"/>
      <c r="R52" s="42">
        <f>R50+1</f>
        <v/>
      </c>
      <c r="S52" s="24" t="inlineStr">
        <is>
          <t>DAY</t>
        </is>
      </c>
      <c r="T52" s="14">
        <f>U51</f>
        <v/>
      </c>
      <c r="U52" s="14" t="n">
        <v>3352</v>
      </c>
      <c r="V52" s="14">
        <f>U52-T52</f>
        <v/>
      </c>
      <c r="W52" s="3" t="n"/>
      <c r="X52" s="3" t="n"/>
      <c r="Y52" s="3" t="n"/>
      <c r="Z52" s="4" t="n"/>
      <c r="AA52" s="35" t="n"/>
      <c r="AB52" s="15" t="n"/>
      <c r="AC52" s="15" t="n"/>
      <c r="AD52" s="36" t="n"/>
      <c r="AE52" s="85">
        <f>AF51</f>
        <v/>
      </c>
      <c r="AF52" s="14" t="n">
        <v>54284</v>
      </c>
      <c r="AG52" s="151">
        <f>AF52-AE52</f>
        <v/>
      </c>
    </row>
    <row r="53">
      <c r="A53" s="42">
        <f>A52</f>
        <v/>
      </c>
      <c r="B53" s="24" t="inlineStr">
        <is>
          <t>NIGHT</t>
        </is>
      </c>
      <c r="C53" s="14">
        <f>D52</f>
        <v/>
      </c>
      <c r="D53" s="14" t="n">
        <v>4935</v>
      </c>
      <c r="E53" s="14">
        <f>D53-C53</f>
        <v/>
      </c>
      <c r="F53" s="3" t="n"/>
      <c r="G53" s="3" t="n"/>
      <c r="H53" s="3" t="n"/>
      <c r="I53" s="34" t="n"/>
      <c r="J53" s="35" t="n"/>
      <c r="K53" s="15" t="n"/>
      <c r="L53" s="15" t="n"/>
      <c r="M53" s="36" t="n"/>
      <c r="N53" s="14">
        <f>O52</f>
        <v/>
      </c>
      <c r="O53" s="14" t="n">
        <v>69687</v>
      </c>
      <c r="P53" s="151">
        <f>O53-N53</f>
        <v/>
      </c>
      <c r="Q53" s="84" t="n"/>
      <c r="R53" s="42">
        <f>R52</f>
        <v/>
      </c>
      <c r="S53" s="24" t="inlineStr">
        <is>
          <t>NIGHT</t>
        </is>
      </c>
      <c r="T53" s="14">
        <f>U52</f>
        <v/>
      </c>
      <c r="U53" s="14" t="n">
        <v>3357</v>
      </c>
      <c r="V53" s="14">
        <f>U53-T53</f>
        <v/>
      </c>
      <c r="W53" s="3" t="n"/>
      <c r="X53" s="3" t="n"/>
      <c r="Y53" s="3" t="n"/>
      <c r="Z53" s="4" t="n"/>
      <c r="AA53" s="35" t="n"/>
      <c r="AB53" s="15" t="n"/>
      <c r="AC53" s="15" t="n"/>
      <c r="AD53" s="36" t="n"/>
      <c r="AE53" s="85">
        <f>AF52</f>
        <v/>
      </c>
      <c r="AF53" s="14" t="n">
        <v>54341</v>
      </c>
      <c r="AG53" s="151">
        <f>AF53-AE53</f>
        <v/>
      </c>
    </row>
    <row r="54">
      <c r="A54" s="42">
        <f>A52+1</f>
        <v/>
      </c>
      <c r="B54" s="24" t="inlineStr">
        <is>
          <t>DAY</t>
        </is>
      </c>
      <c r="C54" s="14">
        <f>D53</f>
        <v/>
      </c>
      <c r="D54" s="14" t="n">
        <v>4946</v>
      </c>
      <c r="E54" s="14">
        <f>D54-C54</f>
        <v/>
      </c>
      <c r="F54" s="3" t="n">
        <v>300</v>
      </c>
      <c r="G54" s="3" t="n">
        <v>4939</v>
      </c>
      <c r="H54" s="3">
        <f>G54-G50</f>
        <v/>
      </c>
      <c r="I54" s="34">
        <f>F54/H54</f>
        <v/>
      </c>
      <c r="J54" s="35" t="n"/>
      <c r="K54" s="15" t="n"/>
      <c r="L54" s="15" t="n"/>
      <c r="M54" s="36" t="n"/>
      <c r="N54" s="14">
        <f>O53</f>
        <v/>
      </c>
      <c r="O54" s="86" t="n">
        <v>69864</v>
      </c>
      <c r="P54" s="151">
        <f>O54-N54</f>
        <v/>
      </c>
      <c r="Q54" s="84" t="n"/>
      <c r="R54" s="42">
        <f>R52+1</f>
        <v/>
      </c>
      <c r="S54" s="24" t="inlineStr">
        <is>
          <t>DAY</t>
        </is>
      </c>
      <c r="T54" s="14">
        <f>U53</f>
        <v/>
      </c>
      <c r="U54" s="14" t="n">
        <v>3362</v>
      </c>
      <c r="V54" s="14">
        <f>U54-T54</f>
        <v/>
      </c>
      <c r="W54" s="3" t="n"/>
      <c r="X54" s="3" t="n"/>
      <c r="Y54" s="3" t="n"/>
      <c r="Z54" s="4" t="n"/>
      <c r="AA54" s="35" t="n"/>
      <c r="AB54" s="15" t="n"/>
      <c r="AC54" s="15" t="n"/>
      <c r="AD54" s="36" t="n"/>
      <c r="AE54" s="85">
        <f>AF53</f>
        <v/>
      </c>
      <c r="AF54" s="14" t="n">
        <v>54396</v>
      </c>
      <c r="AG54" s="151">
        <f>AF54-AE54</f>
        <v/>
      </c>
    </row>
    <row r="55">
      <c r="A55" s="42">
        <f>A54</f>
        <v/>
      </c>
      <c r="B55" s="24" t="inlineStr">
        <is>
          <t>NIGHT</t>
        </is>
      </c>
      <c r="C55" s="14">
        <f>D54</f>
        <v/>
      </c>
      <c r="D55" s="14" t="n">
        <v>4957</v>
      </c>
      <c r="E55" s="14">
        <f>D55-C55</f>
        <v/>
      </c>
      <c r="F55" s="3" t="n"/>
      <c r="G55" s="3" t="n"/>
      <c r="H55" s="3" t="n"/>
      <c r="I55" s="34" t="n"/>
      <c r="J55" s="35" t="n"/>
      <c r="K55" s="15" t="n"/>
      <c r="L55" s="15" t="n"/>
      <c r="M55" s="36" t="n"/>
      <c r="N55" s="14">
        <f>O54</f>
        <v/>
      </c>
      <c r="O55" s="14" t="n">
        <v>69988</v>
      </c>
      <c r="P55" s="151">
        <f>O55-N55</f>
        <v/>
      </c>
      <c r="Q55" s="84" t="n"/>
      <c r="R55" s="42">
        <f>R54</f>
        <v/>
      </c>
      <c r="S55" s="24" t="inlineStr">
        <is>
          <t>NIGHT</t>
        </is>
      </c>
      <c r="T55" s="14">
        <f>U54</f>
        <v/>
      </c>
      <c r="U55" s="14" t="n">
        <v>3367</v>
      </c>
      <c r="V55" s="14">
        <f>U55-T55</f>
        <v/>
      </c>
      <c r="W55" s="3" t="n"/>
      <c r="X55" s="3" t="n"/>
      <c r="Y55" s="3" t="n"/>
      <c r="Z55" s="4" t="n"/>
      <c r="AA55" s="35" t="n"/>
      <c r="AB55" s="15" t="n"/>
      <c r="AC55" s="15" t="n"/>
      <c r="AD55" s="36" t="n"/>
      <c r="AE55" s="85">
        <f>AF54</f>
        <v/>
      </c>
      <c r="AF55" s="86" t="n">
        <v>54413</v>
      </c>
      <c r="AG55" s="151">
        <f>AF55-AE55</f>
        <v/>
      </c>
    </row>
    <row r="56">
      <c r="A56" s="42">
        <f>A54+1</f>
        <v/>
      </c>
      <c r="B56" s="24" t="inlineStr">
        <is>
          <t>DAY</t>
        </is>
      </c>
      <c r="C56" s="14">
        <f>D55</f>
        <v/>
      </c>
      <c r="D56" s="14" t="n">
        <v>4965</v>
      </c>
      <c r="E56" s="14">
        <f>D56-C56</f>
        <v/>
      </c>
      <c r="F56" s="3" t="n">
        <v>301</v>
      </c>
      <c r="G56" s="3" t="n">
        <v>4960</v>
      </c>
      <c r="H56" s="3">
        <f>G56-G54</f>
        <v/>
      </c>
      <c r="I56" s="34">
        <f>F56/H56</f>
        <v/>
      </c>
      <c r="J56" s="50" t="n"/>
      <c r="K56" s="14" t="n"/>
      <c r="L56" s="14" t="n"/>
      <c r="M56" s="151" t="n"/>
      <c r="N56" s="14">
        <f>O55</f>
        <v/>
      </c>
      <c r="O56" s="14" t="n">
        <v>70061</v>
      </c>
      <c r="P56" s="151">
        <f>O56-N56</f>
        <v/>
      </c>
      <c r="Q56" s="84" t="n"/>
      <c r="R56" s="42">
        <f>R54+1</f>
        <v/>
      </c>
      <c r="S56" s="24" t="inlineStr">
        <is>
          <t>DAY</t>
        </is>
      </c>
      <c r="T56" s="14">
        <f>U55</f>
        <v/>
      </c>
      <c r="U56" s="14" t="n">
        <v>3372</v>
      </c>
      <c r="V56" s="14">
        <f>U56-T56</f>
        <v/>
      </c>
      <c r="W56" s="3" t="n">
        <v>300</v>
      </c>
      <c r="X56" s="3" t="n">
        <v>3368</v>
      </c>
      <c r="Y56" s="3">
        <f>X56-X50</f>
        <v/>
      </c>
      <c r="Z56" s="4">
        <f>W56/Y56</f>
        <v/>
      </c>
      <c r="AA56" s="61" t="n"/>
      <c r="AB56" s="62" t="n"/>
      <c r="AC56" s="62" t="n"/>
      <c r="AD56" s="151" t="n"/>
      <c r="AE56" s="85">
        <f>AF55</f>
        <v/>
      </c>
      <c r="AF56" s="14" t="n">
        <v>54453</v>
      </c>
      <c r="AG56" s="151">
        <f>AF56-AE56</f>
        <v/>
      </c>
    </row>
    <row r="57">
      <c r="A57" s="42">
        <f>A56</f>
        <v/>
      </c>
      <c r="B57" s="24" t="inlineStr">
        <is>
          <t>NIGHT</t>
        </is>
      </c>
      <c r="C57" s="14">
        <f>D56</f>
        <v/>
      </c>
      <c r="D57" s="14" t="n">
        <v>4974</v>
      </c>
      <c r="E57" s="14">
        <f>D57-C57</f>
        <v/>
      </c>
      <c r="F57" s="3" t="n"/>
      <c r="G57" s="3" t="n"/>
      <c r="H57" s="3" t="n"/>
      <c r="I57" s="34" t="n"/>
      <c r="J57" s="50" t="n"/>
      <c r="K57" s="14" t="n"/>
      <c r="L57" s="14" t="n"/>
      <c r="M57" s="151" t="n"/>
      <c r="N57" s="14">
        <f>O56</f>
        <v/>
      </c>
      <c r="O57" s="14" t="n">
        <v>70177</v>
      </c>
      <c r="P57" s="151">
        <f>O57-N57</f>
        <v/>
      </c>
      <c r="Q57" s="84" t="n"/>
      <c r="R57" s="42">
        <f>R56</f>
        <v/>
      </c>
      <c r="S57" s="24" t="inlineStr">
        <is>
          <t>NIGHT</t>
        </is>
      </c>
      <c r="T57" s="14">
        <f>U56</f>
        <v/>
      </c>
      <c r="U57" s="14" t="n">
        <v>3381</v>
      </c>
      <c r="V57" s="14">
        <f>U57-T57</f>
        <v/>
      </c>
      <c r="W57" s="3" t="n"/>
      <c r="X57" s="3" t="n"/>
      <c r="Y57" s="3" t="n"/>
      <c r="Z57" s="4" t="n"/>
      <c r="AA57" s="50" t="n"/>
      <c r="AB57" s="14" t="n"/>
      <c r="AC57" s="14" t="n"/>
      <c r="AD57" s="151" t="n"/>
      <c r="AE57" s="85">
        <f>AF56</f>
        <v/>
      </c>
      <c r="AF57" s="14" t="n">
        <v>54605</v>
      </c>
      <c r="AG57" s="151">
        <f>AF57-AE57</f>
        <v/>
      </c>
    </row>
    <row r="58">
      <c r="A58" s="42">
        <f>A56+1</f>
        <v/>
      </c>
      <c r="B58" s="24" t="inlineStr">
        <is>
          <t>DAY</t>
        </is>
      </c>
      <c r="C58" s="14">
        <f>D57</f>
        <v/>
      </c>
      <c r="D58" s="14" t="n">
        <v>4981</v>
      </c>
      <c r="E58" s="14">
        <f>D58-C58</f>
        <v/>
      </c>
      <c r="F58" s="3" t="n"/>
      <c r="G58" s="3" t="n"/>
      <c r="H58" s="3" t="n"/>
      <c r="I58" s="34" t="n"/>
      <c r="J58" s="50" t="n"/>
      <c r="K58" s="14" t="n"/>
      <c r="L58" s="14" t="n"/>
      <c r="M58" s="151" t="n"/>
      <c r="N58" s="14">
        <f>O57</f>
        <v/>
      </c>
      <c r="O58" s="14" t="n">
        <v>70262</v>
      </c>
      <c r="P58" s="151">
        <f>O58-N58</f>
        <v/>
      </c>
      <c r="Q58" s="84" t="n"/>
      <c r="R58" s="42">
        <f>R56+1</f>
        <v/>
      </c>
      <c r="S58" s="24" t="inlineStr">
        <is>
          <t>DAY</t>
        </is>
      </c>
      <c r="T58" s="14">
        <f>U57</f>
        <v/>
      </c>
      <c r="U58" s="14" t="n">
        <v>3387</v>
      </c>
      <c r="V58" s="14">
        <f>U58-T58</f>
        <v/>
      </c>
      <c r="W58" s="3" t="n"/>
      <c r="X58" s="3" t="n"/>
      <c r="Y58" s="3" t="n"/>
      <c r="Z58" s="4" t="n"/>
      <c r="AA58" s="50" t="n"/>
      <c r="AB58" s="14" t="n"/>
      <c r="AC58" s="14" t="n"/>
      <c r="AD58" s="151" t="n"/>
      <c r="AE58" s="85">
        <f>AF57</f>
        <v/>
      </c>
      <c r="AF58" s="14" t="n">
        <v>54702</v>
      </c>
      <c r="AG58" s="151">
        <f>AF58-AE58</f>
        <v/>
      </c>
    </row>
    <row r="59">
      <c r="A59" s="42">
        <f>A58</f>
        <v/>
      </c>
      <c r="B59" s="24" t="inlineStr">
        <is>
          <t>NIGHT</t>
        </is>
      </c>
      <c r="C59" s="14">
        <f>D58</f>
        <v/>
      </c>
      <c r="D59" s="14" t="n">
        <v>4988</v>
      </c>
      <c r="E59" s="14">
        <f>D59-C59</f>
        <v/>
      </c>
      <c r="F59" s="3" t="n">
        <v>301</v>
      </c>
      <c r="G59" s="3" t="n">
        <v>4983</v>
      </c>
      <c r="H59" s="3">
        <f>G59-G56</f>
        <v/>
      </c>
      <c r="I59" s="34">
        <f>F59/H59</f>
        <v/>
      </c>
      <c r="J59" s="50" t="n"/>
      <c r="K59" s="14" t="n"/>
      <c r="L59" s="14" t="n"/>
      <c r="M59" s="151" t="n"/>
      <c r="N59" s="14">
        <f>O58</f>
        <v/>
      </c>
      <c r="O59" s="14" t="n">
        <v>70350</v>
      </c>
      <c r="P59" s="151">
        <f>O59-N59</f>
        <v/>
      </c>
      <c r="Q59" s="84" t="n"/>
      <c r="R59" s="42">
        <f>R58</f>
        <v/>
      </c>
      <c r="S59" s="24" t="inlineStr">
        <is>
          <t>NIGHT</t>
        </is>
      </c>
      <c r="T59" s="14">
        <f>U58</f>
        <v/>
      </c>
      <c r="U59" s="14" t="n">
        <v>3394</v>
      </c>
      <c r="V59" s="14">
        <f>U59-T59</f>
        <v/>
      </c>
      <c r="W59" s="3" t="n"/>
      <c r="X59" s="3" t="n"/>
      <c r="Y59" s="3" t="n"/>
      <c r="Z59" s="4" t="n"/>
      <c r="AA59" s="50" t="n"/>
      <c r="AB59" s="14" t="n"/>
      <c r="AC59" s="14" t="n"/>
      <c r="AD59" s="151" t="n"/>
      <c r="AE59" s="85">
        <f>AF58</f>
        <v/>
      </c>
      <c r="AF59" s="14" t="n">
        <v>54825</v>
      </c>
      <c r="AG59" s="151">
        <f>AF59-AE59</f>
        <v/>
      </c>
    </row>
    <row r="60">
      <c r="A60" s="42">
        <f>A58+1</f>
        <v/>
      </c>
      <c r="B60" s="24" t="inlineStr">
        <is>
          <t>DAY</t>
        </is>
      </c>
      <c r="C60" s="14">
        <f>D59</f>
        <v/>
      </c>
      <c r="D60" s="88" t="n">
        <v>4996</v>
      </c>
      <c r="E60" s="88">
        <f>D60-C60</f>
        <v/>
      </c>
      <c r="F60" s="89" t="n"/>
      <c r="G60" s="89" t="n"/>
      <c r="H60" s="89" t="n"/>
      <c r="I60" s="90" t="n"/>
      <c r="J60" s="91" t="n"/>
      <c r="K60" s="88" t="n"/>
      <c r="L60" s="88" t="n"/>
      <c r="M60" s="92" t="n"/>
      <c r="N60" s="14">
        <f>O59</f>
        <v/>
      </c>
      <c r="O60" s="88" t="n">
        <v>70476</v>
      </c>
      <c r="P60" s="151">
        <f>O60-N60</f>
        <v/>
      </c>
      <c r="Q60" s="84" t="n"/>
      <c r="R60" s="42">
        <f>R58+1</f>
        <v/>
      </c>
      <c r="S60" s="24" t="inlineStr">
        <is>
          <t>DAY</t>
        </is>
      </c>
      <c r="T60" s="14">
        <f>U59</f>
        <v/>
      </c>
      <c r="U60" s="88" t="n">
        <v>3400</v>
      </c>
      <c r="V60" s="88">
        <f>U60-T60</f>
        <v/>
      </c>
      <c r="W60" s="89" t="n">
        <v>200</v>
      </c>
      <c r="X60" s="89" t="n">
        <v>3397</v>
      </c>
      <c r="Y60" s="89">
        <f>X60-X56</f>
        <v/>
      </c>
      <c r="Z60" s="90">
        <f>W60/Y60</f>
        <v/>
      </c>
      <c r="AA60" s="91" t="n"/>
      <c r="AB60" s="88" t="n"/>
      <c r="AC60" s="88" t="n"/>
      <c r="AD60" s="92" t="n"/>
      <c r="AE60" s="85">
        <f>AF59</f>
        <v/>
      </c>
      <c r="AF60" s="14" t="n">
        <v>54858</v>
      </c>
      <c r="AG60" s="151">
        <f>AF60-AE60</f>
        <v/>
      </c>
    </row>
    <row r="61">
      <c r="A61" s="42">
        <f>A60</f>
        <v/>
      </c>
      <c r="B61" s="24" t="inlineStr">
        <is>
          <t>NIGHT</t>
        </is>
      </c>
      <c r="C61" s="14">
        <f>D60</f>
        <v/>
      </c>
      <c r="D61" s="88" t="n">
        <v>5006</v>
      </c>
      <c r="E61" s="88">
        <f>D61-C61</f>
        <v/>
      </c>
      <c r="F61" s="89" t="n"/>
      <c r="G61" s="89" t="n"/>
      <c r="H61" s="89" t="n"/>
      <c r="I61" s="90" t="n"/>
      <c r="J61" s="91" t="n"/>
      <c r="K61" s="88" t="n"/>
      <c r="L61" s="88" t="n"/>
      <c r="M61" s="92" t="n"/>
      <c r="N61" s="14">
        <f>O60</f>
        <v/>
      </c>
      <c r="O61" s="88" t="n">
        <v>70637</v>
      </c>
      <c r="P61" s="151">
        <f>O61-N61</f>
        <v/>
      </c>
      <c r="Q61" s="84" t="n"/>
      <c r="R61" s="42">
        <f>R60</f>
        <v/>
      </c>
      <c r="S61" s="24" t="inlineStr">
        <is>
          <t>NIGHT</t>
        </is>
      </c>
      <c r="T61" s="14">
        <f>U60</f>
        <v/>
      </c>
      <c r="U61" s="88" t="n">
        <v>3403</v>
      </c>
      <c r="V61" s="88">
        <f>U61-T61</f>
        <v/>
      </c>
      <c r="W61" s="89" t="n"/>
      <c r="X61" s="89" t="n"/>
      <c r="Y61" s="89" t="n"/>
      <c r="Z61" s="90" t="n"/>
      <c r="AA61" s="91" t="n"/>
      <c r="AB61" s="88" t="n"/>
      <c r="AC61" s="88" t="n"/>
      <c r="AD61" s="92" t="n"/>
      <c r="AE61" s="85">
        <f>AF60</f>
        <v/>
      </c>
      <c r="AF61" s="14" t="n">
        <v>54910</v>
      </c>
      <c r="AG61" s="151">
        <f>AF61-AE61</f>
        <v/>
      </c>
    </row>
    <row r="62">
      <c r="A62" s="42">
        <f>A60+1</f>
        <v/>
      </c>
      <c r="B62" s="24" t="inlineStr">
        <is>
          <t>DAY</t>
        </is>
      </c>
      <c r="C62" s="14">
        <f>D61</f>
        <v/>
      </c>
      <c r="D62" s="88" t="n">
        <v>5016</v>
      </c>
      <c r="E62" s="88">
        <f>D62-C62</f>
        <v/>
      </c>
      <c r="F62" s="89" t="n">
        <v>400</v>
      </c>
      <c r="G62" s="89" t="n">
        <v>5017</v>
      </c>
      <c r="H62" s="89">
        <f>G62-G59</f>
        <v/>
      </c>
      <c r="I62" s="90">
        <f>F62/H62</f>
        <v/>
      </c>
      <c r="J62" s="91" t="n"/>
      <c r="K62" s="88" t="n"/>
      <c r="L62" s="88" t="n"/>
      <c r="M62" s="92" t="n"/>
      <c r="N62" s="14">
        <f>O61</f>
        <v/>
      </c>
      <c r="O62" s="88" t="n">
        <v>70745</v>
      </c>
      <c r="P62" s="151">
        <f>O62-N62</f>
        <v/>
      </c>
      <c r="Q62" s="84" t="n"/>
      <c r="R62" s="42">
        <f>R60+1</f>
        <v/>
      </c>
      <c r="S62" s="24" t="inlineStr">
        <is>
          <t>DAY</t>
        </is>
      </c>
      <c r="T62" s="14">
        <f>U61</f>
        <v/>
      </c>
      <c r="U62" s="88" t="n">
        <v>3409</v>
      </c>
      <c r="V62" s="88">
        <f>U62-T62</f>
        <v/>
      </c>
      <c r="W62" s="89" t="n"/>
      <c r="X62" s="89" t="n"/>
      <c r="Y62" s="89" t="n"/>
      <c r="Z62" s="90" t="n"/>
      <c r="AA62" s="91" t="n"/>
      <c r="AB62" s="88" t="n"/>
      <c r="AC62" s="88" t="n"/>
      <c r="AD62" s="92" t="n"/>
      <c r="AE62" s="85">
        <f>AF61</f>
        <v/>
      </c>
      <c r="AF62" s="14" t="n">
        <v>55014</v>
      </c>
      <c r="AG62" s="151">
        <f>AF62-AE62</f>
        <v/>
      </c>
    </row>
    <row r="63" ht="15.75" customHeight="1" thickBot="1">
      <c r="A63" s="42">
        <f>A62</f>
        <v/>
      </c>
      <c r="B63" s="24" t="inlineStr">
        <is>
          <t>NIGHT</t>
        </is>
      </c>
      <c r="C63" s="14">
        <f>D62</f>
        <v/>
      </c>
      <c r="D63" s="88" t="n">
        <v>5023</v>
      </c>
      <c r="E63" s="88">
        <f>D63-C63</f>
        <v/>
      </c>
      <c r="F63" s="89" t="n"/>
      <c r="G63" s="89" t="n"/>
      <c r="H63" s="89" t="n"/>
      <c r="I63" s="90" t="n"/>
      <c r="J63" s="91" t="n"/>
      <c r="K63" s="88" t="n"/>
      <c r="L63" s="88" t="n"/>
      <c r="M63" s="92" t="n"/>
      <c r="N63" s="14">
        <f>O62</f>
        <v/>
      </c>
      <c r="O63" s="88" t="n">
        <v>70859</v>
      </c>
      <c r="P63" s="151">
        <f>O63-N63</f>
        <v/>
      </c>
      <c r="Q63" s="84" t="n"/>
      <c r="R63" s="42">
        <f>R62</f>
        <v/>
      </c>
      <c r="S63" s="24" t="inlineStr">
        <is>
          <t>NIGHT</t>
        </is>
      </c>
      <c r="T63" s="14">
        <f>U62</f>
        <v/>
      </c>
      <c r="U63" s="88" t="n">
        <v>3413</v>
      </c>
      <c r="V63" s="88">
        <f>U63-T63</f>
        <v/>
      </c>
      <c r="W63" s="89" t="n"/>
      <c r="X63" s="89" t="n"/>
      <c r="Y63" s="89" t="n"/>
      <c r="Z63" s="90" t="n"/>
      <c r="AA63" s="91" t="n"/>
      <c r="AB63" s="88" t="n"/>
      <c r="AC63" s="88" t="n"/>
      <c r="AD63" s="92" t="n"/>
      <c r="AE63" s="85">
        <f>AF62</f>
        <v/>
      </c>
      <c r="AF63" s="14" t="n">
        <v>55075</v>
      </c>
      <c r="AG63" s="151">
        <f>AF63-AE63</f>
        <v/>
      </c>
    </row>
    <row r="64">
      <c r="A64" s="153" t="inlineStr">
        <is>
          <t>TOTAL HMR</t>
        </is>
      </c>
      <c r="B64" s="154" t="n"/>
      <c r="C64" s="154" t="n"/>
      <c r="D64" s="155" t="n"/>
      <c r="E64" s="74">
        <f>SUBTOTAL(9,E4:E63)</f>
        <v/>
      </c>
      <c r="F64" s="74">
        <f>SUBTOTAL(9,F4:F63)</f>
        <v/>
      </c>
      <c r="G64" s="74" t="n"/>
      <c r="H64" s="74">
        <f>SUBTOTAL(9,H4:H63)</f>
        <v/>
      </c>
      <c r="I64" s="59">
        <f>F64/H64</f>
        <v/>
      </c>
      <c r="J64" s="56" t="n"/>
      <c r="K64" s="57" t="n"/>
      <c r="L64" s="83">
        <f>SUM(L4:L59)</f>
        <v/>
      </c>
      <c r="M64" s="58" t="n"/>
      <c r="N64" s="63" t="n"/>
      <c r="O64" s="60" t="n"/>
      <c r="P64" s="74">
        <f>SUBTOTAL(9,P4:P63)</f>
        <v/>
      </c>
      <c r="R64" s="153" t="inlineStr">
        <is>
          <t>TOTAL HMR</t>
        </is>
      </c>
      <c r="S64" s="154" t="n"/>
      <c r="T64" s="154" t="n"/>
      <c r="U64" s="155" t="n"/>
      <c r="V64" s="74">
        <f>SUBTOTAL(9,V4:V63)</f>
        <v/>
      </c>
      <c r="W64" s="74">
        <f>SUBTOTAL(9,W4:W63)</f>
        <v/>
      </c>
      <c r="X64" s="74" t="n"/>
      <c r="Y64" s="74">
        <f>SUBTOTAL(9,Y4:Y63)</f>
        <v/>
      </c>
      <c r="Z64" s="59">
        <f>W64/Y64</f>
        <v/>
      </c>
      <c r="AA64" s="56" t="n"/>
      <c r="AB64" s="57" t="n"/>
      <c r="AC64" s="83" t="n">
        <v>0.3888888888888889</v>
      </c>
      <c r="AD64" s="58" t="n"/>
      <c r="AE64" s="63" t="n"/>
      <c r="AF64" s="1" t="n"/>
      <c r="AG64" s="74">
        <f>SUBTOTAL(9,AG4:AG63)</f>
        <v/>
      </c>
    </row>
    <row r="65">
      <c r="A65" s="144" t="inlineStr">
        <is>
          <t>FIX HMR INVOICE NO….........................</t>
        </is>
      </c>
      <c r="B65" s="145" t="n"/>
      <c r="C65" s="145" t="n"/>
      <c r="D65" s="146" t="n"/>
      <c r="E65" s="73" t="n">
        <v>520</v>
      </c>
      <c r="F65" s="22" t="n"/>
      <c r="G65" s="22" t="n"/>
      <c r="H65" s="22" t="n"/>
      <c r="I65" s="23">
        <f>F64/E64</f>
        <v/>
      </c>
      <c r="J65" s="38" t="n"/>
      <c r="K65" s="23" t="n"/>
      <c r="L65" s="23" t="n"/>
      <c r="M65" s="39" t="n"/>
      <c r="N65" s="64" t="n"/>
      <c r="O65" s="23" t="n"/>
      <c r="P65" s="39" t="n"/>
      <c r="R65" s="144" t="inlineStr">
        <is>
          <t>FIX HMR INVOICE NO….........................</t>
        </is>
      </c>
      <c r="S65" s="145" t="n"/>
      <c r="T65" s="145" t="n"/>
      <c r="U65" s="146" t="n"/>
      <c r="V65" s="73" t="n">
        <v>520</v>
      </c>
      <c r="W65" s="22" t="n"/>
      <c r="X65" s="22" t="n"/>
      <c r="Y65" s="22" t="n"/>
      <c r="Z65" s="23">
        <f>W64/V64</f>
        <v/>
      </c>
      <c r="AA65" s="38" t="n"/>
      <c r="AB65" s="23" t="n"/>
      <c r="AC65" s="23" t="n"/>
      <c r="AD65" s="39" t="n"/>
      <c r="AE65" s="64" t="n"/>
      <c r="AF65" s="64" t="n"/>
      <c r="AG65" s="39" t="n"/>
    </row>
    <row r="66" ht="15.75" customHeight="1" thickBot="1">
      <c r="A66" s="141" t="inlineStr">
        <is>
          <t>EXTRA HMR INVOICE NO. …..................</t>
        </is>
      </c>
      <c r="B66" s="142" t="n"/>
      <c r="C66" s="142" t="n"/>
      <c r="D66" s="143" t="n"/>
      <c r="E66" s="27">
        <f>IF(E64-E65&lt;0,0,E64-E65)</f>
        <v/>
      </c>
      <c r="F66" s="27" t="n"/>
      <c r="G66" s="27" t="n"/>
      <c r="H66" s="27" t="n"/>
      <c r="I66" s="45" t="n"/>
      <c r="J66" s="141" t="n"/>
      <c r="K66" s="27" t="n"/>
      <c r="L66" s="27" t="n"/>
      <c r="M66" s="21" t="n"/>
      <c r="N66" s="65" t="n"/>
      <c r="O66" s="27" t="n"/>
      <c r="P66" s="21" t="n"/>
      <c r="R66" s="141" t="inlineStr">
        <is>
          <t>EXTRA HMR INVOICE NO. …..................</t>
        </is>
      </c>
      <c r="S66" s="142" t="n"/>
      <c r="T66" s="142" t="n"/>
      <c r="U66" s="143" t="n"/>
      <c r="V66" s="27">
        <f>IF(V64-V65&lt;0,0,V64-V65)</f>
        <v/>
      </c>
      <c r="W66" s="27" t="n"/>
      <c r="X66" s="27" t="n"/>
      <c r="Y66" s="27" t="n"/>
      <c r="Z66" s="27" t="n"/>
      <c r="AA66" s="141" t="n"/>
      <c r="AB66" s="27" t="n"/>
      <c r="AC66" s="27" t="n"/>
      <c r="AD66" s="21" t="n"/>
      <c r="AE66" s="65" t="n"/>
      <c r="AF66" s="65" t="n"/>
      <c r="AG66" s="21" t="n"/>
    </row>
  </sheetData>
  <mergeCells count="8">
    <mergeCell ref="R66:U66"/>
    <mergeCell ref="R65:U65"/>
    <mergeCell ref="A1:M1"/>
    <mergeCell ref="A64:D64"/>
    <mergeCell ref="R64:U64"/>
    <mergeCell ref="A65:D65"/>
    <mergeCell ref="R1:AD1"/>
    <mergeCell ref="A66:D66"/>
  </mergeCell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G68"/>
  <sheetViews>
    <sheetView zoomScale="85" zoomScaleNormal="85" workbookViewId="0">
      <pane xSplit="1" ySplit="3" topLeftCell="B56" activePane="bottomRight" state="frozen"/>
      <selection pane="topRight" activeCell="B1" sqref="B1"/>
      <selection pane="bottomLeft" activeCell="A4" sqref="A4"/>
      <selection pane="bottomRight" activeCell="G71" sqref="G71"/>
    </sheetView>
  </sheetViews>
  <sheetFormatPr baseColWidth="8" defaultRowHeight="15"/>
  <cols>
    <col width="10.5703125" bestFit="1" customWidth="1" min="10" max="10"/>
    <col width="17.140625" bestFit="1" customWidth="1" min="13" max="13"/>
    <col width="14.5703125" bestFit="1" customWidth="1" min="30" max="30"/>
  </cols>
  <sheetData>
    <row r="1" ht="24" customHeight="1" thickBot="1">
      <c r="A1" s="147" t="inlineStr">
        <is>
          <t>SANY-2025-650 Ltr (RS-02)</t>
        </is>
      </c>
      <c r="B1" s="148" t="n"/>
      <c r="C1" s="148" t="n"/>
      <c r="D1" s="148" t="n"/>
      <c r="E1" s="148" t="n"/>
      <c r="F1" s="148" t="n"/>
      <c r="G1" s="148" t="n"/>
      <c r="H1" s="148" t="n"/>
      <c r="I1" s="148" t="n"/>
      <c r="J1" s="148" t="n"/>
      <c r="K1" s="148" t="n"/>
      <c r="L1" s="148" t="n"/>
      <c r="M1" s="148" t="n"/>
      <c r="N1" s="25" t="n"/>
      <c r="O1" s="25" t="n"/>
      <c r="P1" s="25" t="n"/>
      <c r="R1" s="147" t="inlineStr">
        <is>
          <t>Hyster-2025 (RS-03)</t>
        </is>
      </c>
      <c r="S1" s="148" t="n"/>
      <c r="T1" s="148" t="n"/>
      <c r="U1" s="148" t="n"/>
      <c r="V1" s="148" t="n"/>
      <c r="W1" s="148" t="n"/>
      <c r="X1" s="148" t="n"/>
      <c r="Y1" s="148" t="n"/>
      <c r="Z1" s="148" t="n"/>
      <c r="AA1" s="148" t="n"/>
      <c r="AB1" s="148" t="n"/>
      <c r="AC1" s="148" t="n"/>
      <c r="AD1" s="148" t="n"/>
    </row>
    <row r="2" ht="63.75" customHeight="1" thickBot="1">
      <c r="A2" s="28" t="inlineStr">
        <is>
          <t>DATE</t>
        </is>
      </c>
      <c r="B2" s="40" t="inlineStr">
        <is>
          <t>SHIFT</t>
        </is>
      </c>
      <c r="C2" s="29" t="inlineStr">
        <is>
          <t>START HMR</t>
        </is>
      </c>
      <c r="D2" s="29" t="inlineStr">
        <is>
          <t>END HMR</t>
        </is>
      </c>
      <c r="E2" s="29" t="inlineStr">
        <is>
          <t>WORKING HMR</t>
        </is>
      </c>
      <c r="F2" s="29" t="inlineStr">
        <is>
          <t>DIESEL RECEIVED</t>
        </is>
      </c>
      <c r="G2" s="29" t="inlineStr">
        <is>
          <t>HMR</t>
        </is>
      </c>
      <c r="H2" s="29" t="inlineStr">
        <is>
          <t>Diesel filling Hours</t>
        </is>
      </c>
      <c r="I2" s="30" t="inlineStr">
        <is>
          <t>Average</t>
        </is>
      </c>
      <c r="J2" s="28" t="inlineStr">
        <is>
          <t>B/D Start Time</t>
        </is>
      </c>
      <c r="K2" s="29" t="inlineStr">
        <is>
          <t>B/D End Time</t>
        </is>
      </c>
      <c r="L2" s="29" t="inlineStr">
        <is>
          <t>Total B/D Hours</t>
        </is>
      </c>
      <c r="M2" s="30" t="inlineStr">
        <is>
          <t>B/D Reason</t>
        </is>
      </c>
      <c r="N2" s="46" t="inlineStr">
        <is>
          <t>Start Conatiner</t>
        </is>
      </c>
      <c r="O2" s="47" t="inlineStr">
        <is>
          <t>End Conatiner</t>
        </is>
      </c>
      <c r="P2" s="48" t="inlineStr">
        <is>
          <t>Per Day Container Count</t>
        </is>
      </c>
      <c r="R2" s="28" t="inlineStr">
        <is>
          <t>DATE</t>
        </is>
      </c>
      <c r="S2" s="40" t="inlineStr">
        <is>
          <t>SHIFT</t>
        </is>
      </c>
      <c r="T2" s="29" t="inlineStr">
        <is>
          <t>START HMR</t>
        </is>
      </c>
      <c r="U2" s="29" t="inlineStr">
        <is>
          <t>END HMR</t>
        </is>
      </c>
      <c r="V2" s="29" t="inlineStr">
        <is>
          <t>WORKING HMR</t>
        </is>
      </c>
      <c r="W2" s="29" t="inlineStr">
        <is>
          <t>DIESEL RECEIVED</t>
        </is>
      </c>
      <c r="X2" s="29" t="inlineStr">
        <is>
          <t>HMR</t>
        </is>
      </c>
      <c r="Y2" s="29" t="inlineStr">
        <is>
          <t>Diesel filling Hours</t>
        </is>
      </c>
      <c r="Z2" s="29" t="inlineStr">
        <is>
          <t>Average</t>
        </is>
      </c>
      <c r="AA2" s="28" t="inlineStr">
        <is>
          <t>B/D Start Time</t>
        </is>
      </c>
      <c r="AB2" s="29" t="inlineStr">
        <is>
          <t>B/D End Time</t>
        </is>
      </c>
      <c r="AC2" s="29" t="inlineStr">
        <is>
          <t>Total B/D Hours</t>
        </is>
      </c>
      <c r="AD2" s="30" t="inlineStr">
        <is>
          <t>B/D Reason</t>
        </is>
      </c>
      <c r="AE2" s="46" t="inlineStr">
        <is>
          <t>Start Conatiner</t>
        </is>
      </c>
      <c r="AF2" s="47" t="inlineStr">
        <is>
          <t>End Conatiner</t>
        </is>
      </c>
      <c r="AG2" s="48" t="inlineStr">
        <is>
          <t>Per Day Container Count</t>
        </is>
      </c>
    </row>
    <row r="3" ht="15.75" customHeight="1">
      <c r="A3" s="17" t="inlineStr">
        <is>
          <t>Prev</t>
        </is>
      </c>
      <c r="B3" s="8" t="n"/>
      <c r="C3" s="2" t="n"/>
      <c r="D3" s="2" t="n"/>
      <c r="E3" s="2" t="n"/>
      <c r="F3" s="6" t="n"/>
      <c r="G3" s="6" t="n">
        <v>5017</v>
      </c>
      <c r="H3" s="6" t="n"/>
      <c r="I3" s="18" t="n"/>
      <c r="J3" s="31" t="n"/>
      <c r="K3" s="6" t="n"/>
      <c r="L3" s="6" t="n"/>
      <c r="M3" s="18" t="n"/>
      <c r="N3" s="31" t="n"/>
      <c r="O3" s="6" t="n"/>
      <c r="P3" s="18" t="n"/>
      <c r="Q3" s="13" t="n"/>
      <c r="R3" s="17" t="inlineStr">
        <is>
          <t>Prev</t>
        </is>
      </c>
      <c r="S3" s="8" t="n"/>
      <c r="T3" s="2" t="n"/>
      <c r="U3" s="2" t="n"/>
      <c r="V3" s="2" t="n"/>
      <c r="W3" s="6" t="n"/>
      <c r="X3" s="6" t="n">
        <v>3397</v>
      </c>
      <c r="Y3" s="6" t="n"/>
      <c r="Z3" s="6" t="n"/>
      <c r="AA3" s="31" t="n"/>
      <c r="AB3" s="6" t="n"/>
      <c r="AC3" s="6" t="n"/>
      <c r="AD3" s="18" t="n"/>
      <c r="AE3" s="31" t="n"/>
      <c r="AF3" s="6" t="n"/>
      <c r="AG3" s="18" t="n"/>
    </row>
    <row r="4">
      <c r="A4" s="42" t="n">
        <v>46143</v>
      </c>
      <c r="B4" s="24" t="inlineStr">
        <is>
          <t>DAY</t>
        </is>
      </c>
      <c r="C4" s="88" t="n">
        <v>5023</v>
      </c>
      <c r="D4" s="14" t="n">
        <v>5035</v>
      </c>
      <c r="E4" s="14">
        <f>D4-C4</f>
        <v/>
      </c>
      <c r="F4" s="3" t="n"/>
      <c r="G4" s="3" t="n"/>
      <c r="H4" s="3" t="n"/>
      <c r="I4" s="34" t="n"/>
      <c r="J4" s="32" t="n"/>
      <c r="K4" s="3" t="n"/>
      <c r="L4" s="3" t="n"/>
      <c r="M4" s="19" t="n"/>
      <c r="N4" s="88" t="n">
        <v>70859</v>
      </c>
      <c r="O4" s="14" t="n">
        <v>71074</v>
      </c>
      <c r="P4" s="151">
        <f>O4-N4</f>
        <v/>
      </c>
      <c r="Q4" s="84" t="n"/>
      <c r="R4" s="42" t="n">
        <v>46143</v>
      </c>
      <c r="S4" s="24" t="inlineStr">
        <is>
          <t>DAY</t>
        </is>
      </c>
      <c r="T4" s="88" t="n">
        <v>3413</v>
      </c>
      <c r="U4" s="14" t="n">
        <v>3418</v>
      </c>
      <c r="V4" s="14">
        <f>U4-T4</f>
        <v/>
      </c>
      <c r="W4" s="3" t="n">
        <v>300</v>
      </c>
      <c r="X4" s="3" t="n">
        <v>3416</v>
      </c>
      <c r="Y4" s="3">
        <f>X4-X3</f>
        <v/>
      </c>
      <c r="Z4" s="4">
        <f>W4/Y4</f>
        <v/>
      </c>
      <c r="AA4" s="32" t="n"/>
      <c r="AB4" s="3" t="n"/>
      <c r="AC4" s="3" t="n"/>
      <c r="AD4" s="19" t="n"/>
      <c r="AE4" s="14" t="n">
        <v>55075</v>
      </c>
      <c r="AF4" s="14" t="n">
        <v>55127</v>
      </c>
      <c r="AG4" s="151">
        <f>AF4-AE4</f>
        <v/>
      </c>
    </row>
    <row r="5">
      <c r="A5" s="42">
        <f>A4</f>
        <v/>
      </c>
      <c r="B5" s="24" t="inlineStr">
        <is>
          <t>NIGHT</t>
        </is>
      </c>
      <c r="C5" s="14">
        <f>D4</f>
        <v/>
      </c>
      <c r="D5" s="14" t="n">
        <v>5041</v>
      </c>
      <c r="E5" s="14">
        <f>D5-C5</f>
        <v/>
      </c>
      <c r="F5" s="3" t="n"/>
      <c r="G5" s="3" t="n"/>
      <c r="H5" s="3" t="n"/>
      <c r="I5" s="34" t="n"/>
      <c r="J5" s="32" t="n"/>
      <c r="K5" s="3" t="n"/>
      <c r="L5" s="3" t="n"/>
      <c r="M5" s="19" t="n"/>
      <c r="N5" s="14">
        <f>O4</f>
        <v/>
      </c>
      <c r="O5" s="14" t="n">
        <v>71146</v>
      </c>
      <c r="P5" s="151">
        <f>O5-N5</f>
        <v/>
      </c>
      <c r="Q5" s="84" t="n"/>
      <c r="R5" s="42">
        <f>R4</f>
        <v/>
      </c>
      <c r="S5" s="24" t="inlineStr">
        <is>
          <t>NIGHT</t>
        </is>
      </c>
      <c r="T5" s="14">
        <f>U4</f>
        <v/>
      </c>
      <c r="U5" s="14" t="n">
        <v>3423</v>
      </c>
      <c r="V5" s="14">
        <f>U5-T5</f>
        <v/>
      </c>
      <c r="W5" s="3" t="n"/>
      <c r="X5" s="3" t="n"/>
      <c r="Y5" s="3" t="n"/>
      <c r="Z5" s="4" t="n"/>
      <c r="AA5" s="32" t="n"/>
      <c r="AB5" s="3" t="n"/>
      <c r="AC5" s="3" t="n"/>
      <c r="AD5" s="19" t="n"/>
      <c r="AE5" s="85">
        <f>AF4</f>
        <v/>
      </c>
      <c r="AF5" s="14" t="n">
        <v>55190</v>
      </c>
      <c r="AG5" s="151">
        <f>AF5-AE5</f>
        <v/>
      </c>
    </row>
    <row r="6">
      <c r="A6" s="42">
        <f>A4+1</f>
        <v/>
      </c>
      <c r="B6" s="24" t="inlineStr">
        <is>
          <t>DAY</t>
        </is>
      </c>
      <c r="C6" s="14">
        <f>D5</f>
        <v/>
      </c>
      <c r="D6" s="14" t="n">
        <v>5045</v>
      </c>
      <c r="E6" s="14">
        <f>D6-C6</f>
        <v/>
      </c>
      <c r="F6" s="3" t="n">
        <v>302</v>
      </c>
      <c r="G6" s="3" t="n">
        <v>5041</v>
      </c>
      <c r="H6" s="3">
        <f>G6-G3</f>
        <v/>
      </c>
      <c r="I6" s="34">
        <f>F6/H6</f>
        <v/>
      </c>
      <c r="J6" s="33" t="n"/>
      <c r="K6" s="4" t="n"/>
      <c r="L6" s="4" t="n"/>
      <c r="M6" s="34" t="n"/>
      <c r="N6" s="14">
        <f>O5</f>
        <v/>
      </c>
      <c r="O6" s="14" t="n">
        <v>71180</v>
      </c>
      <c r="P6" s="151">
        <f>O6-N6</f>
        <v/>
      </c>
      <c r="Q6" s="84" t="n"/>
      <c r="R6" s="42">
        <f>R4+1</f>
        <v/>
      </c>
      <c r="S6" s="24" t="inlineStr">
        <is>
          <t>DAY</t>
        </is>
      </c>
      <c r="T6" s="14">
        <f>U5</f>
        <v/>
      </c>
      <c r="U6" s="14" t="n">
        <v>3427</v>
      </c>
      <c r="V6" s="14">
        <f>U6-T6</f>
        <v/>
      </c>
      <c r="W6" s="3" t="n">
        <v>300</v>
      </c>
      <c r="X6" s="3" t="n">
        <v>3424</v>
      </c>
      <c r="Y6" s="3">
        <f>X6-X4</f>
        <v/>
      </c>
      <c r="Z6" s="4">
        <f>W6/Y6</f>
        <v/>
      </c>
      <c r="AA6" s="33" t="n"/>
      <c r="AB6" s="4" t="n"/>
      <c r="AC6" s="4" t="n"/>
      <c r="AD6" s="34" t="n"/>
      <c r="AE6" s="85">
        <f>AF5</f>
        <v/>
      </c>
      <c r="AF6" s="14" t="n">
        <v>55249</v>
      </c>
      <c r="AG6" s="151">
        <f>AF6-AE6</f>
        <v/>
      </c>
    </row>
    <row r="7">
      <c r="A7" s="42">
        <f>A6</f>
        <v/>
      </c>
      <c r="B7" s="24" t="inlineStr">
        <is>
          <t>NIGHT</t>
        </is>
      </c>
      <c r="C7" s="14">
        <f>D6</f>
        <v/>
      </c>
      <c r="D7" s="14" t="n">
        <v>5049</v>
      </c>
      <c r="E7" s="14">
        <f>D7-C7</f>
        <v/>
      </c>
      <c r="F7" s="3" t="n"/>
      <c r="G7" s="3" t="n"/>
      <c r="H7" s="3" t="n"/>
      <c r="I7" s="34" t="n"/>
      <c r="J7" s="33" t="n"/>
      <c r="K7" s="4" t="n"/>
      <c r="L7" s="4" t="n"/>
      <c r="M7" s="34" t="n"/>
      <c r="N7" s="14">
        <f>O6</f>
        <v/>
      </c>
      <c r="O7" s="14" t="n">
        <v>71241</v>
      </c>
      <c r="P7" s="151">
        <f>O7-N7</f>
        <v/>
      </c>
      <c r="Q7" s="84" t="n"/>
      <c r="R7" s="42">
        <f>R6</f>
        <v/>
      </c>
      <c r="S7" s="24" t="inlineStr">
        <is>
          <t>NIGHT</t>
        </is>
      </c>
      <c r="T7" s="14">
        <f>U6</f>
        <v/>
      </c>
      <c r="U7" s="14" t="n">
        <v>3433</v>
      </c>
      <c r="V7" s="14">
        <f>U7-T7</f>
        <v/>
      </c>
      <c r="W7" s="3" t="n"/>
      <c r="X7" s="3" t="n"/>
      <c r="Y7" s="3" t="n"/>
      <c r="Z7" s="4" t="n"/>
      <c r="AA7" s="33" t="n"/>
      <c r="AB7" s="4" t="n"/>
      <c r="AC7" s="4" t="n"/>
      <c r="AD7" s="34" t="n"/>
      <c r="AE7" s="85">
        <f>AF6</f>
        <v/>
      </c>
      <c r="AF7" s="14" t="n">
        <v>55393</v>
      </c>
      <c r="AG7" s="151">
        <f>AF7-AE7</f>
        <v/>
      </c>
    </row>
    <row r="8">
      <c r="A8" s="42">
        <f>A6+1</f>
        <v/>
      </c>
      <c r="B8" s="24" t="inlineStr">
        <is>
          <t>DAY</t>
        </is>
      </c>
      <c r="C8" s="14">
        <f>D7</f>
        <v/>
      </c>
      <c r="D8" s="14" t="n">
        <v>5060</v>
      </c>
      <c r="E8" s="14">
        <f>D8-C8</f>
        <v/>
      </c>
      <c r="F8" s="3" t="n"/>
      <c r="G8" s="3" t="n"/>
      <c r="H8" s="3" t="n"/>
      <c r="I8" s="34" t="n"/>
      <c r="J8" s="35" t="n"/>
      <c r="K8" s="15" t="n"/>
      <c r="L8" s="15" t="n"/>
      <c r="M8" s="36" t="n"/>
      <c r="N8" s="14">
        <f>O7</f>
        <v/>
      </c>
      <c r="O8" s="14" t="n">
        <v>71341</v>
      </c>
      <c r="P8" s="151">
        <f>O8-N8</f>
        <v/>
      </c>
      <c r="Q8" s="84" t="n"/>
      <c r="R8" s="42">
        <f>R6+1</f>
        <v/>
      </c>
      <c r="S8" s="24" t="inlineStr">
        <is>
          <t>DAY</t>
        </is>
      </c>
      <c r="T8" s="14">
        <f>U7</f>
        <v/>
      </c>
      <c r="U8" s="14" t="n">
        <v>3436</v>
      </c>
      <c r="V8" s="14">
        <f>U8-T8</f>
        <v/>
      </c>
      <c r="W8" s="3" t="n"/>
      <c r="X8" s="3" t="n"/>
      <c r="Y8" s="3" t="n"/>
      <c r="Z8" s="4" t="n"/>
      <c r="AA8" s="35" t="n"/>
      <c r="AB8" s="15" t="n"/>
      <c r="AC8" s="15" t="n"/>
      <c r="AD8" s="36" t="n"/>
      <c r="AE8" s="85">
        <f>AF7</f>
        <v/>
      </c>
      <c r="AF8" s="14" t="n">
        <v>55393</v>
      </c>
      <c r="AG8" s="151">
        <f>AF8-AE8</f>
        <v/>
      </c>
    </row>
    <row r="9">
      <c r="A9" s="42">
        <f>A8</f>
        <v/>
      </c>
      <c r="B9" s="24" t="inlineStr">
        <is>
          <t>NIGHT</t>
        </is>
      </c>
      <c r="C9" s="14">
        <f>D8</f>
        <v/>
      </c>
      <c r="D9" s="14" t="n">
        <v>5068</v>
      </c>
      <c r="E9" s="14">
        <f>D9-C9</f>
        <v/>
      </c>
      <c r="F9" s="3" t="n"/>
      <c r="G9" s="3" t="n"/>
      <c r="H9" s="3" t="n"/>
      <c r="I9" s="34" t="n"/>
      <c r="J9" s="33" t="n"/>
      <c r="K9" s="4" t="n"/>
      <c r="L9" s="4" t="n"/>
      <c r="M9" s="34" t="n"/>
      <c r="N9" s="14">
        <f>O8</f>
        <v/>
      </c>
      <c r="O9" s="14" t="n">
        <v>71437</v>
      </c>
      <c r="P9" s="151">
        <f>O9-N9</f>
        <v/>
      </c>
      <c r="Q9" s="84" t="n"/>
      <c r="R9" s="42">
        <f>R8</f>
        <v/>
      </c>
      <c r="S9" s="24" t="inlineStr">
        <is>
          <t>NIGHT</t>
        </is>
      </c>
      <c r="T9" s="14">
        <f>U8</f>
        <v/>
      </c>
      <c r="U9" s="14" t="n">
        <v>3439</v>
      </c>
      <c r="V9" s="14">
        <f>U9-T9</f>
        <v/>
      </c>
      <c r="W9" s="3" t="n"/>
      <c r="X9" s="3" t="n"/>
      <c r="Y9" s="3" t="n"/>
      <c r="Z9" s="4" t="n"/>
      <c r="AA9" s="33" t="n"/>
      <c r="AB9" s="4" t="n"/>
      <c r="AC9" s="4" t="n"/>
      <c r="AD9" s="34" t="n"/>
      <c r="AE9" s="85">
        <f>AF8</f>
        <v/>
      </c>
      <c r="AF9" s="85" t="n">
        <v>55449</v>
      </c>
      <c r="AG9" s="151">
        <f>AF9-AE9</f>
        <v/>
      </c>
    </row>
    <row r="10">
      <c r="A10" s="42">
        <f>A8+1</f>
        <v/>
      </c>
      <c r="B10" s="24" t="inlineStr">
        <is>
          <t>DAY</t>
        </is>
      </c>
      <c r="C10" s="14">
        <f>D9</f>
        <v/>
      </c>
      <c r="D10" s="14" t="n">
        <v>5075</v>
      </c>
      <c r="E10" s="14">
        <f>D10-C10</f>
        <v/>
      </c>
      <c r="F10" s="3" t="n">
        <v>260</v>
      </c>
      <c r="G10" s="3" t="n">
        <v>5068</v>
      </c>
      <c r="H10" s="3">
        <f>G10-G6</f>
        <v/>
      </c>
      <c r="I10" s="34">
        <f>F10/H10</f>
        <v/>
      </c>
      <c r="J10" s="32" t="n"/>
      <c r="K10" s="3" t="n"/>
      <c r="L10" s="3" t="n"/>
      <c r="M10" s="19" t="n"/>
      <c r="N10" s="14">
        <f>O9</f>
        <v/>
      </c>
      <c r="O10" s="14" t="n">
        <v>71567</v>
      </c>
      <c r="P10" s="151">
        <f>O10-N10</f>
        <v/>
      </c>
      <c r="Q10" s="84" t="n"/>
      <c r="R10" s="42">
        <f>R8+1</f>
        <v/>
      </c>
      <c r="S10" s="24" t="inlineStr">
        <is>
          <t>DAY</t>
        </is>
      </c>
      <c r="T10" s="14">
        <f>U9</f>
        <v/>
      </c>
      <c r="U10" s="14" t="n">
        <v>3448</v>
      </c>
      <c r="V10" s="14">
        <f>U10-T10</f>
        <v/>
      </c>
      <c r="W10" s="3" t="n"/>
      <c r="X10" s="3" t="n"/>
      <c r="Y10" s="3" t="n"/>
      <c r="Z10" s="4" t="n"/>
      <c r="AA10" s="32" t="n"/>
      <c r="AB10" s="3" t="n"/>
      <c r="AC10" s="3" t="n"/>
      <c r="AD10" s="19" t="n"/>
      <c r="AE10" s="85">
        <f>AF9</f>
        <v/>
      </c>
      <c r="AF10" s="85" t="n">
        <v>55634</v>
      </c>
      <c r="AG10" s="151">
        <f>AF10-AE10</f>
        <v/>
      </c>
    </row>
    <row r="11">
      <c r="A11" s="42">
        <f>A10</f>
        <v/>
      </c>
      <c r="B11" s="24" t="inlineStr">
        <is>
          <t>NIGHT</t>
        </is>
      </c>
      <c r="C11" s="14">
        <f>D10</f>
        <v/>
      </c>
      <c r="D11" s="14" t="n">
        <v>5084</v>
      </c>
      <c r="E11" s="14">
        <f>D11-C11</f>
        <v/>
      </c>
      <c r="F11" s="3" t="n"/>
      <c r="G11" s="3" t="n"/>
      <c r="H11" s="3" t="n"/>
      <c r="I11" s="34" t="n"/>
      <c r="J11" s="32" t="n"/>
      <c r="K11" s="3" t="n"/>
      <c r="L11" s="3" t="n"/>
      <c r="M11" s="19" t="n"/>
      <c r="N11" s="14">
        <f>O10</f>
        <v/>
      </c>
      <c r="O11" s="14" t="n">
        <v>71697</v>
      </c>
      <c r="P11" s="151">
        <f>O11-N11</f>
        <v/>
      </c>
      <c r="Q11" s="84" t="n"/>
      <c r="R11" s="42">
        <f>R10</f>
        <v/>
      </c>
      <c r="S11" s="24" t="inlineStr">
        <is>
          <t>NIGHT</t>
        </is>
      </c>
      <c r="T11" s="14">
        <f>U10</f>
        <v/>
      </c>
      <c r="U11" s="14" t="n">
        <v>3452</v>
      </c>
      <c r="V11" s="14">
        <f>U11-T11</f>
        <v/>
      </c>
      <c r="W11" s="3" t="n"/>
      <c r="X11" s="3" t="n"/>
      <c r="Y11" s="3" t="n"/>
      <c r="Z11" s="4" t="n"/>
      <c r="AA11" s="32" t="n"/>
      <c r="AB11" s="3" t="n"/>
      <c r="AC11" s="3" t="n"/>
      <c r="AD11" s="19" t="n"/>
      <c r="AE11" s="85">
        <f>AF10</f>
        <v/>
      </c>
      <c r="AF11" s="85" t="n">
        <v>55669</v>
      </c>
      <c r="AG11" s="151">
        <f>AF11-AE11</f>
        <v/>
      </c>
    </row>
    <row r="12">
      <c r="A12" s="42">
        <f>A10+1</f>
        <v/>
      </c>
      <c r="B12" s="24" t="inlineStr">
        <is>
          <t>DAY</t>
        </is>
      </c>
      <c r="C12" s="14">
        <f>D11</f>
        <v/>
      </c>
      <c r="D12" s="14" t="n">
        <v>5089</v>
      </c>
      <c r="E12" s="14">
        <f>D12-C12</f>
        <v/>
      </c>
      <c r="F12" s="3" t="n">
        <v>303</v>
      </c>
      <c r="G12" s="3" t="n">
        <v>5088</v>
      </c>
      <c r="H12" s="3">
        <f>G12-G10</f>
        <v/>
      </c>
      <c r="I12" s="34">
        <f>F12/H12</f>
        <v/>
      </c>
      <c r="J12" s="32" t="n"/>
      <c r="K12" s="3" t="n"/>
      <c r="L12" s="3" t="n"/>
      <c r="M12" s="19" t="n"/>
      <c r="N12" s="14">
        <f>O11</f>
        <v/>
      </c>
      <c r="O12" s="14" t="n">
        <v>71783</v>
      </c>
      <c r="P12" s="151">
        <f>O12-N12</f>
        <v/>
      </c>
      <c r="Q12" s="84" t="n"/>
      <c r="R12" s="42">
        <f>R10+1</f>
        <v/>
      </c>
      <c r="S12" s="24" t="inlineStr">
        <is>
          <t>DAY</t>
        </is>
      </c>
      <c r="T12" s="14">
        <f>U11</f>
        <v/>
      </c>
      <c r="U12" s="14" t="n">
        <v>3455</v>
      </c>
      <c r="V12" s="14">
        <f>U12-T12</f>
        <v/>
      </c>
      <c r="W12" s="3" t="n">
        <v>302</v>
      </c>
      <c r="X12" s="3" t="n">
        <v>3455</v>
      </c>
      <c r="Y12" s="3">
        <f>X12-X6</f>
        <v/>
      </c>
      <c r="Z12" s="4">
        <f>W12/Y12</f>
        <v/>
      </c>
      <c r="AA12" s="32" t="n"/>
      <c r="AB12" s="3" t="n"/>
      <c r="AC12" s="3" t="n"/>
      <c r="AD12" s="19" t="n"/>
      <c r="AE12" s="85">
        <f>AF11</f>
        <v/>
      </c>
      <c r="AF12" s="85" t="n">
        <v>55695</v>
      </c>
      <c r="AG12" s="151">
        <f>AF12-AE12</f>
        <v/>
      </c>
    </row>
    <row r="13">
      <c r="A13" s="42">
        <f>A12</f>
        <v/>
      </c>
      <c r="B13" s="24" t="inlineStr">
        <is>
          <t>NIGHT</t>
        </is>
      </c>
      <c r="C13" s="14">
        <f>D12</f>
        <v/>
      </c>
      <c r="D13" s="14" t="n">
        <v>5094</v>
      </c>
      <c r="E13" s="14">
        <f>D13-C13</f>
        <v/>
      </c>
      <c r="F13" s="3" t="n"/>
      <c r="G13" s="3" t="n"/>
      <c r="H13" s="3" t="n"/>
      <c r="I13" s="34" t="n"/>
      <c r="J13" s="33" t="n"/>
      <c r="K13" s="4" t="n"/>
      <c r="L13" s="4" t="n"/>
      <c r="M13" s="34" t="n"/>
      <c r="N13" s="14">
        <f>O12</f>
        <v/>
      </c>
      <c r="O13" s="14" t="n">
        <v>71843</v>
      </c>
      <c r="P13" s="151">
        <f>O13-N13</f>
        <v/>
      </c>
      <c r="Q13" s="84" t="n"/>
      <c r="R13" s="42">
        <f>R12</f>
        <v/>
      </c>
      <c r="S13" s="24" t="inlineStr">
        <is>
          <t>NIGHT</t>
        </is>
      </c>
      <c r="T13" s="14">
        <f>U12</f>
        <v/>
      </c>
      <c r="U13" s="14" t="n">
        <v>3461</v>
      </c>
      <c r="V13" s="14">
        <f>U13-T13</f>
        <v/>
      </c>
      <c r="W13" s="3" t="n"/>
      <c r="X13" s="3" t="n"/>
      <c r="Y13" s="3" t="n"/>
      <c r="Z13" s="4" t="n"/>
      <c r="AA13" s="33" t="n"/>
      <c r="AB13" s="4" t="n"/>
      <c r="AC13" s="4" t="n"/>
      <c r="AD13" s="34" t="n"/>
      <c r="AE13" s="85">
        <f>AF12</f>
        <v/>
      </c>
      <c r="AF13" s="85" t="n">
        <v>55824</v>
      </c>
      <c r="AG13" s="151">
        <f>AF13-AE13</f>
        <v/>
      </c>
    </row>
    <row r="14">
      <c r="A14" s="42">
        <f>A12+1</f>
        <v/>
      </c>
      <c r="B14" s="24" t="inlineStr">
        <is>
          <t>DAY</t>
        </is>
      </c>
      <c r="C14" s="14">
        <f>D13</f>
        <v/>
      </c>
      <c r="D14" s="14" t="n">
        <v>5103</v>
      </c>
      <c r="E14" s="14">
        <f>D14-C14</f>
        <v/>
      </c>
      <c r="F14" s="3" t="n">
        <v>250</v>
      </c>
      <c r="G14" s="3" t="n">
        <v>5099</v>
      </c>
      <c r="H14" s="3">
        <f>G14-G12</f>
        <v/>
      </c>
      <c r="I14" s="34">
        <f>F14/H14</f>
        <v/>
      </c>
      <c r="J14" s="35" t="n"/>
      <c r="K14" s="15" t="n"/>
      <c r="L14" s="15" t="n"/>
      <c r="M14" s="36" t="n"/>
      <c r="N14" s="14">
        <f>O13</f>
        <v/>
      </c>
      <c r="O14" s="14" t="n">
        <v>71926</v>
      </c>
      <c r="P14" s="151">
        <f>O14-N14</f>
        <v/>
      </c>
      <c r="Q14" s="84" t="n"/>
      <c r="R14" s="42">
        <f>R12+1</f>
        <v/>
      </c>
      <c r="S14" s="24" t="inlineStr">
        <is>
          <t>DAY</t>
        </is>
      </c>
      <c r="T14" s="14">
        <f>U13</f>
        <v/>
      </c>
      <c r="U14" s="14" t="n">
        <v>3465</v>
      </c>
      <c r="V14" s="14">
        <f>U14-T14</f>
        <v/>
      </c>
      <c r="W14" s="3" t="n">
        <v>250</v>
      </c>
      <c r="X14" s="3" t="n">
        <v>3463</v>
      </c>
      <c r="Y14" s="3">
        <f>X14-X12</f>
        <v/>
      </c>
      <c r="Z14" s="4">
        <f>W14/Y14</f>
        <v/>
      </c>
      <c r="AA14" s="35" t="n"/>
      <c r="AB14" s="15" t="n"/>
      <c r="AC14" s="15" t="n"/>
      <c r="AD14" s="36" t="n"/>
      <c r="AE14" s="85">
        <f>AF13</f>
        <v/>
      </c>
      <c r="AF14" s="85" t="n">
        <v>55852</v>
      </c>
      <c r="AG14" s="151">
        <f>AF14-AE14</f>
        <v/>
      </c>
    </row>
    <row r="15">
      <c r="A15" s="42">
        <f>A14</f>
        <v/>
      </c>
      <c r="B15" s="24" t="inlineStr">
        <is>
          <t>NIGHT</t>
        </is>
      </c>
      <c r="C15" s="14">
        <f>D14</f>
        <v/>
      </c>
      <c r="D15" s="14" t="n">
        <v>5109</v>
      </c>
      <c r="E15" s="14">
        <f>D15-C15</f>
        <v/>
      </c>
      <c r="F15" s="3" t="n"/>
      <c r="G15" s="3" t="n"/>
      <c r="H15" s="3" t="n"/>
      <c r="I15" s="34" t="n"/>
      <c r="J15" s="32" t="n"/>
      <c r="K15" s="3" t="n"/>
      <c r="L15" s="3" t="n"/>
      <c r="M15" s="19" t="n"/>
      <c r="N15" s="14">
        <f>O14</f>
        <v/>
      </c>
      <c r="O15" s="14" t="n">
        <v>72016</v>
      </c>
      <c r="P15" s="151">
        <f>O15-N15</f>
        <v/>
      </c>
      <c r="Q15" s="84" t="n"/>
      <c r="R15" s="42">
        <f>R14</f>
        <v/>
      </c>
      <c r="S15" s="24" t="inlineStr">
        <is>
          <t>NIGHT</t>
        </is>
      </c>
      <c r="T15" s="14">
        <f>U14</f>
        <v/>
      </c>
      <c r="U15" s="14" t="n">
        <v>3468</v>
      </c>
      <c r="V15" s="14">
        <f>U15-T15</f>
        <v/>
      </c>
      <c r="W15" s="3" t="n"/>
      <c r="X15" s="3" t="n"/>
      <c r="Y15" s="3" t="n"/>
      <c r="Z15" s="4" t="n"/>
      <c r="AA15" s="32" t="n"/>
      <c r="AB15" s="3" t="n"/>
      <c r="AC15" s="3" t="n"/>
      <c r="AD15" s="19" t="n"/>
      <c r="AE15" s="85">
        <f>AF14</f>
        <v/>
      </c>
      <c r="AF15" s="85" t="n">
        <v>55903</v>
      </c>
      <c r="AG15" s="151">
        <f>AF15-AE15</f>
        <v/>
      </c>
    </row>
    <row r="16">
      <c r="A16" s="42">
        <f>A14+1</f>
        <v/>
      </c>
      <c r="B16" s="24" t="inlineStr">
        <is>
          <t>DAY</t>
        </is>
      </c>
      <c r="C16" s="14">
        <f>D15</f>
        <v/>
      </c>
      <c r="D16" s="14" t="n">
        <v>5118</v>
      </c>
      <c r="E16" s="14">
        <f>D16-C16</f>
        <v/>
      </c>
      <c r="F16" s="3" t="n"/>
      <c r="G16" s="3" t="n"/>
      <c r="H16" s="3" t="n"/>
      <c r="I16" s="34" t="n"/>
      <c r="J16" s="32" t="n"/>
      <c r="K16" s="3" t="n"/>
      <c r="L16" s="3" t="n"/>
      <c r="M16" s="19" t="n"/>
      <c r="N16" s="14">
        <f>O15</f>
        <v/>
      </c>
      <c r="O16" s="14" t="n">
        <v>72148</v>
      </c>
      <c r="P16" s="151">
        <f>O16-N16</f>
        <v/>
      </c>
      <c r="Q16" s="84" t="n"/>
      <c r="R16" s="42">
        <f>R14+1</f>
        <v/>
      </c>
      <c r="S16" s="24" t="inlineStr">
        <is>
          <t>DAY</t>
        </is>
      </c>
      <c r="T16" s="14">
        <f>U15</f>
        <v/>
      </c>
      <c r="U16" s="14" t="n">
        <v>3471</v>
      </c>
      <c r="V16" s="14">
        <f>U16-T16</f>
        <v/>
      </c>
      <c r="W16" s="3" t="n"/>
      <c r="X16" s="3" t="n"/>
      <c r="Y16" s="3" t="n"/>
      <c r="Z16" s="4" t="n"/>
      <c r="AA16" s="32" t="n"/>
      <c r="AB16" s="3" t="n"/>
      <c r="AC16" s="3" t="n"/>
      <c r="AD16" s="19" t="n"/>
      <c r="AE16" s="85">
        <f>AF15</f>
        <v/>
      </c>
      <c r="AF16" s="85" t="n">
        <v>55953</v>
      </c>
      <c r="AG16" s="151">
        <f>AF16-AE16</f>
        <v/>
      </c>
    </row>
    <row r="17">
      <c r="A17" s="42">
        <f>A16</f>
        <v/>
      </c>
      <c r="B17" s="24" t="inlineStr">
        <is>
          <t>NIGHT</t>
        </is>
      </c>
      <c r="C17" s="14">
        <f>D16</f>
        <v/>
      </c>
      <c r="D17" s="14" t="n">
        <v>5128</v>
      </c>
      <c r="E17" s="14">
        <f>D17-C17</f>
        <v/>
      </c>
      <c r="F17" s="3" t="n"/>
      <c r="G17" s="3" t="n"/>
      <c r="H17" s="3" t="n"/>
      <c r="I17" s="34" t="n"/>
      <c r="J17" s="32" t="n"/>
      <c r="K17" s="3" t="n"/>
      <c r="L17" s="3" t="n"/>
      <c r="M17" s="19" t="n"/>
      <c r="N17" s="14">
        <f>O16</f>
        <v/>
      </c>
      <c r="O17" s="14" t="n">
        <v>72278</v>
      </c>
      <c r="P17" s="151">
        <f>O17-N17</f>
        <v/>
      </c>
      <c r="Q17" s="84" t="n"/>
      <c r="R17" s="42">
        <f>R16</f>
        <v/>
      </c>
      <c r="S17" s="24" t="inlineStr">
        <is>
          <t>NIGHT</t>
        </is>
      </c>
      <c r="T17" s="14">
        <f>U16</f>
        <v/>
      </c>
      <c r="U17" s="14" t="n">
        <v>3472</v>
      </c>
      <c r="V17" s="14">
        <f>U17-T17</f>
        <v/>
      </c>
      <c r="W17" s="3" t="n"/>
      <c r="X17" s="3" t="n"/>
      <c r="Y17" s="3" t="n"/>
      <c r="Z17" s="4" t="n"/>
      <c r="AA17" s="33" t="n"/>
      <c r="AB17" s="4" t="n"/>
      <c r="AC17" s="4" t="n"/>
      <c r="AD17" s="34" t="n"/>
      <c r="AE17" s="85">
        <f>AF16</f>
        <v/>
      </c>
      <c r="AF17" s="85" t="n">
        <v>55989</v>
      </c>
      <c r="AG17" s="151">
        <f>AF17-AE17</f>
        <v/>
      </c>
    </row>
    <row r="18">
      <c r="A18" s="42">
        <f>A16+1</f>
        <v/>
      </c>
      <c r="B18" s="24" t="inlineStr">
        <is>
          <t>DAY</t>
        </is>
      </c>
      <c r="C18" s="14">
        <f>D17</f>
        <v/>
      </c>
      <c r="D18" s="14" t="n">
        <v>5128</v>
      </c>
      <c r="E18" s="14">
        <f>D18-C18</f>
        <v/>
      </c>
      <c r="F18" s="3" t="n">
        <v>303</v>
      </c>
      <c r="G18" s="3" t="n">
        <v>5128</v>
      </c>
      <c r="H18" s="3">
        <f>G18-G14</f>
        <v/>
      </c>
      <c r="I18" s="34">
        <f>F18/H18</f>
        <v/>
      </c>
      <c r="J18" s="32" t="n"/>
      <c r="K18" s="3" t="n"/>
      <c r="L18" s="3" t="n"/>
      <c r="M18" s="19" t="n"/>
      <c r="N18" s="14">
        <f>O17</f>
        <v/>
      </c>
      <c r="O18" s="14" t="n">
        <v>72278</v>
      </c>
      <c r="P18" s="151">
        <f>O18-N18</f>
        <v/>
      </c>
      <c r="Q18" s="84" t="n"/>
      <c r="R18" s="42">
        <f>R16+1</f>
        <v/>
      </c>
      <c r="S18" s="24" t="inlineStr">
        <is>
          <t>DAY</t>
        </is>
      </c>
      <c r="T18" s="14">
        <f>U17</f>
        <v/>
      </c>
      <c r="U18" s="14" t="n">
        <v>3476</v>
      </c>
      <c r="V18" s="14">
        <f>U18-T18</f>
        <v/>
      </c>
      <c r="W18" s="3" t="n">
        <v>300</v>
      </c>
      <c r="X18" s="3" t="n">
        <v>3476</v>
      </c>
      <c r="Y18" s="3">
        <f>X18-X14</f>
        <v/>
      </c>
      <c r="Z18" s="4">
        <f>W18/Y18</f>
        <v/>
      </c>
      <c r="AA18" s="50" t="n"/>
      <c r="AB18" s="14" t="n"/>
      <c r="AC18" s="14" t="n"/>
      <c r="AD18" s="151" t="n"/>
      <c r="AE18" s="85">
        <f>AF17</f>
        <v/>
      </c>
      <c r="AF18" s="85" t="n">
        <v>56033</v>
      </c>
      <c r="AG18" s="151">
        <f>AF18-AE18</f>
        <v/>
      </c>
    </row>
    <row r="19">
      <c r="A19" s="42">
        <f>A18</f>
        <v/>
      </c>
      <c r="B19" s="24" t="inlineStr">
        <is>
          <t>NIGHT</t>
        </is>
      </c>
      <c r="C19" s="14">
        <f>D18</f>
        <v/>
      </c>
      <c r="D19" s="14" t="n">
        <v>5131</v>
      </c>
      <c r="E19" s="14">
        <f>D19-C19</f>
        <v/>
      </c>
      <c r="F19" s="3" t="n"/>
      <c r="G19" s="3" t="n"/>
      <c r="H19" s="3" t="n"/>
      <c r="I19" s="34" t="n"/>
      <c r="J19" s="32" t="n"/>
      <c r="K19" s="3" t="n"/>
      <c r="L19" s="3" t="n"/>
      <c r="M19" s="19" t="n"/>
      <c r="N19" s="14">
        <f>O18</f>
        <v/>
      </c>
      <c r="O19" s="14" t="n">
        <v>72332</v>
      </c>
      <c r="P19" s="151">
        <f>O19-N19</f>
        <v/>
      </c>
      <c r="Q19" s="84" t="n"/>
      <c r="R19" s="42">
        <f>R18</f>
        <v/>
      </c>
      <c r="S19" s="24" t="inlineStr">
        <is>
          <t>NIGHT</t>
        </is>
      </c>
      <c r="T19" s="14">
        <f>U18</f>
        <v/>
      </c>
      <c r="U19" s="14" t="n">
        <v>3478</v>
      </c>
      <c r="V19" s="14">
        <f>U19-T19</f>
        <v/>
      </c>
      <c r="W19" s="3" t="n"/>
      <c r="X19" s="3" t="n"/>
      <c r="Y19" s="3" t="n"/>
      <c r="Z19" s="4" t="n"/>
      <c r="AA19" s="61" t="n"/>
      <c r="AB19" s="62" t="n"/>
      <c r="AC19" s="62" t="n"/>
      <c r="AD19" s="151" t="n"/>
      <c r="AE19" s="85">
        <f>AF18</f>
        <v/>
      </c>
      <c r="AF19" s="85" t="n">
        <v>56094</v>
      </c>
      <c r="AG19" s="151">
        <f>AF19-AE19</f>
        <v/>
      </c>
    </row>
    <row r="20">
      <c r="A20" s="42">
        <f>A18+1</f>
        <v/>
      </c>
      <c r="B20" s="24" t="inlineStr">
        <is>
          <t>DAY</t>
        </is>
      </c>
      <c r="C20" s="14">
        <f>D19</f>
        <v/>
      </c>
      <c r="D20" s="14" t="n">
        <v>5140</v>
      </c>
      <c r="E20" s="14">
        <f>D20-C20</f>
        <v/>
      </c>
      <c r="F20" s="3" t="n">
        <v>267</v>
      </c>
      <c r="G20" s="3" t="n">
        <v>5134</v>
      </c>
      <c r="H20" s="3">
        <f>G20-G18</f>
        <v/>
      </c>
      <c r="I20" s="34">
        <f>F20/H20</f>
        <v/>
      </c>
      <c r="J20" s="61" t="n"/>
      <c r="K20" s="62" t="n"/>
      <c r="L20" s="62" t="n"/>
      <c r="M20" s="151" t="n"/>
      <c r="N20" s="14">
        <f>O19</f>
        <v/>
      </c>
      <c r="O20" s="14" t="n">
        <v>72432</v>
      </c>
      <c r="P20" s="151">
        <f>O20-N20</f>
        <v/>
      </c>
      <c r="Q20" s="84" t="n"/>
      <c r="R20" s="42">
        <f>R18+1</f>
        <v/>
      </c>
      <c r="S20" s="24" t="inlineStr">
        <is>
          <t>DAY</t>
        </is>
      </c>
      <c r="T20" s="14">
        <f>U19</f>
        <v/>
      </c>
      <c r="U20" s="14" t="n">
        <v>3485</v>
      </c>
      <c r="V20" s="14">
        <f>U20-T20</f>
        <v/>
      </c>
      <c r="W20" s="3" t="n"/>
      <c r="X20" s="3" t="n"/>
      <c r="Y20" s="3" t="n"/>
      <c r="Z20" s="4" t="n"/>
      <c r="AA20" s="33" t="n"/>
      <c r="AB20" s="4" t="n"/>
      <c r="AC20" s="4" t="n"/>
      <c r="AD20" s="34" t="n"/>
      <c r="AE20" s="85">
        <f>AF19</f>
        <v/>
      </c>
      <c r="AF20" s="85" t="n">
        <v>56151</v>
      </c>
      <c r="AG20" s="151">
        <f>AF20-AE20</f>
        <v/>
      </c>
    </row>
    <row r="21">
      <c r="A21" s="42">
        <f>A20</f>
        <v/>
      </c>
      <c r="B21" s="24" t="inlineStr">
        <is>
          <t>NIGHT</t>
        </is>
      </c>
      <c r="C21" s="14">
        <f>D20</f>
        <v/>
      </c>
      <c r="D21" s="14" t="n">
        <v>5148</v>
      </c>
      <c r="E21" s="14">
        <f>D21-C21</f>
        <v/>
      </c>
      <c r="F21" s="3" t="n"/>
      <c r="G21" s="3" t="n"/>
      <c r="H21" s="3" t="n"/>
      <c r="I21" s="34" t="n"/>
      <c r="J21" s="32" t="n"/>
      <c r="K21" s="3" t="n"/>
      <c r="L21" s="3" t="n"/>
      <c r="M21" s="19" t="n"/>
      <c r="N21" s="14">
        <f>O20</f>
        <v/>
      </c>
      <c r="O21" s="14" t="n">
        <v>72536</v>
      </c>
      <c r="P21" s="151">
        <f>O21-N21</f>
        <v/>
      </c>
      <c r="Q21" s="84" t="n"/>
      <c r="R21" s="42">
        <f>R20</f>
        <v/>
      </c>
      <c r="S21" s="24" t="inlineStr">
        <is>
          <t>NIGHT</t>
        </is>
      </c>
      <c r="T21" s="14">
        <f>U20</f>
        <v/>
      </c>
      <c r="U21" s="14" t="n">
        <v>3491</v>
      </c>
      <c r="V21" s="14">
        <f>U21-T21</f>
        <v/>
      </c>
      <c r="W21" s="3" t="n"/>
      <c r="X21" s="3" t="n"/>
      <c r="Y21" s="3" t="n"/>
      <c r="Z21" s="15" t="n"/>
      <c r="AA21" s="50" t="n"/>
      <c r="AB21" s="14" t="n"/>
      <c r="AC21" s="14" t="n"/>
      <c r="AD21" s="151" t="n"/>
      <c r="AE21" s="85">
        <f>AF20</f>
        <v/>
      </c>
      <c r="AF21" s="85" t="n">
        <v>56240</v>
      </c>
      <c r="AG21" s="151">
        <f>AF21-AE21</f>
        <v/>
      </c>
    </row>
    <row r="22">
      <c r="A22" s="42">
        <f>A20+1</f>
        <v/>
      </c>
      <c r="B22" s="24" t="inlineStr">
        <is>
          <t>DAY</t>
        </is>
      </c>
      <c r="C22" s="14">
        <f>D21</f>
        <v/>
      </c>
      <c r="D22" s="14" t="n">
        <v>5157</v>
      </c>
      <c r="E22" s="14">
        <f>D22-C22</f>
        <v/>
      </c>
      <c r="F22" s="14" t="n"/>
      <c r="G22" s="86" t="n"/>
      <c r="H22" s="3" t="n"/>
      <c r="I22" s="34" t="n"/>
      <c r="J22" s="32" t="n"/>
      <c r="K22" s="3" t="n"/>
      <c r="L22" s="3" t="n"/>
      <c r="M22" s="19" t="n"/>
      <c r="N22" s="14">
        <f>O21</f>
        <v/>
      </c>
      <c r="O22" s="14" t="n">
        <v>72655</v>
      </c>
      <c r="P22" s="151">
        <f>O22-N22</f>
        <v/>
      </c>
      <c r="Q22" s="84" t="n"/>
      <c r="R22" s="42">
        <f>R20+1</f>
        <v/>
      </c>
      <c r="S22" s="24" t="inlineStr">
        <is>
          <t>DAY</t>
        </is>
      </c>
      <c r="T22" s="14">
        <f>U21</f>
        <v/>
      </c>
      <c r="U22" s="14" t="n">
        <v>3499</v>
      </c>
      <c r="V22" s="14">
        <f>U22-T22</f>
        <v/>
      </c>
      <c r="W22" s="3" t="n"/>
      <c r="X22" s="3" t="n"/>
      <c r="Y22" s="3" t="n"/>
      <c r="Z22" s="4" t="n"/>
      <c r="AA22" s="35" t="n"/>
      <c r="AB22" s="15" t="n"/>
      <c r="AC22" s="15" t="n"/>
      <c r="AD22" s="36" t="n"/>
      <c r="AE22" s="85">
        <f>AF21</f>
        <v/>
      </c>
      <c r="AF22" s="85" t="n">
        <v>56372</v>
      </c>
      <c r="AG22" s="151">
        <f>AF22-AE22</f>
        <v/>
      </c>
    </row>
    <row r="23">
      <c r="A23" s="42">
        <f>A22</f>
        <v/>
      </c>
      <c r="B23" s="24" t="inlineStr">
        <is>
          <t>NIGHT</t>
        </is>
      </c>
      <c r="C23" s="14">
        <f>D22</f>
        <v/>
      </c>
      <c r="D23" s="14" t="n">
        <v>5166</v>
      </c>
      <c r="E23" s="14">
        <f>D23-C23</f>
        <v/>
      </c>
      <c r="F23" s="3" t="n"/>
      <c r="G23" s="3" t="n"/>
      <c r="H23" s="3" t="n"/>
      <c r="I23" s="34" t="n"/>
      <c r="J23" s="50" t="n"/>
      <c r="K23" s="14" t="n"/>
      <c r="L23" s="14" t="n"/>
      <c r="M23" s="151" t="n"/>
      <c r="N23" s="14">
        <f>O22</f>
        <v/>
      </c>
      <c r="O23" s="14" t="n">
        <v>72787</v>
      </c>
      <c r="P23" s="151">
        <f>O23-N23</f>
        <v/>
      </c>
      <c r="Q23" s="84" t="n"/>
      <c r="R23" s="42">
        <f>R22</f>
        <v/>
      </c>
      <c r="S23" s="24" t="inlineStr">
        <is>
          <t>NIGHT</t>
        </is>
      </c>
      <c r="T23" s="14">
        <f>U22</f>
        <v/>
      </c>
      <c r="U23" s="14" t="n">
        <v>3507</v>
      </c>
      <c r="V23" s="14">
        <f>U23-T23</f>
        <v/>
      </c>
      <c r="W23" s="3" t="n"/>
      <c r="X23" s="3" t="n"/>
      <c r="Y23" s="3" t="n"/>
      <c r="Z23" s="4" t="n"/>
      <c r="AA23" s="50" t="n"/>
      <c r="AB23" s="14" t="n"/>
      <c r="AC23" s="14" t="n"/>
      <c r="AD23" s="151" t="n"/>
      <c r="AE23" s="85">
        <f>AF22</f>
        <v/>
      </c>
      <c r="AF23" s="85" t="n">
        <v>56475</v>
      </c>
      <c r="AG23" s="151">
        <f>AF23-AE23</f>
        <v/>
      </c>
    </row>
    <row r="24">
      <c r="A24" s="42">
        <f>A22+1</f>
        <v/>
      </c>
      <c r="B24" s="24" t="inlineStr">
        <is>
          <t>DAY</t>
        </is>
      </c>
      <c r="C24" s="14">
        <f>D23</f>
        <v/>
      </c>
      <c r="D24" s="14" t="n">
        <v>5175</v>
      </c>
      <c r="E24" s="14">
        <f>D24-C24</f>
        <v/>
      </c>
      <c r="F24" s="3" t="n">
        <v>300</v>
      </c>
      <c r="G24" s="3" t="n">
        <v>5173</v>
      </c>
      <c r="H24" s="3">
        <f>G24-G20</f>
        <v/>
      </c>
      <c r="I24" s="34">
        <f>F24/H24</f>
        <v/>
      </c>
      <c r="J24" s="50" t="n"/>
      <c r="K24" s="14" t="n"/>
      <c r="L24" s="14" t="n"/>
      <c r="M24" s="151" t="n"/>
      <c r="N24" s="14">
        <f>O23</f>
        <v/>
      </c>
      <c r="O24" s="14" t="n">
        <v>72933</v>
      </c>
      <c r="P24" s="151">
        <f>O24-N24</f>
        <v/>
      </c>
      <c r="Q24" s="84" t="n"/>
      <c r="R24" s="42">
        <f>R22+1</f>
        <v/>
      </c>
      <c r="S24" s="24" t="inlineStr">
        <is>
          <t>DAY</t>
        </is>
      </c>
      <c r="T24" s="14">
        <f>U23</f>
        <v/>
      </c>
      <c r="U24" s="14" t="n">
        <v>3516</v>
      </c>
      <c r="V24" s="14">
        <f>U24-T24</f>
        <v/>
      </c>
      <c r="W24" s="3" t="n">
        <v>302</v>
      </c>
      <c r="X24" s="3" t="n">
        <v>3513</v>
      </c>
      <c r="Y24" s="3">
        <f>X24-X18</f>
        <v/>
      </c>
      <c r="Z24" s="4">
        <f>W24/Y24</f>
        <v/>
      </c>
      <c r="AA24" s="50" t="n"/>
      <c r="AB24" s="14" t="n"/>
      <c r="AC24" s="14" t="n"/>
      <c r="AD24" s="151" t="n"/>
      <c r="AE24" s="85">
        <f>AF23</f>
        <v/>
      </c>
      <c r="AF24" s="85" t="n">
        <v>56658</v>
      </c>
      <c r="AG24" s="151">
        <f>AF24-AE24</f>
        <v/>
      </c>
    </row>
    <row r="25">
      <c r="A25" s="42">
        <f>A24</f>
        <v/>
      </c>
      <c r="B25" s="24" t="inlineStr">
        <is>
          <t>NIGHT</t>
        </is>
      </c>
      <c r="C25" s="14">
        <f>D24</f>
        <v/>
      </c>
      <c r="D25" s="14" t="n">
        <v>5181</v>
      </c>
      <c r="E25" s="14">
        <f>D25-C25</f>
        <v/>
      </c>
      <c r="F25" s="3" t="n"/>
      <c r="G25" s="3" t="n"/>
      <c r="H25" s="3" t="n"/>
      <c r="I25" s="34" t="n"/>
      <c r="J25" s="50" t="n"/>
      <c r="K25" s="14" t="n"/>
      <c r="L25" s="14" t="n"/>
      <c r="M25" s="151" t="n"/>
      <c r="N25" s="14">
        <f>O24</f>
        <v/>
      </c>
      <c r="O25" s="14" t="n">
        <v>73015</v>
      </c>
      <c r="P25" s="151">
        <f>O25-N25</f>
        <v/>
      </c>
      <c r="Q25" s="84" t="n"/>
      <c r="R25" s="42">
        <f>R24</f>
        <v/>
      </c>
      <c r="S25" s="24" t="inlineStr">
        <is>
          <t>NIGHT</t>
        </is>
      </c>
      <c r="T25" s="14">
        <f>U24</f>
        <v/>
      </c>
      <c r="U25" s="14" t="n">
        <v>3524</v>
      </c>
      <c r="V25" s="14">
        <f>U25-T25</f>
        <v/>
      </c>
      <c r="W25" s="3" t="n"/>
      <c r="X25" s="3" t="n"/>
      <c r="Y25" s="3" t="n"/>
      <c r="Z25" s="4" t="n"/>
      <c r="AA25" s="50" t="n"/>
      <c r="AB25" s="14" t="n"/>
      <c r="AC25" s="14" t="n"/>
      <c r="AD25" s="151" t="n"/>
      <c r="AE25" s="85">
        <f>AF24</f>
        <v/>
      </c>
      <c r="AF25" s="85" t="n">
        <v>56760</v>
      </c>
      <c r="AG25" s="151">
        <f>AF25-AE25</f>
        <v/>
      </c>
    </row>
    <row r="26">
      <c r="A26" s="42">
        <f>A24+1</f>
        <v/>
      </c>
      <c r="B26" s="24" t="inlineStr">
        <is>
          <t>DAY</t>
        </is>
      </c>
      <c r="C26" s="14">
        <f>D25</f>
        <v/>
      </c>
      <c r="D26" s="14" t="n">
        <v>5191</v>
      </c>
      <c r="E26" s="14">
        <f>D26-C26</f>
        <v/>
      </c>
      <c r="F26" s="3" t="n"/>
      <c r="G26" s="3" t="n"/>
      <c r="H26" s="3" t="n"/>
      <c r="I26" s="34" t="n"/>
      <c r="J26" s="35" t="n"/>
      <c r="K26" s="15" t="n"/>
      <c r="L26" s="15" t="n"/>
      <c r="M26" s="36" t="n"/>
      <c r="N26" s="14">
        <f>O25</f>
        <v/>
      </c>
      <c r="O26" s="14" t="n">
        <v>73131</v>
      </c>
      <c r="P26" s="151">
        <f>O26-N26</f>
        <v/>
      </c>
      <c r="Q26" s="84" t="n"/>
      <c r="R26" s="42">
        <f>R24+1</f>
        <v/>
      </c>
      <c r="S26" s="24" t="inlineStr">
        <is>
          <t>DAY</t>
        </is>
      </c>
      <c r="T26" s="14">
        <f>U25</f>
        <v/>
      </c>
      <c r="U26" s="14" t="n">
        <v>3531</v>
      </c>
      <c r="V26" s="14">
        <f>U26-T26</f>
        <v/>
      </c>
      <c r="W26" s="3" t="n">
        <v>500</v>
      </c>
      <c r="X26" s="3" t="n">
        <v>3529</v>
      </c>
      <c r="Y26" s="3">
        <f>X26-X24</f>
        <v/>
      </c>
      <c r="Z26" s="4">
        <f>W26/Y26</f>
        <v/>
      </c>
      <c r="AA26" s="35" t="n"/>
      <c r="AB26" s="15" t="n"/>
      <c r="AC26" s="15" t="n"/>
      <c r="AD26" s="36" t="n"/>
      <c r="AE26" s="85">
        <f>AF25</f>
        <v/>
      </c>
      <c r="AF26" s="85" t="n">
        <v>56809</v>
      </c>
      <c r="AG26" s="151">
        <f>AF26-AE26</f>
        <v/>
      </c>
    </row>
    <row r="27">
      <c r="A27" s="42">
        <f>A26</f>
        <v/>
      </c>
      <c r="B27" s="24" t="inlineStr">
        <is>
          <t>NIGHT</t>
        </is>
      </c>
      <c r="C27" s="14">
        <f>D26</f>
        <v/>
      </c>
      <c r="D27" s="14" t="n">
        <v>5202</v>
      </c>
      <c r="E27" s="14">
        <f>D27-C27</f>
        <v/>
      </c>
      <c r="F27" s="3" t="n"/>
      <c r="G27" s="3" t="n"/>
      <c r="H27" s="3" t="n"/>
      <c r="I27" s="34" t="n"/>
      <c r="J27" s="61" t="n"/>
      <c r="K27" s="62" t="n"/>
      <c r="L27" s="62" t="n"/>
      <c r="M27" s="151" t="n"/>
      <c r="N27" s="14">
        <f>O26</f>
        <v/>
      </c>
      <c r="O27" s="14" t="n">
        <v>73331</v>
      </c>
      <c r="P27" s="151">
        <f>O27-N27</f>
        <v/>
      </c>
      <c r="Q27" s="84" t="n"/>
      <c r="R27" s="42">
        <f>R26</f>
        <v/>
      </c>
      <c r="S27" s="24" t="inlineStr">
        <is>
          <t>NIGHT</t>
        </is>
      </c>
      <c r="T27" s="14">
        <f>U26</f>
        <v/>
      </c>
      <c r="U27" s="14" t="n">
        <v>3536</v>
      </c>
      <c r="V27" s="14">
        <f>U27-T27</f>
        <v/>
      </c>
      <c r="W27" s="3" t="n"/>
      <c r="X27" s="3" t="n"/>
      <c r="Y27" s="3" t="n"/>
      <c r="Z27" s="4" t="n"/>
      <c r="AA27" s="50" t="n"/>
      <c r="AB27" s="14" t="n"/>
      <c r="AC27" s="14" t="n"/>
      <c r="AD27" s="151" t="n"/>
      <c r="AE27" s="85">
        <f>AF26</f>
        <v/>
      </c>
      <c r="AF27" s="14" t="n">
        <v>56872</v>
      </c>
      <c r="AG27" s="151">
        <f>AF27-AE27</f>
        <v/>
      </c>
    </row>
    <row r="28">
      <c r="A28" s="42">
        <f>A26+1</f>
        <v/>
      </c>
      <c r="B28" s="24" t="inlineStr">
        <is>
          <t>DAY</t>
        </is>
      </c>
      <c r="C28" s="14">
        <f>D27</f>
        <v/>
      </c>
      <c r="D28" s="14" t="n">
        <v>5206</v>
      </c>
      <c r="E28" s="14">
        <f>D28-C28</f>
        <v/>
      </c>
      <c r="F28" s="3" t="n">
        <v>500</v>
      </c>
      <c r="G28" s="3" t="n">
        <v>5202</v>
      </c>
      <c r="H28" s="3">
        <f>G28-G24</f>
        <v/>
      </c>
      <c r="I28" s="34">
        <f>F28/H28</f>
        <v/>
      </c>
      <c r="J28" s="61" t="n"/>
      <c r="K28" s="62" t="n"/>
      <c r="L28" s="62" t="n"/>
      <c r="M28" s="151" t="n"/>
      <c r="N28" s="14">
        <f>O27</f>
        <v/>
      </c>
      <c r="O28" s="14" t="n">
        <v>73366</v>
      </c>
      <c r="P28" s="151">
        <f>O28-N28</f>
        <v/>
      </c>
      <c r="Q28" s="84" t="n"/>
      <c r="R28" s="42">
        <f>R26+1</f>
        <v/>
      </c>
      <c r="S28" s="24" t="inlineStr">
        <is>
          <t>DAY</t>
        </is>
      </c>
      <c r="T28" s="14">
        <f>U27</f>
        <v/>
      </c>
      <c r="U28" s="14" t="n">
        <v>3546</v>
      </c>
      <c r="V28" s="14">
        <f>U28-T28</f>
        <v/>
      </c>
      <c r="W28" s="3" t="n"/>
      <c r="X28" s="3" t="n"/>
      <c r="Y28" s="3" t="n"/>
      <c r="Z28" s="4" t="n"/>
      <c r="AA28" s="50" t="n"/>
      <c r="AB28" s="14" t="n"/>
      <c r="AC28" s="14" t="n"/>
      <c r="AD28" s="151" t="n"/>
      <c r="AE28" s="85">
        <f>AF27</f>
        <v/>
      </c>
      <c r="AF28" s="14" t="n">
        <v>57051</v>
      </c>
      <c r="AG28" s="151">
        <f>AF28-AE28</f>
        <v/>
      </c>
    </row>
    <row r="29">
      <c r="A29" s="42">
        <f>A28</f>
        <v/>
      </c>
      <c r="B29" s="24" t="inlineStr">
        <is>
          <t>NIGHT</t>
        </is>
      </c>
      <c r="C29" s="14">
        <f>D28</f>
        <v/>
      </c>
      <c r="D29" s="14" t="n">
        <v>5212</v>
      </c>
      <c r="E29" s="14">
        <f>D29-C29</f>
        <v/>
      </c>
      <c r="F29" s="3" t="n"/>
      <c r="G29" s="3" t="n"/>
      <c r="H29" s="3" t="n"/>
      <c r="I29" s="34" t="n"/>
      <c r="J29" s="50" t="n"/>
      <c r="K29" s="14" t="n"/>
      <c r="L29" s="14" t="n"/>
      <c r="M29" s="151" t="n"/>
      <c r="N29" s="14">
        <f>O28</f>
        <v/>
      </c>
      <c r="O29" s="14" t="n">
        <v>73466</v>
      </c>
      <c r="P29" s="151">
        <f>O29-N29</f>
        <v/>
      </c>
      <c r="Q29" s="84" t="n"/>
      <c r="R29" s="42">
        <f>R28</f>
        <v/>
      </c>
      <c r="S29" s="24" t="inlineStr">
        <is>
          <t>NIGHT</t>
        </is>
      </c>
      <c r="T29" s="14">
        <f>U28</f>
        <v/>
      </c>
      <c r="U29" s="14" t="n">
        <v>3553</v>
      </c>
      <c r="V29" s="14">
        <f>U29-T29</f>
        <v/>
      </c>
      <c r="W29" s="3" t="n"/>
      <c r="X29" s="3" t="n"/>
      <c r="Y29" s="3" t="n"/>
      <c r="Z29" s="4" t="n"/>
      <c r="AA29" s="50" t="n"/>
      <c r="AB29" s="14" t="n"/>
      <c r="AC29" s="14" t="n"/>
      <c r="AD29" s="151" t="n"/>
      <c r="AE29" s="85">
        <f>AF28</f>
        <v/>
      </c>
      <c r="AF29" s="14" t="n">
        <v>57139</v>
      </c>
      <c r="AG29" s="151">
        <f>AF29-AE29</f>
        <v/>
      </c>
    </row>
    <row r="30">
      <c r="A30" s="42">
        <f>A28+1</f>
        <v/>
      </c>
      <c r="B30" s="24" t="inlineStr">
        <is>
          <t>DAY</t>
        </is>
      </c>
      <c r="C30" s="14">
        <f>D29</f>
        <v/>
      </c>
      <c r="D30" s="14" t="n">
        <v>5220</v>
      </c>
      <c r="E30" s="14">
        <f>D30-C30</f>
        <v/>
      </c>
      <c r="F30" s="3" t="n"/>
      <c r="G30" s="3" t="n"/>
      <c r="H30" s="3" t="n"/>
      <c r="I30" s="34" t="n"/>
      <c r="J30" s="67" t="n"/>
      <c r="K30" s="4" t="n"/>
      <c r="L30" s="69" t="n"/>
      <c r="M30" s="34" t="n"/>
      <c r="N30" s="14">
        <f>O29</f>
        <v/>
      </c>
      <c r="O30" s="14" t="n">
        <v>73562</v>
      </c>
      <c r="P30" s="151">
        <f>O30-N30</f>
        <v/>
      </c>
      <c r="Q30" s="84" t="n"/>
      <c r="R30" s="42">
        <f>R28+1</f>
        <v/>
      </c>
      <c r="S30" s="24" t="inlineStr">
        <is>
          <t>DAY</t>
        </is>
      </c>
      <c r="T30" s="14">
        <f>U29</f>
        <v/>
      </c>
      <c r="U30" s="14" t="n">
        <v>3560</v>
      </c>
      <c r="V30" s="14">
        <f>U30-T30</f>
        <v/>
      </c>
      <c r="W30" s="3" t="n"/>
      <c r="X30" s="3" t="n"/>
      <c r="Y30" s="3" t="n"/>
      <c r="Z30" s="4" t="n"/>
      <c r="AA30" s="33" t="n"/>
      <c r="AB30" s="4" t="n"/>
      <c r="AC30" s="4" t="n"/>
      <c r="AD30" s="34" t="n"/>
      <c r="AE30" s="85">
        <f>AF29</f>
        <v/>
      </c>
      <c r="AF30" s="14" t="n">
        <v>57270</v>
      </c>
      <c r="AG30" s="151">
        <f>AF30-AE30</f>
        <v/>
      </c>
    </row>
    <row r="31">
      <c r="A31" s="42">
        <f>A30</f>
        <v/>
      </c>
      <c r="B31" s="24" t="inlineStr">
        <is>
          <t>NIGHT</t>
        </is>
      </c>
      <c r="C31" s="14">
        <f>D30</f>
        <v/>
      </c>
      <c r="D31" s="14" t="n">
        <v>5226</v>
      </c>
      <c r="E31" s="14">
        <f>D31-C31</f>
        <v/>
      </c>
      <c r="F31" s="3" t="n"/>
      <c r="G31" s="3" t="n"/>
      <c r="H31" s="3" t="n"/>
      <c r="I31" s="34" t="n"/>
      <c r="J31" s="66" t="n"/>
      <c r="K31" s="15" t="n"/>
      <c r="L31" s="68" t="n"/>
      <c r="M31" s="36" t="n"/>
      <c r="N31" s="14">
        <f>O30</f>
        <v/>
      </c>
      <c r="O31" s="14" t="n">
        <v>73678</v>
      </c>
      <c r="P31" s="151">
        <f>O31-N31</f>
        <v/>
      </c>
      <c r="Q31" s="84" t="n"/>
      <c r="R31" s="42">
        <f>R30</f>
        <v/>
      </c>
      <c r="S31" s="24" t="inlineStr">
        <is>
          <t>NIGHT</t>
        </is>
      </c>
      <c r="T31" s="14">
        <f>U30</f>
        <v/>
      </c>
      <c r="U31" s="14" t="n">
        <v>3563</v>
      </c>
      <c r="V31" s="14">
        <f>U31-T31</f>
        <v/>
      </c>
      <c r="W31" s="3" t="n"/>
      <c r="X31" s="3" t="n"/>
      <c r="Y31" s="3" t="n"/>
      <c r="Z31" s="4" t="n"/>
      <c r="AA31" s="35" t="n"/>
      <c r="AB31" s="15" t="n"/>
      <c r="AC31" s="15" t="n"/>
      <c r="AD31" s="36" t="n"/>
      <c r="AE31" s="85">
        <f>AF30</f>
        <v/>
      </c>
      <c r="AF31" s="14" t="n">
        <v>57332</v>
      </c>
      <c r="AG31" s="151">
        <f>AF31-AE31</f>
        <v/>
      </c>
    </row>
    <row r="32">
      <c r="A32" s="42">
        <f>A30+1</f>
        <v/>
      </c>
      <c r="B32" s="24" t="inlineStr">
        <is>
          <t>DAY</t>
        </is>
      </c>
      <c r="C32" s="14">
        <f>D31</f>
        <v/>
      </c>
      <c r="D32" s="14" t="n">
        <v>5236</v>
      </c>
      <c r="E32" s="14">
        <f>D32-C32</f>
        <v/>
      </c>
      <c r="F32" s="3" t="n">
        <v>441</v>
      </c>
      <c r="G32" s="3" t="n">
        <v>5226</v>
      </c>
      <c r="H32" s="3">
        <f>G32-G28</f>
        <v/>
      </c>
      <c r="I32" s="34">
        <f>F32/H32</f>
        <v/>
      </c>
      <c r="J32" s="70" t="n"/>
      <c r="K32" s="44" t="n"/>
      <c r="L32" s="71" t="n"/>
      <c r="M32" s="36" t="n"/>
      <c r="N32" s="14">
        <f>O31</f>
        <v/>
      </c>
      <c r="O32" s="14" t="n">
        <v>73854</v>
      </c>
      <c r="P32" s="151">
        <f>O32-N32</f>
        <v/>
      </c>
      <c r="Q32" s="84" t="n"/>
      <c r="R32" s="42">
        <f>R30+1</f>
        <v/>
      </c>
      <c r="S32" s="24" t="inlineStr">
        <is>
          <t>DAY</t>
        </is>
      </c>
      <c r="T32" s="14">
        <f>U31</f>
        <v/>
      </c>
      <c r="U32" s="14" t="n">
        <v>3570</v>
      </c>
      <c r="V32" s="14">
        <f>U32-T32</f>
        <v/>
      </c>
      <c r="W32" s="3" t="n">
        <v>650</v>
      </c>
      <c r="X32" s="3" t="n">
        <v>3568</v>
      </c>
      <c r="Y32" s="3">
        <f>X32-X26</f>
        <v/>
      </c>
      <c r="Z32" s="4">
        <f>W32/Y32</f>
        <v/>
      </c>
      <c r="AA32" s="35" t="n"/>
      <c r="AB32" s="15" t="n"/>
      <c r="AC32" s="15" t="n"/>
      <c r="AD32" s="36" t="n"/>
      <c r="AE32" s="85">
        <f>AF31</f>
        <v/>
      </c>
      <c r="AF32" s="14" t="n">
        <v>57411</v>
      </c>
      <c r="AG32" s="151">
        <f>AF32-AE32</f>
        <v/>
      </c>
    </row>
    <row r="33">
      <c r="A33" s="42">
        <f>A32</f>
        <v/>
      </c>
      <c r="B33" s="24" t="inlineStr">
        <is>
          <t>NIGHT</t>
        </is>
      </c>
      <c r="C33" s="14">
        <f>D32</f>
        <v/>
      </c>
      <c r="D33" s="14" t="n">
        <v>5240</v>
      </c>
      <c r="E33" s="14">
        <f>D33-C33</f>
        <v/>
      </c>
      <c r="F33" s="3" t="n"/>
      <c r="G33" s="3" t="n"/>
      <c r="H33" s="3" t="n"/>
      <c r="I33" s="34" t="n"/>
      <c r="J33" s="70" t="n"/>
      <c r="K33" s="44" t="n"/>
      <c r="L33" s="71" t="n"/>
      <c r="M33" s="36" t="n"/>
      <c r="N33" s="14">
        <f>O32</f>
        <v/>
      </c>
      <c r="O33" s="14" t="n">
        <v>73928</v>
      </c>
      <c r="P33" s="151">
        <f>O33-N33</f>
        <v/>
      </c>
      <c r="Q33" s="84" t="n"/>
      <c r="R33" s="42">
        <f>R32</f>
        <v/>
      </c>
      <c r="S33" s="24" t="inlineStr">
        <is>
          <t>NIGHT</t>
        </is>
      </c>
      <c r="T33" s="14">
        <f>U32</f>
        <v/>
      </c>
      <c r="U33" s="14" t="n">
        <v>3573</v>
      </c>
      <c r="V33" s="14">
        <f>U33-T33</f>
        <v/>
      </c>
      <c r="W33" s="3" t="n"/>
      <c r="X33" s="3" t="n"/>
      <c r="Y33" s="3" t="n"/>
      <c r="Z33" s="4" t="n"/>
      <c r="AA33" s="43" t="n"/>
      <c r="AB33" s="44" t="n"/>
      <c r="AC33" s="44" t="n"/>
      <c r="AD33" s="36" t="n"/>
      <c r="AE33" s="85">
        <f>AF32</f>
        <v/>
      </c>
      <c r="AF33" s="14" t="n">
        <v>57460</v>
      </c>
      <c r="AG33" s="151">
        <f>AF33-AE33</f>
        <v/>
      </c>
    </row>
    <row r="34">
      <c r="A34" s="42">
        <f>A32+1</f>
        <v/>
      </c>
      <c r="B34" s="24" t="inlineStr">
        <is>
          <t>DAY</t>
        </is>
      </c>
      <c r="C34" s="14">
        <f>D33</f>
        <v/>
      </c>
      <c r="D34" s="14" t="n">
        <v>5249</v>
      </c>
      <c r="E34" s="14">
        <f>D34-C34</f>
        <v/>
      </c>
      <c r="F34" s="3" t="n">
        <v>149</v>
      </c>
      <c r="G34" s="3" t="n">
        <v>5241</v>
      </c>
      <c r="H34" s="3">
        <f>G34-G28</f>
        <v/>
      </c>
      <c r="I34" s="34">
        <f>F34/H34</f>
        <v/>
      </c>
      <c r="J34" s="70" t="n"/>
      <c r="K34" s="44" t="n"/>
      <c r="L34" s="71" t="n"/>
      <c r="M34" s="36" t="n"/>
      <c r="N34" s="14">
        <f>O33</f>
        <v/>
      </c>
      <c r="O34" s="14" t="n">
        <v>74073</v>
      </c>
      <c r="P34" s="151">
        <f>O34-N34</f>
        <v/>
      </c>
      <c r="Q34" s="84" t="n"/>
      <c r="R34" s="42">
        <f>R32+1</f>
        <v/>
      </c>
      <c r="S34" s="24" t="inlineStr">
        <is>
          <t>DAY</t>
        </is>
      </c>
      <c r="T34" s="14">
        <f>U33</f>
        <v/>
      </c>
      <c r="U34" s="14" t="n">
        <v>3581</v>
      </c>
      <c r="V34" s="14">
        <f>U34-T34</f>
        <v/>
      </c>
      <c r="W34" s="3" t="n"/>
      <c r="X34" s="3" t="n"/>
      <c r="Y34" s="3" t="n"/>
      <c r="Z34" s="4" t="n"/>
      <c r="AA34" s="43" t="n"/>
      <c r="AB34" s="44" t="n"/>
      <c r="AC34" s="44" t="n"/>
      <c r="AD34" s="36" t="n"/>
      <c r="AE34" s="85">
        <f>AF33</f>
        <v/>
      </c>
      <c r="AF34" s="14" t="n">
        <v>57623</v>
      </c>
      <c r="AG34" s="151">
        <f>AF34-AE34</f>
        <v/>
      </c>
    </row>
    <row r="35">
      <c r="A35" s="42">
        <f>A34</f>
        <v/>
      </c>
      <c r="B35" s="24" t="inlineStr">
        <is>
          <t>NIGHT</t>
        </is>
      </c>
      <c r="C35" s="14">
        <f>D34</f>
        <v/>
      </c>
      <c r="D35" s="14" t="n">
        <v>5260</v>
      </c>
      <c r="E35" s="14">
        <f>D35-C35</f>
        <v/>
      </c>
      <c r="F35" s="3" t="n"/>
      <c r="G35" s="3" t="n"/>
      <c r="H35" s="3" t="n"/>
      <c r="I35" s="34" t="n"/>
      <c r="J35" s="35" t="n"/>
      <c r="K35" s="15" t="n"/>
      <c r="L35" s="15" t="n"/>
      <c r="M35" s="36" t="n"/>
      <c r="N35" s="14">
        <f>O34</f>
        <v/>
      </c>
      <c r="O35" s="14" t="n">
        <v>74243</v>
      </c>
      <c r="P35" s="151">
        <f>O35-N35</f>
        <v/>
      </c>
      <c r="Q35" s="84" t="n"/>
      <c r="R35" s="42">
        <f>R34</f>
        <v/>
      </c>
      <c r="S35" s="24" t="inlineStr">
        <is>
          <t>NIGHT</t>
        </is>
      </c>
      <c r="T35" s="14">
        <f>U34</f>
        <v/>
      </c>
      <c r="U35" s="14" t="n">
        <v>3583</v>
      </c>
      <c r="V35" s="14">
        <f>U35-T35</f>
        <v/>
      </c>
      <c r="W35" s="3" t="n"/>
      <c r="X35" s="3" t="n"/>
      <c r="Y35" s="3" t="n"/>
      <c r="Z35" s="4" t="n"/>
      <c r="AA35" s="35" t="n"/>
      <c r="AB35" s="15" t="n"/>
      <c r="AC35" s="15" t="n"/>
      <c r="AD35" s="36" t="n"/>
      <c r="AE35" s="85">
        <f>AF34</f>
        <v/>
      </c>
      <c r="AF35" s="14" t="n">
        <v>57639</v>
      </c>
      <c r="AG35" s="151">
        <f>AF35-AE35</f>
        <v/>
      </c>
    </row>
    <row r="36">
      <c r="A36" s="42">
        <f>A34+1</f>
        <v/>
      </c>
      <c r="B36" s="24" t="inlineStr">
        <is>
          <t>DAY</t>
        </is>
      </c>
      <c r="C36" s="14">
        <f>D35</f>
        <v/>
      </c>
      <c r="D36" s="14" t="n">
        <v>5270</v>
      </c>
      <c r="E36" s="14">
        <f>D36-C36</f>
        <v/>
      </c>
      <c r="F36" s="3" t="n"/>
      <c r="G36" s="3" t="n"/>
      <c r="H36" s="3" t="n"/>
      <c r="I36" s="34" t="n"/>
      <c r="J36" s="35" t="n"/>
      <c r="K36" s="15" t="n"/>
      <c r="L36" s="15" t="n"/>
      <c r="M36" s="36" t="n"/>
      <c r="N36" s="14">
        <f>O35</f>
        <v/>
      </c>
      <c r="O36" s="14" t="n">
        <v>74333</v>
      </c>
      <c r="P36" s="151">
        <f>O36-N36</f>
        <v/>
      </c>
      <c r="Q36" s="84" t="n"/>
      <c r="R36" s="42">
        <f>R34+1</f>
        <v/>
      </c>
      <c r="S36" s="24" t="inlineStr">
        <is>
          <t>DAY</t>
        </is>
      </c>
      <c r="T36" s="14">
        <f>U35</f>
        <v/>
      </c>
      <c r="U36" s="14" t="n">
        <v>3589</v>
      </c>
      <c r="V36" s="14">
        <f>U36-T36</f>
        <v/>
      </c>
      <c r="W36" s="3" t="n"/>
      <c r="X36" s="3" t="n"/>
      <c r="Y36" s="3" t="n"/>
      <c r="Z36" s="4" t="n"/>
      <c r="AA36" s="35" t="n"/>
      <c r="AB36" s="15" t="n"/>
      <c r="AC36" s="15" t="n"/>
      <c r="AD36" s="36" t="n"/>
      <c r="AE36" s="85">
        <f>AF35</f>
        <v/>
      </c>
      <c r="AF36" s="14" t="n">
        <v>57673</v>
      </c>
      <c r="AG36" s="151">
        <f>AF36-AE36</f>
        <v/>
      </c>
    </row>
    <row r="37">
      <c r="A37" s="42">
        <f>A36</f>
        <v/>
      </c>
      <c r="B37" s="24" t="inlineStr">
        <is>
          <t>NIGHT</t>
        </is>
      </c>
      <c r="C37" s="14">
        <f>D36</f>
        <v/>
      </c>
      <c r="D37" s="14" t="n">
        <v>5278</v>
      </c>
      <c r="E37" s="14">
        <f>D37-C37</f>
        <v/>
      </c>
      <c r="F37" s="3" t="n"/>
      <c r="G37" s="3" t="n"/>
      <c r="H37" s="3" t="n"/>
      <c r="I37" s="34" t="n"/>
      <c r="J37" s="35" t="n"/>
      <c r="K37" s="15" t="n"/>
      <c r="L37" s="15" t="n"/>
      <c r="M37" s="36" t="n"/>
      <c r="N37" s="14">
        <f>O36</f>
        <v/>
      </c>
      <c r="O37" s="14" t="n">
        <v>74444</v>
      </c>
      <c r="P37" s="151">
        <f>O37-N37</f>
        <v/>
      </c>
      <c r="Q37" s="84" t="n"/>
      <c r="R37" s="42">
        <f>R36</f>
        <v/>
      </c>
      <c r="S37" s="24" t="inlineStr">
        <is>
          <t>NIGHT</t>
        </is>
      </c>
      <c r="T37" s="14">
        <f>U36</f>
        <v/>
      </c>
      <c r="U37" s="14" t="n">
        <v>3595</v>
      </c>
      <c r="V37" s="14">
        <f>U37-T37</f>
        <v/>
      </c>
      <c r="W37" s="3" t="n"/>
      <c r="X37" s="3" t="n"/>
      <c r="Y37" s="3" t="n"/>
      <c r="Z37" s="4" t="n"/>
      <c r="AA37" s="35" t="n"/>
      <c r="AB37" s="15" t="n"/>
      <c r="AC37" s="15" t="n"/>
      <c r="AD37" s="36" t="n"/>
      <c r="AE37" s="85">
        <f>AF36</f>
        <v/>
      </c>
      <c r="AF37" s="14" t="n">
        <v>57730</v>
      </c>
      <c r="AG37" s="151">
        <f>AF37-AE37</f>
        <v/>
      </c>
    </row>
    <row r="38">
      <c r="A38" s="42">
        <f>A36+1</f>
        <v/>
      </c>
      <c r="B38" s="24" t="inlineStr">
        <is>
          <t>DAY</t>
        </is>
      </c>
      <c r="C38" s="14">
        <f>D37</f>
        <v/>
      </c>
      <c r="D38" s="14" t="n">
        <v>5289</v>
      </c>
      <c r="E38" s="14">
        <f>D38-C38</f>
        <v/>
      </c>
      <c r="F38" s="3" t="n">
        <v>500</v>
      </c>
      <c r="G38" s="3" t="n">
        <v>5286</v>
      </c>
      <c r="H38" s="3">
        <f>G38-G34</f>
        <v/>
      </c>
      <c r="I38" s="34">
        <f>F38/H38</f>
        <v/>
      </c>
      <c r="J38" s="35" t="n"/>
      <c r="K38" s="15" t="n"/>
      <c r="L38" s="15" t="n"/>
      <c r="M38" s="36" t="n"/>
      <c r="N38" s="14">
        <f>O37</f>
        <v/>
      </c>
      <c r="O38" s="14" t="n">
        <v>74581</v>
      </c>
      <c r="P38" s="151">
        <f>O38-N38</f>
        <v/>
      </c>
      <c r="Q38" s="84" t="n"/>
      <c r="R38" s="42">
        <f>R36+1</f>
        <v/>
      </c>
      <c r="S38" s="24" t="inlineStr">
        <is>
          <t>DAY</t>
        </is>
      </c>
      <c r="T38" s="14">
        <f>U37</f>
        <v/>
      </c>
      <c r="U38" s="14" t="n">
        <v>3599</v>
      </c>
      <c r="V38" s="14">
        <f>U38-T38</f>
        <v/>
      </c>
      <c r="W38" s="3" t="n"/>
      <c r="X38" s="3" t="n"/>
      <c r="Y38" s="3" t="n"/>
      <c r="Z38" s="4" t="n"/>
      <c r="AA38" s="35" t="n"/>
      <c r="AB38" s="15" t="n"/>
      <c r="AC38" s="15" t="n"/>
      <c r="AD38" s="36" t="n"/>
      <c r="AE38" s="85">
        <f>AF37</f>
        <v/>
      </c>
      <c r="AF38" s="14" t="n">
        <v>57756</v>
      </c>
      <c r="AG38" s="151">
        <f>AF38-AE38</f>
        <v/>
      </c>
    </row>
    <row r="39">
      <c r="A39" s="42">
        <f>A38</f>
        <v/>
      </c>
      <c r="B39" s="24" t="inlineStr">
        <is>
          <t>NIGHT</t>
        </is>
      </c>
      <c r="C39" s="14">
        <f>D38</f>
        <v/>
      </c>
      <c r="D39" s="14" t="n">
        <v>5293</v>
      </c>
      <c r="E39" s="14">
        <f>D39-C39</f>
        <v/>
      </c>
      <c r="F39" s="3" t="n"/>
      <c r="G39" s="3" t="n"/>
      <c r="H39" s="3" t="n"/>
      <c r="I39" s="34" t="n"/>
      <c r="J39" s="35" t="n"/>
      <c r="K39" s="15" t="n"/>
      <c r="L39" s="15" t="n"/>
      <c r="M39" s="36" t="n"/>
      <c r="N39" s="14">
        <f>O38</f>
        <v/>
      </c>
      <c r="O39" s="14" t="n">
        <v>74631</v>
      </c>
      <c r="P39" s="151">
        <f>O39-N39</f>
        <v/>
      </c>
      <c r="Q39" s="84" t="n"/>
      <c r="R39" s="42">
        <f>R38</f>
        <v/>
      </c>
      <c r="S39" s="24" t="inlineStr">
        <is>
          <t>NIGHT</t>
        </is>
      </c>
      <c r="T39" s="14">
        <f>U38</f>
        <v/>
      </c>
      <c r="U39" s="14" t="n">
        <v>3605</v>
      </c>
      <c r="V39" s="14">
        <f>U39-T39</f>
        <v/>
      </c>
      <c r="W39" s="3" t="n"/>
      <c r="X39" s="3" t="n"/>
      <c r="Y39" s="3" t="n"/>
      <c r="Z39" s="4" t="n"/>
      <c r="AA39" s="35" t="n"/>
      <c r="AB39" s="15" t="n"/>
      <c r="AC39" s="15" t="n"/>
      <c r="AD39" s="36" t="n"/>
      <c r="AE39" s="85">
        <f>AF38</f>
        <v/>
      </c>
      <c r="AF39" s="14" t="n">
        <v>57901</v>
      </c>
      <c r="AG39" s="151">
        <f>AF39-AE39</f>
        <v/>
      </c>
    </row>
    <row r="40">
      <c r="A40" s="42">
        <f>A38+1</f>
        <v/>
      </c>
      <c r="B40" s="24" t="inlineStr">
        <is>
          <t>DAY</t>
        </is>
      </c>
      <c r="C40" s="14">
        <f>D39</f>
        <v/>
      </c>
      <c r="D40" s="14" t="n">
        <v>5303</v>
      </c>
      <c r="E40" s="14">
        <f>D40-C40</f>
        <v/>
      </c>
      <c r="F40" s="3" t="n"/>
      <c r="G40" s="3" t="n"/>
      <c r="H40" s="3" t="n"/>
      <c r="I40" s="34" t="n"/>
      <c r="J40" s="61" t="n"/>
      <c r="K40" s="61" t="n"/>
      <c r="L40" s="62" t="n"/>
      <c r="M40" s="36" t="n"/>
      <c r="N40" s="14">
        <f>O39</f>
        <v/>
      </c>
      <c r="O40" s="87" t="n">
        <v>74760</v>
      </c>
      <c r="P40" s="151">
        <f>O40-N40</f>
        <v/>
      </c>
      <c r="Q40" s="84" t="n"/>
      <c r="R40" s="42">
        <f>R38+1</f>
        <v/>
      </c>
      <c r="S40" s="24" t="inlineStr">
        <is>
          <t>DAY</t>
        </is>
      </c>
      <c r="T40" s="14">
        <f>U39</f>
        <v/>
      </c>
      <c r="U40" s="14" t="n">
        <v>3613</v>
      </c>
      <c r="V40" s="14">
        <f>U40-T40</f>
        <v/>
      </c>
      <c r="W40" s="3" t="n">
        <v>304</v>
      </c>
      <c r="X40" s="3" t="n">
        <v>3611</v>
      </c>
      <c r="Y40" s="3">
        <f>X40-X32</f>
        <v/>
      </c>
      <c r="Z40" s="4">
        <f>W40/Y40</f>
        <v/>
      </c>
      <c r="AA40" s="35" t="n"/>
      <c r="AB40" s="15" t="n"/>
      <c r="AC40" s="15" t="n"/>
      <c r="AD40" s="36" t="n"/>
      <c r="AE40" s="85">
        <f>AF39</f>
        <v/>
      </c>
      <c r="AF40" s="14" t="n">
        <v>57979</v>
      </c>
      <c r="AG40" s="151">
        <f>AF40-AE40</f>
        <v/>
      </c>
    </row>
    <row r="41">
      <c r="A41" s="42">
        <f>A40</f>
        <v/>
      </c>
      <c r="B41" s="24" t="inlineStr">
        <is>
          <t>NIGHT</t>
        </is>
      </c>
      <c r="C41" s="14">
        <f>D40</f>
        <v/>
      </c>
      <c r="D41" s="14" t="n">
        <v>5303</v>
      </c>
      <c r="E41" s="14">
        <f>D41-C41</f>
        <v/>
      </c>
      <c r="F41" s="3" t="n"/>
      <c r="G41" s="3" t="n"/>
      <c r="H41" s="3" t="n"/>
      <c r="I41" s="34" t="n"/>
      <c r="J41" s="75" t="n">
        <v>0.75</v>
      </c>
      <c r="K41" s="75" t="n">
        <v>0.5</v>
      </c>
      <c r="L41" s="76" t="n">
        <v>0.25</v>
      </c>
      <c r="M41" s="93" t="inlineStr">
        <is>
          <t>Tyre Change work</t>
        </is>
      </c>
      <c r="N41" s="14">
        <f>O40</f>
        <v/>
      </c>
      <c r="O41" s="14" t="n">
        <v>74760</v>
      </c>
      <c r="P41" s="151">
        <f>O41-N41</f>
        <v/>
      </c>
      <c r="Q41" s="84" t="n"/>
      <c r="R41" s="42">
        <f>R40</f>
        <v/>
      </c>
      <c r="S41" s="24" t="inlineStr">
        <is>
          <t>NIGHT</t>
        </is>
      </c>
      <c r="T41" s="14">
        <f>U40</f>
        <v/>
      </c>
      <c r="U41" s="14" t="n">
        <v>3619</v>
      </c>
      <c r="V41" s="14">
        <f>U41-T41</f>
        <v/>
      </c>
      <c r="W41" s="3" t="n"/>
      <c r="X41" s="3" t="n"/>
      <c r="Y41" s="3" t="n"/>
      <c r="Z41" s="4" t="n"/>
      <c r="AA41" s="35" t="n"/>
      <c r="AB41" s="15" t="n"/>
      <c r="AC41" s="15" t="n"/>
      <c r="AD41" s="36" t="n"/>
      <c r="AE41" s="85">
        <f>AF40</f>
        <v/>
      </c>
      <c r="AF41" s="14" t="n">
        <v>58048</v>
      </c>
      <c r="AG41" s="151">
        <f>AF41-AE41</f>
        <v/>
      </c>
    </row>
    <row r="42">
      <c r="A42" s="42">
        <f>A40+1</f>
        <v/>
      </c>
      <c r="B42" s="24" t="inlineStr">
        <is>
          <t>DAY</t>
        </is>
      </c>
      <c r="C42" s="14">
        <f>D41</f>
        <v/>
      </c>
      <c r="D42" s="14" t="n">
        <v>5303</v>
      </c>
      <c r="E42" s="14">
        <f>D42-C42</f>
        <v/>
      </c>
      <c r="F42" s="3" t="n"/>
      <c r="G42" s="3" t="n"/>
      <c r="H42" s="3" t="n"/>
      <c r="I42" s="34" t="n"/>
      <c r="J42" s="75" t="n">
        <v>0.5</v>
      </c>
      <c r="K42" s="75" t="n">
        <v>0.25</v>
      </c>
      <c r="L42" s="94" t="n">
        <v>0.75</v>
      </c>
      <c r="M42" s="93" t="inlineStr">
        <is>
          <t>Tyre Change work</t>
        </is>
      </c>
      <c r="N42" s="14">
        <f>O41</f>
        <v/>
      </c>
      <c r="O42" s="14" t="n">
        <v>74760</v>
      </c>
      <c r="P42" s="151">
        <f>O42-N42</f>
        <v/>
      </c>
      <c r="Q42" s="84" t="n"/>
      <c r="R42" s="42">
        <f>R40+1</f>
        <v/>
      </c>
      <c r="S42" s="24" t="inlineStr">
        <is>
          <t>DAY</t>
        </is>
      </c>
      <c r="T42" s="14">
        <f>U41</f>
        <v/>
      </c>
      <c r="U42" s="14" t="n">
        <v>3630</v>
      </c>
      <c r="V42" s="14">
        <f>U42-T42</f>
        <v/>
      </c>
      <c r="W42" s="3" t="n"/>
      <c r="X42" s="3" t="n"/>
      <c r="Y42" s="3" t="n"/>
      <c r="Z42" s="4" t="n"/>
      <c r="AA42" s="33" t="n"/>
      <c r="AB42" s="4" t="n"/>
      <c r="AC42" s="4" t="n"/>
      <c r="AD42" s="34" t="n"/>
      <c r="AE42" s="85">
        <f>AF41</f>
        <v/>
      </c>
      <c r="AF42" s="14" t="n">
        <v>58282</v>
      </c>
      <c r="AG42" s="151">
        <f>AF42-AE42</f>
        <v/>
      </c>
    </row>
    <row r="43">
      <c r="A43" s="42">
        <f>A42</f>
        <v/>
      </c>
      <c r="B43" s="24" t="inlineStr">
        <is>
          <t>NIGHT</t>
        </is>
      </c>
      <c r="C43" s="14">
        <f>D42</f>
        <v/>
      </c>
      <c r="D43" s="14" t="n">
        <v>5308</v>
      </c>
      <c r="E43" s="14">
        <f>D43-C43</f>
        <v/>
      </c>
      <c r="F43" s="3" t="n"/>
      <c r="G43" s="3" t="n"/>
      <c r="H43" s="3" t="n"/>
      <c r="I43" s="34" t="n"/>
      <c r="J43" s="61" t="n"/>
      <c r="K43" s="62" t="n"/>
      <c r="L43" s="62" t="n"/>
      <c r="M43" s="151" t="n"/>
      <c r="N43" s="14">
        <f>O42</f>
        <v/>
      </c>
      <c r="O43" s="14" t="n">
        <v>74814</v>
      </c>
      <c r="P43" s="151">
        <f>O43-N43</f>
        <v/>
      </c>
      <c r="Q43" s="84" t="n"/>
      <c r="R43" s="42">
        <f>R42</f>
        <v/>
      </c>
      <c r="S43" s="24" t="inlineStr">
        <is>
          <t>NIGHT</t>
        </is>
      </c>
      <c r="T43" s="14">
        <f>U42</f>
        <v/>
      </c>
      <c r="U43" s="14" t="n">
        <v>3633</v>
      </c>
      <c r="V43" s="14">
        <f>U43-T43</f>
        <v/>
      </c>
      <c r="W43" s="3" t="n"/>
      <c r="X43" s="3" t="n"/>
      <c r="Y43" s="3" t="n"/>
      <c r="Z43" s="4" t="n"/>
      <c r="AA43" s="35" t="n"/>
      <c r="AB43" s="15" t="n"/>
      <c r="AC43" s="15" t="n"/>
      <c r="AD43" s="36" t="n"/>
      <c r="AE43" s="85">
        <f>AF42</f>
        <v/>
      </c>
      <c r="AF43" s="14" t="n">
        <v>58320</v>
      </c>
      <c r="AG43" s="151">
        <f>AF43-AE43</f>
        <v/>
      </c>
    </row>
    <row r="44">
      <c r="A44" s="42">
        <f>A42+1</f>
        <v/>
      </c>
      <c r="B44" s="24" t="inlineStr">
        <is>
          <t>DAY</t>
        </is>
      </c>
      <c r="C44" s="14">
        <f>D43</f>
        <v/>
      </c>
      <c r="D44" s="14" t="n">
        <v>5311</v>
      </c>
      <c r="E44" s="14">
        <f>D44-C44</f>
        <v/>
      </c>
      <c r="F44" s="3" t="n"/>
      <c r="G44" s="3" t="n"/>
      <c r="H44" s="3" t="n"/>
      <c r="I44" s="34" t="n"/>
      <c r="J44" s="61" t="n"/>
      <c r="K44" s="62" t="n"/>
      <c r="L44" s="62" t="n"/>
      <c r="M44" s="151" t="n"/>
      <c r="N44" s="14">
        <f>O43</f>
        <v/>
      </c>
      <c r="O44" s="14" t="n">
        <v>74845</v>
      </c>
      <c r="P44" s="151">
        <f>O44-N44</f>
        <v/>
      </c>
      <c r="Q44" s="84" t="n"/>
      <c r="R44" s="42">
        <f>R42+1</f>
        <v/>
      </c>
      <c r="S44" s="24" t="inlineStr">
        <is>
          <t>DAY</t>
        </is>
      </c>
      <c r="T44" s="14">
        <f>U43</f>
        <v/>
      </c>
      <c r="U44" s="14" t="n">
        <v>3633</v>
      </c>
      <c r="V44" s="14">
        <f>U44-T44</f>
        <v/>
      </c>
      <c r="W44" s="3" t="n"/>
      <c r="X44" s="3" t="n"/>
      <c r="Y44" s="3" t="n"/>
      <c r="Z44" s="4" t="n"/>
      <c r="AA44" s="35" t="n"/>
      <c r="AB44" s="15" t="n"/>
      <c r="AC44" s="15" t="n"/>
      <c r="AD44" s="36" t="n"/>
      <c r="AE44" s="85">
        <f>AF43</f>
        <v/>
      </c>
      <c r="AF44" s="14" t="n">
        <v>58324</v>
      </c>
      <c r="AG44" s="151">
        <f>AF44-AE44</f>
        <v/>
      </c>
    </row>
    <row r="45">
      <c r="A45" s="42">
        <f>A44</f>
        <v/>
      </c>
      <c r="B45" s="24" t="inlineStr">
        <is>
          <t>NIGHT</t>
        </is>
      </c>
      <c r="C45" s="14">
        <f>D44</f>
        <v/>
      </c>
      <c r="D45" s="14" t="n">
        <v>5313</v>
      </c>
      <c r="E45" s="14">
        <f>D45-C45</f>
        <v/>
      </c>
      <c r="F45" s="3" t="n"/>
      <c r="G45" s="3" t="n"/>
      <c r="H45" s="3" t="n"/>
      <c r="I45" s="34" t="n"/>
      <c r="J45" s="35" t="n"/>
      <c r="K45" s="15" t="n"/>
      <c r="L45" s="15" t="n"/>
      <c r="M45" s="36" t="n"/>
      <c r="N45" s="14">
        <f>O44</f>
        <v/>
      </c>
      <c r="O45" s="14" t="n">
        <v>74862</v>
      </c>
      <c r="P45" s="151">
        <f>O45-N45</f>
        <v/>
      </c>
      <c r="Q45" s="84" t="n"/>
      <c r="R45" s="42">
        <f>R44</f>
        <v/>
      </c>
      <c r="S45" s="24" t="inlineStr">
        <is>
          <t>NIGHT</t>
        </is>
      </c>
      <c r="T45" s="14">
        <f>U44</f>
        <v/>
      </c>
      <c r="U45" s="14" t="n">
        <v>3634</v>
      </c>
      <c r="V45" s="14">
        <f>U45-T45</f>
        <v/>
      </c>
      <c r="W45" s="3" t="n"/>
      <c r="X45" s="3" t="n"/>
      <c r="Y45" s="3" t="n"/>
      <c r="Z45" s="4" t="n"/>
      <c r="AA45" s="35" t="n"/>
      <c r="AB45" s="15" t="n"/>
      <c r="AC45" s="15" t="n"/>
      <c r="AD45" s="36" t="n"/>
      <c r="AE45" s="85">
        <f>AF44</f>
        <v/>
      </c>
      <c r="AF45" s="14" t="n">
        <v>58327</v>
      </c>
      <c r="AG45" s="151">
        <f>AF45-AE45</f>
        <v/>
      </c>
    </row>
    <row r="46">
      <c r="A46" s="42">
        <f>A44+1</f>
        <v/>
      </c>
      <c r="B46" s="24" t="inlineStr">
        <is>
          <t>DAY</t>
        </is>
      </c>
      <c r="C46" s="14">
        <f>D45</f>
        <v/>
      </c>
      <c r="D46" s="14" t="n">
        <v>5319</v>
      </c>
      <c r="E46" s="14">
        <f>D46-C46</f>
        <v/>
      </c>
      <c r="F46" s="3" t="n">
        <v>300</v>
      </c>
      <c r="G46" s="3" t="n">
        <v>5313</v>
      </c>
      <c r="H46" s="3">
        <f>G46-G38</f>
        <v/>
      </c>
      <c r="I46" s="34">
        <f>F46/H46</f>
        <v/>
      </c>
      <c r="J46" s="35" t="n"/>
      <c r="K46" s="15" t="n"/>
      <c r="L46" s="15" t="n"/>
      <c r="M46" s="36" t="n"/>
      <c r="N46" s="14">
        <f>O45</f>
        <v/>
      </c>
      <c r="O46" s="14" t="n">
        <v>74935</v>
      </c>
      <c r="P46" s="151">
        <f>O46-N46</f>
        <v/>
      </c>
      <c r="Q46" s="84" t="n"/>
      <c r="R46" s="42">
        <f>R44+1</f>
        <v/>
      </c>
      <c r="S46" s="24" t="inlineStr">
        <is>
          <t>DAY</t>
        </is>
      </c>
      <c r="T46" s="14">
        <f>U45</f>
        <v/>
      </c>
      <c r="U46" s="14" t="n">
        <v>3638</v>
      </c>
      <c r="V46" s="14">
        <f>U46-T46</f>
        <v/>
      </c>
      <c r="W46" s="86" t="n">
        <v>677</v>
      </c>
      <c r="X46" s="3" t="n">
        <v>3635</v>
      </c>
      <c r="Y46" s="3">
        <f>X46-X40</f>
        <v/>
      </c>
      <c r="Z46" s="4">
        <f>W46/Y46</f>
        <v/>
      </c>
      <c r="AA46" s="81" t="n"/>
      <c r="AB46" s="15" t="n"/>
      <c r="AC46" s="15" t="n"/>
      <c r="AD46" s="36" t="n"/>
      <c r="AE46" s="85">
        <f>AF45</f>
        <v/>
      </c>
      <c r="AF46" s="14" t="n">
        <v>58416</v>
      </c>
      <c r="AG46" s="151">
        <f>AF46-AE46</f>
        <v/>
      </c>
    </row>
    <row r="47">
      <c r="A47" s="42">
        <f>A46</f>
        <v/>
      </c>
      <c r="B47" s="24" t="inlineStr">
        <is>
          <t>NIGHT</t>
        </is>
      </c>
      <c r="C47" s="14">
        <f>D46</f>
        <v/>
      </c>
      <c r="D47" s="14" t="n">
        <v>5328</v>
      </c>
      <c r="E47" s="14">
        <f>D47-C47</f>
        <v/>
      </c>
      <c r="F47" s="3" t="n"/>
      <c r="G47" s="3" t="n"/>
      <c r="H47" s="3" t="n"/>
      <c r="I47" s="34" t="n"/>
      <c r="J47" s="33" t="n"/>
      <c r="K47" s="4" t="n"/>
      <c r="L47" s="4" t="n"/>
      <c r="M47" s="34" t="n"/>
      <c r="N47" s="14">
        <f>O46</f>
        <v/>
      </c>
      <c r="O47" s="14" t="n">
        <v>75060</v>
      </c>
      <c r="P47" s="151">
        <f>O47-N47</f>
        <v/>
      </c>
      <c r="Q47" s="84" t="n"/>
      <c r="R47" s="42">
        <f>R46</f>
        <v/>
      </c>
      <c r="S47" s="24" t="inlineStr">
        <is>
          <t>NIGHT</t>
        </is>
      </c>
      <c r="T47" s="14">
        <f>U46</f>
        <v/>
      </c>
      <c r="U47" s="14" t="n">
        <v>3644</v>
      </c>
      <c r="V47" s="14">
        <f>U47-T47</f>
        <v/>
      </c>
      <c r="W47" s="3" t="n"/>
      <c r="X47" s="3" t="n"/>
      <c r="Y47" s="3" t="n"/>
      <c r="Z47" s="4" t="n"/>
      <c r="AA47" s="81" t="n"/>
      <c r="AB47" s="81" t="n"/>
      <c r="AC47" s="82" t="n"/>
      <c r="AD47" s="36" t="n"/>
      <c r="AE47" s="85">
        <f>AF46</f>
        <v/>
      </c>
      <c r="AF47" s="14" t="n">
        <v>58477</v>
      </c>
      <c r="AG47" s="151">
        <f>AF47-AE47</f>
        <v/>
      </c>
    </row>
    <row r="48">
      <c r="A48" s="42">
        <f>A46+1</f>
        <v/>
      </c>
      <c r="B48" s="24" t="inlineStr">
        <is>
          <t>DAY</t>
        </is>
      </c>
      <c r="C48" s="14">
        <f>D47</f>
        <v/>
      </c>
      <c r="D48" s="14" t="n">
        <v>5334</v>
      </c>
      <c r="E48" s="14">
        <f>D48-C48</f>
        <v/>
      </c>
      <c r="F48" s="3" t="n">
        <v>233</v>
      </c>
      <c r="G48" s="3" t="n">
        <v>5329</v>
      </c>
      <c r="H48" s="3">
        <f>G48-G46</f>
        <v/>
      </c>
      <c r="I48" s="34">
        <f>F48/H48</f>
        <v/>
      </c>
      <c r="J48" s="35" t="n"/>
      <c r="K48" s="15" t="n"/>
      <c r="L48" s="15" t="n"/>
      <c r="M48" s="36" t="n"/>
      <c r="N48" s="14">
        <f>O47</f>
        <v/>
      </c>
      <c r="O48" s="14" t="n">
        <v>75135</v>
      </c>
      <c r="P48" s="151">
        <f>O48-N48</f>
        <v/>
      </c>
      <c r="Q48" s="84" t="n"/>
      <c r="R48" s="42">
        <f>R46+1</f>
        <v/>
      </c>
      <c r="S48" s="24" t="inlineStr">
        <is>
          <t>DAY</t>
        </is>
      </c>
      <c r="T48" s="14">
        <f>U47</f>
        <v/>
      </c>
      <c r="U48" s="14" t="n">
        <v>3649</v>
      </c>
      <c r="V48" s="14">
        <f>U48-T48</f>
        <v/>
      </c>
      <c r="W48" s="3" t="n">
        <v>175</v>
      </c>
      <c r="X48" s="3" t="n">
        <v>3645</v>
      </c>
      <c r="Y48" s="3">
        <f>X48-X46</f>
        <v/>
      </c>
      <c r="Z48" s="4">
        <f>W48/Y48</f>
        <v/>
      </c>
      <c r="AA48" s="81" t="n"/>
      <c r="AB48" s="81" t="n"/>
      <c r="AC48" s="62" t="n"/>
      <c r="AD48" s="36" t="n"/>
      <c r="AE48" s="85">
        <f>AF47</f>
        <v/>
      </c>
      <c r="AF48" s="14" t="n">
        <v>58618</v>
      </c>
      <c r="AG48" s="151">
        <f>AF48-AE48</f>
        <v/>
      </c>
    </row>
    <row r="49">
      <c r="A49" s="42">
        <f>A48</f>
        <v/>
      </c>
      <c r="B49" s="24" t="inlineStr">
        <is>
          <t>NIGHT</t>
        </is>
      </c>
      <c r="C49" s="14">
        <f>D48</f>
        <v/>
      </c>
      <c r="D49" s="14" t="n">
        <v>5344</v>
      </c>
      <c r="E49" s="14">
        <f>D49-C49</f>
        <v/>
      </c>
      <c r="F49" s="3" t="n"/>
      <c r="G49" s="3" t="n"/>
      <c r="H49" s="3" t="n"/>
      <c r="I49" s="34" t="n"/>
      <c r="J49" s="35" t="n"/>
      <c r="K49" s="15" t="n"/>
      <c r="L49" s="15" t="n"/>
      <c r="M49" s="36" t="n"/>
      <c r="N49" s="14">
        <f>O48</f>
        <v/>
      </c>
      <c r="O49" s="14" t="n">
        <v>75342</v>
      </c>
      <c r="P49" s="151">
        <f>O49-N49</f>
        <v/>
      </c>
      <c r="Q49" s="84" t="n"/>
      <c r="R49" s="42">
        <f>R48</f>
        <v/>
      </c>
      <c r="S49" s="24" t="inlineStr">
        <is>
          <t>NIGHT</t>
        </is>
      </c>
      <c r="T49" s="14">
        <f>U48</f>
        <v/>
      </c>
      <c r="U49" s="14" t="n">
        <v>3655</v>
      </c>
      <c r="V49" s="14">
        <f>U49-T49</f>
        <v/>
      </c>
      <c r="W49" s="3" t="n"/>
      <c r="X49" s="3" t="n"/>
      <c r="Y49" s="3" t="n"/>
      <c r="Z49" s="4" t="n"/>
      <c r="AA49" s="35" t="n"/>
      <c r="AB49" s="15" t="n"/>
      <c r="AC49" s="15" t="n"/>
      <c r="AD49" s="36" t="n"/>
      <c r="AE49" s="85">
        <f>AF48</f>
        <v/>
      </c>
      <c r="AF49" s="14" t="n">
        <v>58745</v>
      </c>
      <c r="AG49" s="151">
        <f>AF49-AE49</f>
        <v/>
      </c>
    </row>
    <row r="50">
      <c r="A50" s="42">
        <f>A48+1</f>
        <v/>
      </c>
      <c r="B50" s="24" t="inlineStr">
        <is>
          <t>DAY</t>
        </is>
      </c>
      <c r="C50" s="14">
        <f>D49</f>
        <v/>
      </c>
      <c r="D50" s="14" t="n">
        <v>5355</v>
      </c>
      <c r="E50" s="14">
        <f>D50-C50</f>
        <v/>
      </c>
      <c r="F50" s="3" t="n"/>
      <c r="G50" s="3" t="n"/>
      <c r="H50" s="3" t="n"/>
      <c r="I50" s="34" t="n"/>
      <c r="J50" s="35" t="n"/>
      <c r="K50" s="15" t="n"/>
      <c r="L50" s="15" t="n"/>
      <c r="M50" s="36" t="n"/>
      <c r="N50" s="14">
        <f>O49</f>
        <v/>
      </c>
      <c r="O50" s="14" t="n">
        <v>75502</v>
      </c>
      <c r="P50" s="151">
        <f>O50-N50</f>
        <v/>
      </c>
      <c r="Q50" s="84" t="n"/>
      <c r="R50" s="42">
        <f>R48+1</f>
        <v/>
      </c>
      <c r="S50" s="24" t="inlineStr">
        <is>
          <t>DAY</t>
        </is>
      </c>
      <c r="T50" s="14">
        <f>U49</f>
        <v/>
      </c>
      <c r="U50" s="14" t="n">
        <v>3661</v>
      </c>
      <c r="V50" s="14">
        <f>U50-T50</f>
        <v/>
      </c>
      <c r="W50" s="3" t="n"/>
      <c r="X50" s="3" t="n"/>
      <c r="Y50" s="3" t="n"/>
      <c r="Z50" s="4" t="n"/>
      <c r="AA50" s="35" t="n"/>
      <c r="AB50" s="15" t="n"/>
      <c r="AC50" s="15" t="n"/>
      <c r="AD50" s="36" t="n"/>
      <c r="AE50" s="85">
        <f>AF49</f>
        <v/>
      </c>
      <c r="AF50" s="14" t="n">
        <v>58824</v>
      </c>
      <c r="AG50" s="151">
        <f>AF50-AE50</f>
        <v/>
      </c>
    </row>
    <row r="51">
      <c r="A51" s="42">
        <f>A50</f>
        <v/>
      </c>
      <c r="B51" s="24" t="inlineStr">
        <is>
          <t>NIGHT</t>
        </is>
      </c>
      <c r="C51" s="14">
        <f>D50</f>
        <v/>
      </c>
      <c r="D51" s="14" t="n">
        <v>5364</v>
      </c>
      <c r="E51" s="14">
        <f>D51-C51</f>
        <v/>
      </c>
      <c r="F51" s="3" t="n"/>
      <c r="G51" s="3" t="n"/>
      <c r="H51" s="3" t="n"/>
      <c r="I51" s="34" t="n"/>
      <c r="J51" s="35" t="n"/>
      <c r="K51" s="15" t="n"/>
      <c r="L51" s="15" t="n"/>
      <c r="M51" s="36" t="n"/>
      <c r="N51" s="14">
        <f>O50</f>
        <v/>
      </c>
      <c r="O51" s="14" t="n">
        <v>75633</v>
      </c>
      <c r="P51" s="151">
        <f>O51-N51</f>
        <v/>
      </c>
      <c r="Q51" s="84" t="n"/>
      <c r="R51" s="42">
        <f>R50</f>
        <v/>
      </c>
      <c r="S51" s="24" t="inlineStr">
        <is>
          <t>NIGHT</t>
        </is>
      </c>
      <c r="T51" s="14">
        <f>U50</f>
        <v/>
      </c>
      <c r="U51" s="14" t="n">
        <v>3667</v>
      </c>
      <c r="V51" s="14">
        <f>U51-T51</f>
        <v/>
      </c>
      <c r="W51" s="3" t="n"/>
      <c r="X51" s="3" t="n"/>
      <c r="Y51" s="3" t="n"/>
      <c r="Z51" s="4" t="n"/>
      <c r="AA51" s="35" t="n"/>
      <c r="AB51" s="15" t="n"/>
      <c r="AC51" s="15" t="n"/>
      <c r="AD51" s="36" t="n"/>
      <c r="AE51" s="85">
        <f>AF50</f>
        <v/>
      </c>
      <c r="AF51" s="14" t="n">
        <v>58925</v>
      </c>
      <c r="AG51" s="151">
        <f>AF51-AE51</f>
        <v/>
      </c>
    </row>
    <row r="52">
      <c r="A52" s="42">
        <f>A50+1</f>
        <v/>
      </c>
      <c r="B52" s="24" t="inlineStr">
        <is>
          <t>DAY</t>
        </is>
      </c>
      <c r="C52" s="14">
        <f>D51</f>
        <v/>
      </c>
      <c r="D52" s="14" t="n">
        <v>5371</v>
      </c>
      <c r="E52" s="14">
        <f>D52-C52</f>
        <v/>
      </c>
      <c r="F52" s="3" t="n">
        <v>250</v>
      </c>
      <c r="G52" s="3" t="n">
        <v>5369</v>
      </c>
      <c r="H52" s="3">
        <f>G52-G48</f>
        <v/>
      </c>
      <c r="I52" s="34">
        <f>F52/H52</f>
        <v/>
      </c>
      <c r="J52" s="35" t="n"/>
      <c r="K52" s="15" t="n"/>
      <c r="L52" s="15" t="n"/>
      <c r="M52" s="36" t="n"/>
      <c r="N52" s="14">
        <f>O51</f>
        <v/>
      </c>
      <c r="O52" s="14" t="n">
        <v>75679</v>
      </c>
      <c r="P52" s="151">
        <f>O52-N52</f>
        <v/>
      </c>
      <c r="Q52" s="84" t="n"/>
      <c r="R52" s="42">
        <f>R50+1</f>
        <v/>
      </c>
      <c r="S52" s="24" t="inlineStr">
        <is>
          <t>DAY</t>
        </is>
      </c>
      <c r="T52" s="14">
        <f>U51</f>
        <v/>
      </c>
      <c r="U52" s="14" t="n">
        <v>3675</v>
      </c>
      <c r="V52" s="14">
        <f>U52-T52</f>
        <v/>
      </c>
      <c r="W52" s="3" t="n"/>
      <c r="X52" s="3" t="n"/>
      <c r="Y52" s="3" t="n"/>
      <c r="Z52" s="4" t="n"/>
      <c r="AA52" s="35" t="n"/>
      <c r="AB52" s="15" t="n"/>
      <c r="AC52" s="15" t="n"/>
      <c r="AD52" s="36" t="n"/>
      <c r="AE52" s="85">
        <f>AF51</f>
        <v/>
      </c>
      <c r="AF52" s="14" t="n">
        <v>59026</v>
      </c>
      <c r="AG52" s="151">
        <f>AF52-AE52</f>
        <v/>
      </c>
    </row>
    <row r="53">
      <c r="A53" s="42">
        <f>A52</f>
        <v/>
      </c>
      <c r="B53" s="24" t="inlineStr">
        <is>
          <t>NIGHT</t>
        </is>
      </c>
      <c r="C53" s="14">
        <f>D52</f>
        <v/>
      </c>
      <c r="D53" s="14" t="n">
        <v>5378</v>
      </c>
      <c r="E53" s="14">
        <f>D53-C53</f>
        <v/>
      </c>
      <c r="F53" s="3" t="n"/>
      <c r="G53" s="3" t="n"/>
      <c r="H53" s="3" t="n"/>
      <c r="I53" s="34" t="n"/>
      <c r="J53" s="35" t="n"/>
      <c r="K53" s="15" t="n"/>
      <c r="L53" s="15" t="n"/>
      <c r="M53" s="36" t="n"/>
      <c r="N53" s="14">
        <f>O52</f>
        <v/>
      </c>
      <c r="O53" s="14" t="n">
        <v>75816</v>
      </c>
      <c r="P53" s="151">
        <f>O53-N53</f>
        <v/>
      </c>
      <c r="Q53" s="84" t="n"/>
      <c r="R53" s="42">
        <f>R52</f>
        <v/>
      </c>
      <c r="S53" s="24" t="inlineStr">
        <is>
          <t>NIGHT</t>
        </is>
      </c>
      <c r="T53" s="14">
        <f>U52</f>
        <v/>
      </c>
      <c r="U53" s="14" t="n">
        <v>3683</v>
      </c>
      <c r="V53" s="14">
        <f>U53-T53</f>
        <v/>
      </c>
      <c r="W53" s="3" t="n"/>
      <c r="X53" s="3" t="n"/>
      <c r="Y53" s="3" t="n"/>
      <c r="Z53" s="4" t="n"/>
      <c r="AA53" s="35" t="n"/>
      <c r="AB53" s="15" t="n"/>
      <c r="AC53" s="15" t="n"/>
      <c r="AD53" s="36" t="n"/>
      <c r="AE53" s="85">
        <f>AF52</f>
        <v/>
      </c>
      <c r="AF53" s="14" t="n">
        <v>59140</v>
      </c>
      <c r="AG53" s="151">
        <f>AF53-AE53</f>
        <v/>
      </c>
    </row>
    <row r="54">
      <c r="A54" s="42">
        <f>A52+1</f>
        <v/>
      </c>
      <c r="B54" s="24" t="inlineStr">
        <is>
          <t>DAY</t>
        </is>
      </c>
      <c r="C54" s="14">
        <f>D53</f>
        <v/>
      </c>
      <c r="D54" s="14" t="n">
        <v>5387</v>
      </c>
      <c r="E54" s="14">
        <f>D54-C54</f>
        <v/>
      </c>
      <c r="F54" s="3" t="n">
        <v>207</v>
      </c>
      <c r="G54" s="3" t="n">
        <v>5383</v>
      </c>
      <c r="H54" s="3">
        <f>G54-G52</f>
        <v/>
      </c>
      <c r="I54" s="34">
        <f>F54/H54</f>
        <v/>
      </c>
      <c r="J54" s="35" t="n"/>
      <c r="K54" s="15" t="n"/>
      <c r="L54" s="15" t="n"/>
      <c r="M54" s="36" t="n"/>
      <c r="N54" s="14">
        <f>O53</f>
        <v/>
      </c>
      <c r="O54" s="86" t="n">
        <v>75932</v>
      </c>
      <c r="P54" s="151">
        <f>O54-N54</f>
        <v/>
      </c>
      <c r="Q54" s="84" t="n"/>
      <c r="R54" s="42">
        <f>R52+1</f>
        <v/>
      </c>
      <c r="S54" s="24" t="inlineStr">
        <is>
          <t>DAY</t>
        </is>
      </c>
      <c r="T54" s="14">
        <f>U53</f>
        <v/>
      </c>
      <c r="U54" s="14" t="n">
        <v>3691</v>
      </c>
      <c r="V54" s="14">
        <f>U54-T54</f>
        <v/>
      </c>
      <c r="W54" s="3" t="n">
        <v>320</v>
      </c>
      <c r="X54" s="3" t="n">
        <v>3687</v>
      </c>
      <c r="Y54" s="3">
        <f>X54-X48</f>
        <v/>
      </c>
      <c r="Z54" s="4">
        <f>W54/Y54</f>
        <v/>
      </c>
      <c r="AA54" s="35" t="n"/>
      <c r="AB54" s="15" t="n"/>
      <c r="AC54" s="15" t="n"/>
      <c r="AD54" s="36" t="n"/>
      <c r="AE54" s="85">
        <f>AF53</f>
        <v/>
      </c>
      <c r="AF54" s="14" t="n">
        <v>59207</v>
      </c>
      <c r="AG54" s="151">
        <f>AF54-AE54</f>
        <v/>
      </c>
    </row>
    <row r="55">
      <c r="A55" s="42">
        <f>A54</f>
        <v/>
      </c>
      <c r="B55" s="24" t="inlineStr">
        <is>
          <t>NIGHT</t>
        </is>
      </c>
      <c r="C55" s="14">
        <f>D54</f>
        <v/>
      </c>
      <c r="D55" s="14" t="n">
        <v>5397</v>
      </c>
      <c r="E55" s="14">
        <f>D55-C55</f>
        <v/>
      </c>
      <c r="F55" s="3" t="n"/>
      <c r="G55" s="3" t="n"/>
      <c r="H55" s="3" t="n"/>
      <c r="I55" s="34" t="n"/>
      <c r="J55" s="35" t="n"/>
      <c r="K55" s="15" t="n"/>
      <c r="L55" s="15" t="n"/>
      <c r="M55" s="36" t="n"/>
      <c r="N55" s="14">
        <f>O54</f>
        <v/>
      </c>
      <c r="O55" s="14" t="n">
        <v>76062</v>
      </c>
      <c r="P55" s="151">
        <f>O55-N55</f>
        <v/>
      </c>
      <c r="Q55" s="84" t="n"/>
      <c r="R55" s="42">
        <f>R54</f>
        <v/>
      </c>
      <c r="S55" s="24" t="inlineStr">
        <is>
          <t>NIGHT</t>
        </is>
      </c>
      <c r="T55" s="14">
        <f>U54</f>
        <v/>
      </c>
      <c r="U55" s="14" t="n">
        <v>3699</v>
      </c>
      <c r="V55" s="14">
        <f>U55-T55</f>
        <v/>
      </c>
      <c r="W55" s="3" t="n"/>
      <c r="X55" s="3" t="n"/>
      <c r="Y55" s="3" t="n"/>
      <c r="Z55" s="4" t="n"/>
      <c r="AA55" s="35" t="n"/>
      <c r="AB55" s="15" t="n"/>
      <c r="AC55" s="15" t="n"/>
      <c r="AD55" s="36" t="n"/>
      <c r="AE55" s="85">
        <f>AF54</f>
        <v/>
      </c>
      <c r="AF55" s="86" t="n">
        <v>59319</v>
      </c>
      <c r="AG55" s="151">
        <f>AF55-AE55</f>
        <v/>
      </c>
    </row>
    <row r="56">
      <c r="A56" s="42">
        <f>A54+1</f>
        <v/>
      </c>
      <c r="B56" s="24" t="inlineStr">
        <is>
          <t>DAY</t>
        </is>
      </c>
      <c r="C56" s="14">
        <f>D55</f>
        <v/>
      </c>
      <c r="D56" s="14" t="n">
        <v>5402</v>
      </c>
      <c r="E56" s="14">
        <f>D56-C56</f>
        <v/>
      </c>
      <c r="F56" s="3" t="n">
        <v>300</v>
      </c>
      <c r="G56" s="3" t="n">
        <v>5401</v>
      </c>
      <c r="H56" s="3">
        <f>G56-G54</f>
        <v/>
      </c>
      <c r="I56" s="34">
        <f>F56/H56</f>
        <v/>
      </c>
      <c r="J56" s="50" t="n"/>
      <c r="K56" s="14" t="n"/>
      <c r="L56" s="14" t="n"/>
      <c r="M56" s="151" t="n"/>
      <c r="N56" s="14">
        <f>O55</f>
        <v/>
      </c>
      <c r="O56" s="14" t="n">
        <v>76103</v>
      </c>
      <c r="P56" s="151">
        <f>O56-N56</f>
        <v/>
      </c>
      <c r="Q56" s="84" t="n"/>
      <c r="R56" s="42">
        <f>R54+1</f>
        <v/>
      </c>
      <c r="S56" s="24" t="inlineStr">
        <is>
          <t>DAY</t>
        </is>
      </c>
      <c r="T56" s="14">
        <f>U55</f>
        <v/>
      </c>
      <c r="U56" s="14" t="n">
        <v>3707</v>
      </c>
      <c r="V56" s="14">
        <f>U56-T56</f>
        <v/>
      </c>
      <c r="W56" s="3" t="n">
        <v>550</v>
      </c>
      <c r="X56" s="3" t="n">
        <v>3702</v>
      </c>
      <c r="Y56" s="3">
        <f>X56-X54</f>
        <v/>
      </c>
      <c r="Z56" s="4">
        <f>W56/Y56</f>
        <v/>
      </c>
      <c r="AA56" s="61" t="n"/>
      <c r="AB56" s="62" t="n"/>
      <c r="AC56" s="62" t="n"/>
      <c r="AD56" s="151" t="n"/>
      <c r="AE56" s="85">
        <f>AF55</f>
        <v/>
      </c>
      <c r="AF56" s="14" t="n">
        <v>59443</v>
      </c>
      <c r="AG56" s="151">
        <f>AF56-AE56</f>
        <v/>
      </c>
    </row>
    <row r="57">
      <c r="A57" s="42">
        <f>A56</f>
        <v/>
      </c>
      <c r="B57" s="24" t="inlineStr">
        <is>
          <t>NIGHT</t>
        </is>
      </c>
      <c r="C57" s="14">
        <f>D56</f>
        <v/>
      </c>
      <c r="D57" s="14" t="n">
        <v>5413</v>
      </c>
      <c r="E57" s="14">
        <f>D57-C57</f>
        <v/>
      </c>
      <c r="F57" s="3" t="n"/>
      <c r="G57" s="3" t="n"/>
      <c r="H57" s="3" t="n"/>
      <c r="I57" s="34" t="n"/>
      <c r="J57" s="50" t="n"/>
      <c r="K57" s="14" t="n"/>
      <c r="L57" s="14" t="n"/>
      <c r="M57" s="151" t="n"/>
      <c r="N57" s="14">
        <f>O56</f>
        <v/>
      </c>
      <c r="O57" s="14" t="n">
        <v>76261</v>
      </c>
      <c r="P57" s="151">
        <f>O57-N57</f>
        <v/>
      </c>
      <c r="Q57" s="84" t="n"/>
      <c r="R57" s="42">
        <f>R56</f>
        <v/>
      </c>
      <c r="S57" s="24" t="inlineStr">
        <is>
          <t>NIGHT</t>
        </is>
      </c>
      <c r="T57" s="14">
        <f>U56</f>
        <v/>
      </c>
      <c r="U57" s="14" t="n">
        <v>3710</v>
      </c>
      <c r="V57" s="14">
        <f>U57-T57</f>
        <v/>
      </c>
      <c r="W57" s="3" t="n"/>
      <c r="X57" s="3" t="n"/>
      <c r="Y57" s="3" t="n"/>
      <c r="Z57" s="4" t="n"/>
      <c r="AA57" s="50" t="n"/>
      <c r="AB57" s="14" t="n"/>
      <c r="AC57" s="14" t="n"/>
      <c r="AD57" s="151" t="n"/>
      <c r="AE57" s="85">
        <f>AF56</f>
        <v/>
      </c>
      <c r="AF57" s="14" t="n">
        <v>59468</v>
      </c>
      <c r="AG57" s="151">
        <f>AF57-AE57</f>
        <v/>
      </c>
    </row>
    <row r="58">
      <c r="A58" s="42">
        <f>A56+1</f>
        <v/>
      </c>
      <c r="B58" s="24" t="inlineStr">
        <is>
          <t>DAY</t>
        </is>
      </c>
      <c r="C58" s="14">
        <f>D57</f>
        <v/>
      </c>
      <c r="D58" s="14" t="n">
        <v>5421</v>
      </c>
      <c r="E58" s="14">
        <f>D58-C58</f>
        <v/>
      </c>
      <c r="F58" s="3" t="n"/>
      <c r="G58" s="3" t="n"/>
      <c r="H58" s="3" t="n"/>
      <c r="I58" s="34" t="n"/>
      <c r="J58" s="50" t="n"/>
      <c r="K58" s="14" t="n"/>
      <c r="L58" s="14" t="n"/>
      <c r="M58" s="151" t="n"/>
      <c r="N58" s="14">
        <f>O57</f>
        <v/>
      </c>
      <c r="O58" s="14" t="n">
        <v>76367</v>
      </c>
      <c r="P58" s="151">
        <f>O58-N58</f>
        <v/>
      </c>
      <c r="Q58" s="84" t="n"/>
      <c r="R58" s="42">
        <f>R56+1</f>
        <v/>
      </c>
      <c r="S58" s="24" t="inlineStr">
        <is>
          <t>DAY</t>
        </is>
      </c>
      <c r="T58" s="14">
        <f>U57</f>
        <v/>
      </c>
      <c r="U58" s="14" t="n">
        <v>3718</v>
      </c>
      <c r="V58" s="14">
        <f>U58-T58</f>
        <v/>
      </c>
      <c r="W58" s="3" t="n"/>
      <c r="X58" s="3" t="n"/>
      <c r="Y58" s="3" t="n"/>
      <c r="Z58" s="4" t="n"/>
      <c r="AA58" s="50" t="n"/>
      <c r="AB58" s="14" t="n"/>
      <c r="AC58" s="14" t="n"/>
      <c r="AD58" s="151" t="n"/>
      <c r="AE58" s="85">
        <f>AF57</f>
        <v/>
      </c>
      <c r="AF58" s="14" t="n">
        <v>59582</v>
      </c>
      <c r="AG58" s="151">
        <f>AF58-AE58</f>
        <v/>
      </c>
    </row>
    <row r="59">
      <c r="A59" s="42">
        <f>A58</f>
        <v/>
      </c>
      <c r="B59" s="24" t="inlineStr">
        <is>
          <t>NIGHT</t>
        </is>
      </c>
      <c r="C59" s="14">
        <f>D58</f>
        <v/>
      </c>
      <c r="D59" s="14" t="n">
        <v>5425</v>
      </c>
      <c r="E59" s="14">
        <f>D59-C59</f>
        <v/>
      </c>
      <c r="F59" s="3" t="n"/>
      <c r="G59" s="3" t="n"/>
      <c r="H59" s="3" t="n"/>
      <c r="I59" s="34" t="n"/>
      <c r="J59" s="50" t="n"/>
      <c r="K59" s="14" t="n"/>
      <c r="L59" s="14" t="n"/>
      <c r="M59" s="151" t="n"/>
      <c r="N59" s="14">
        <f>O58</f>
        <v/>
      </c>
      <c r="O59" s="14" t="n">
        <v>76422</v>
      </c>
      <c r="P59" s="151">
        <f>O59-N59</f>
        <v/>
      </c>
      <c r="Q59" s="84" t="n"/>
      <c r="R59" s="42">
        <f>R58</f>
        <v/>
      </c>
      <c r="S59" s="24" t="inlineStr">
        <is>
          <t>NIGHT</t>
        </is>
      </c>
      <c r="T59" s="14">
        <f>U58</f>
        <v/>
      </c>
      <c r="U59" s="14" t="n">
        <v>3722</v>
      </c>
      <c r="V59" s="14">
        <f>U59-T59</f>
        <v/>
      </c>
      <c r="W59" s="3" t="n"/>
      <c r="X59" s="3" t="n"/>
      <c r="Y59" s="3" t="n"/>
      <c r="Z59" s="4" t="n"/>
      <c r="AA59" s="50" t="n"/>
      <c r="AB59" s="14" t="n"/>
      <c r="AC59" s="14" t="n"/>
      <c r="AD59" s="151" t="n"/>
      <c r="AE59" s="85">
        <f>AF58</f>
        <v/>
      </c>
      <c r="AF59" s="14" t="n">
        <v>59633</v>
      </c>
      <c r="AG59" s="151">
        <f>AF59-AE59</f>
        <v/>
      </c>
    </row>
    <row r="60">
      <c r="A60" s="42">
        <f>A58+1</f>
        <v/>
      </c>
      <c r="B60" s="24" t="inlineStr">
        <is>
          <t>DAY</t>
        </is>
      </c>
      <c r="C60" s="14">
        <f>D59</f>
        <v/>
      </c>
      <c r="D60" s="88" t="n">
        <v>5433</v>
      </c>
      <c r="E60" s="88">
        <f>D60-C60</f>
        <v/>
      </c>
      <c r="F60" s="89" t="n"/>
      <c r="G60" s="89" t="n"/>
      <c r="H60" s="89" t="n"/>
      <c r="I60" s="90" t="n"/>
      <c r="J60" s="91" t="n"/>
      <c r="K60" s="88" t="n"/>
      <c r="L60" s="88" t="n"/>
      <c r="M60" s="92" t="n"/>
      <c r="N60" s="14">
        <f>O59</f>
        <v/>
      </c>
      <c r="O60" s="88" t="n">
        <v>76474</v>
      </c>
      <c r="P60" s="151">
        <f>O60-N60</f>
        <v/>
      </c>
      <c r="Q60" s="84" t="n"/>
      <c r="R60" s="42">
        <f>R58+1</f>
        <v/>
      </c>
      <c r="S60" s="24" t="inlineStr">
        <is>
          <t>DAY</t>
        </is>
      </c>
      <c r="T60" s="14">
        <f>U59</f>
        <v/>
      </c>
      <c r="U60" s="88" t="n">
        <v>3727</v>
      </c>
      <c r="V60" s="88">
        <f>U60-T60</f>
        <v/>
      </c>
      <c r="W60" s="89" t="n"/>
      <c r="X60" s="89" t="n"/>
      <c r="Y60" s="89" t="n"/>
      <c r="Z60" s="90" t="n"/>
      <c r="AA60" s="91" t="n"/>
      <c r="AB60" s="88" t="n"/>
      <c r="AC60" s="88" t="n"/>
      <c r="AD60" s="92" t="n"/>
      <c r="AE60" s="85">
        <f>AF59</f>
        <v/>
      </c>
      <c r="AF60" s="14" t="n">
        <v>59647</v>
      </c>
      <c r="AG60" s="151">
        <f>AF60-AE60</f>
        <v/>
      </c>
    </row>
    <row r="61">
      <c r="A61" s="42">
        <f>A60</f>
        <v/>
      </c>
      <c r="B61" s="24" t="inlineStr">
        <is>
          <t>NIGHT</t>
        </is>
      </c>
      <c r="C61" s="14">
        <f>D60</f>
        <v/>
      </c>
      <c r="D61" s="88" t="n">
        <v>5440</v>
      </c>
      <c r="E61" s="88">
        <f>D61-C61</f>
        <v/>
      </c>
      <c r="F61" s="89" t="n"/>
      <c r="G61" s="89" t="n"/>
      <c r="H61" s="89" t="n"/>
      <c r="I61" s="90" t="n"/>
      <c r="J61" s="91" t="n"/>
      <c r="K61" s="88" t="n"/>
      <c r="L61" s="88" t="n"/>
      <c r="M61" s="92" t="n"/>
      <c r="N61" s="14">
        <f>O60</f>
        <v/>
      </c>
      <c r="O61" s="88" t="n">
        <v>76575</v>
      </c>
      <c r="P61" s="151">
        <f>O61-N61</f>
        <v/>
      </c>
      <c r="Q61" s="84" t="n"/>
      <c r="R61" s="42">
        <f>R60</f>
        <v/>
      </c>
      <c r="S61" s="24" t="inlineStr">
        <is>
          <t>NIGHT</t>
        </is>
      </c>
      <c r="T61" s="14">
        <f>U60</f>
        <v/>
      </c>
      <c r="U61" s="88" t="n">
        <v>3729</v>
      </c>
      <c r="V61" s="88">
        <f>U61-T61</f>
        <v/>
      </c>
      <c r="W61" s="89" t="n"/>
      <c r="X61" s="89" t="n"/>
      <c r="Y61" s="89" t="n"/>
      <c r="Z61" s="90" t="n"/>
      <c r="AA61" s="91" t="n"/>
      <c r="AB61" s="88" t="n"/>
      <c r="AC61" s="88" t="n"/>
      <c r="AD61" s="92" t="n"/>
      <c r="AE61" s="85">
        <f>AF60</f>
        <v/>
      </c>
      <c r="AF61" s="14" t="n">
        <v>59734</v>
      </c>
      <c r="AG61" s="151">
        <f>AF61-AE61</f>
        <v/>
      </c>
    </row>
    <row r="62">
      <c r="A62" s="42">
        <f>A60+1</f>
        <v/>
      </c>
      <c r="B62" s="24" t="inlineStr">
        <is>
          <t>DAY</t>
        </is>
      </c>
      <c r="C62" s="14">
        <f>D61</f>
        <v/>
      </c>
      <c r="D62" s="88" t="n">
        <v>5450</v>
      </c>
      <c r="E62" s="88">
        <f>D62-C62</f>
        <v/>
      </c>
      <c r="F62" s="89" t="n">
        <v>301</v>
      </c>
      <c r="G62" s="89" t="n">
        <v>5442</v>
      </c>
      <c r="H62" s="89">
        <f>G62-G56</f>
        <v/>
      </c>
      <c r="I62" s="90">
        <f>F62/H62</f>
        <v/>
      </c>
      <c r="J62" s="91" t="n"/>
      <c r="K62" s="88" t="n"/>
      <c r="L62" s="88" t="n"/>
      <c r="M62" s="92" t="n"/>
      <c r="N62" s="14">
        <f>O61</f>
        <v/>
      </c>
      <c r="O62" s="88" t="n">
        <v>76712</v>
      </c>
      <c r="P62" s="151">
        <f>O62-N62</f>
        <v/>
      </c>
      <c r="Q62" s="84" t="n"/>
      <c r="R62" s="42">
        <f>R60+1</f>
        <v/>
      </c>
      <c r="S62" s="24" t="inlineStr">
        <is>
          <t>DAY</t>
        </is>
      </c>
      <c r="T62" s="14">
        <f>U61</f>
        <v/>
      </c>
      <c r="U62" s="88" t="n">
        <v>3733</v>
      </c>
      <c r="V62" s="88">
        <f>U62-T62</f>
        <v/>
      </c>
      <c r="W62" s="89" t="n">
        <v>369</v>
      </c>
      <c r="X62" s="89" t="n">
        <v>3729</v>
      </c>
      <c r="Y62" s="89">
        <f>X62-X56</f>
        <v/>
      </c>
      <c r="Z62" s="90">
        <f>W62/Y62</f>
        <v/>
      </c>
      <c r="AA62" s="91" t="n"/>
      <c r="AB62" s="88" t="n"/>
      <c r="AC62" s="88" t="n"/>
      <c r="AD62" s="92" t="n"/>
      <c r="AE62" s="85">
        <f>AF61</f>
        <v/>
      </c>
      <c r="AF62" s="14" t="n">
        <v>59835</v>
      </c>
      <c r="AG62" s="151">
        <f>AF62-AE62</f>
        <v/>
      </c>
    </row>
    <row r="63">
      <c r="A63" s="42">
        <f>A62</f>
        <v/>
      </c>
      <c r="B63" s="24" t="inlineStr">
        <is>
          <t>NIGHT</t>
        </is>
      </c>
      <c r="C63" s="14">
        <f>D62</f>
        <v/>
      </c>
      <c r="D63" s="88" t="n">
        <v>5461</v>
      </c>
      <c r="E63" s="88">
        <f>D63-C63</f>
        <v/>
      </c>
      <c r="F63" s="89" t="n"/>
      <c r="G63" s="89" t="n"/>
      <c r="H63" s="89" t="n"/>
      <c r="I63" s="90" t="n"/>
      <c r="J63" s="91" t="n"/>
      <c r="K63" s="88" t="n"/>
      <c r="L63" s="88" t="n"/>
      <c r="M63" s="92" t="n"/>
      <c r="N63" s="14">
        <f>O62</f>
        <v/>
      </c>
      <c r="O63" s="88" t="n">
        <v>76944</v>
      </c>
      <c r="P63" s="151">
        <f>O63-N63</f>
        <v/>
      </c>
      <c r="Q63" s="84" t="n"/>
      <c r="R63" s="42">
        <f>R62</f>
        <v/>
      </c>
      <c r="S63" s="24" t="inlineStr">
        <is>
          <t>NIGHT</t>
        </is>
      </c>
      <c r="T63" s="14">
        <f>U62</f>
        <v/>
      </c>
      <c r="U63" s="88" t="n">
        <v>3739</v>
      </c>
      <c r="V63" s="88">
        <f>U63-T63</f>
        <v/>
      </c>
      <c r="W63" s="89" t="n"/>
      <c r="X63" s="89" t="n"/>
      <c r="Y63" s="89" t="n"/>
      <c r="Z63" s="90" t="n"/>
      <c r="AA63" s="91" t="n"/>
      <c r="AB63" s="88" t="n"/>
      <c r="AC63" s="88" t="n"/>
      <c r="AD63" s="92" t="n"/>
      <c r="AE63" s="85">
        <f>AF62</f>
        <v/>
      </c>
      <c r="AF63" s="14" t="n">
        <v>59902</v>
      </c>
      <c r="AG63" s="151">
        <f>AF63-AE63</f>
        <v/>
      </c>
    </row>
    <row r="64">
      <c r="A64" s="42">
        <f>A62+1</f>
        <v/>
      </c>
      <c r="B64" s="24" t="inlineStr">
        <is>
          <t>DAY</t>
        </is>
      </c>
      <c r="C64" s="14">
        <f>D63</f>
        <v/>
      </c>
      <c r="D64" s="88" t="n">
        <v>5470</v>
      </c>
      <c r="E64" s="88">
        <f>D64-C64</f>
        <v/>
      </c>
      <c r="F64" s="89" t="n">
        <v>200</v>
      </c>
      <c r="G64" s="89" t="n">
        <v>5465</v>
      </c>
      <c r="H64" s="89">
        <f>G64-G62</f>
        <v/>
      </c>
      <c r="I64" s="90">
        <f>F64/H64</f>
        <v/>
      </c>
      <c r="J64" s="91" t="n"/>
      <c r="K64" s="88" t="n"/>
      <c r="L64" s="88" t="n"/>
      <c r="M64" s="92" t="n"/>
      <c r="N64" s="14">
        <f>O63</f>
        <v/>
      </c>
      <c r="O64" s="88" t="n">
        <v>77077</v>
      </c>
      <c r="P64" s="151">
        <f>O64-N64</f>
        <v/>
      </c>
      <c r="Q64" s="84" t="n"/>
      <c r="R64" s="42">
        <f>R62+1</f>
        <v/>
      </c>
      <c r="S64" s="24" t="inlineStr">
        <is>
          <t>DAY</t>
        </is>
      </c>
      <c r="T64" s="14">
        <f>U63</f>
        <v/>
      </c>
      <c r="U64" s="88" t="n">
        <v>3746</v>
      </c>
      <c r="V64" s="88">
        <f>U64-T64</f>
        <v/>
      </c>
      <c r="W64" s="89" t="n"/>
      <c r="X64" s="89" t="n"/>
      <c r="Y64" s="89" t="n"/>
      <c r="Z64" s="90" t="n"/>
      <c r="AA64" s="91" t="n"/>
      <c r="AB64" s="88" t="n"/>
      <c r="AC64" s="88" t="n"/>
      <c r="AD64" s="92" t="n"/>
      <c r="AE64" s="85">
        <f>AF63</f>
        <v/>
      </c>
      <c r="AF64" s="14" t="n">
        <v>59964</v>
      </c>
      <c r="AG64" s="151">
        <f>AF64-AE64</f>
        <v/>
      </c>
    </row>
    <row r="65" ht="15.75" customHeight="1" thickBot="1">
      <c r="A65" s="42">
        <f>A64</f>
        <v/>
      </c>
      <c r="B65" s="24" t="inlineStr">
        <is>
          <t>NIGHT</t>
        </is>
      </c>
      <c r="C65" s="14">
        <f>D64</f>
        <v/>
      </c>
      <c r="D65" s="88" t="n">
        <v>5478</v>
      </c>
      <c r="E65" s="88">
        <f>D65-C65</f>
        <v/>
      </c>
      <c r="F65" s="89" t="n"/>
      <c r="G65" s="89" t="n"/>
      <c r="H65" s="89" t="n"/>
      <c r="I65" s="90" t="n"/>
      <c r="J65" s="91" t="n"/>
      <c r="K65" s="88" t="n"/>
      <c r="L65" s="88" t="n"/>
      <c r="M65" s="92" t="n"/>
      <c r="N65" s="14">
        <f>O64</f>
        <v/>
      </c>
      <c r="O65" s="88" t="n">
        <v>77187</v>
      </c>
      <c r="P65" s="151">
        <f>O65-N65</f>
        <v/>
      </c>
      <c r="Q65" s="84" t="n"/>
      <c r="R65" s="42">
        <f>R64</f>
        <v/>
      </c>
      <c r="S65" s="24" t="inlineStr">
        <is>
          <t>NIGHT</t>
        </is>
      </c>
      <c r="T65" s="14">
        <f>U64</f>
        <v/>
      </c>
      <c r="U65" s="88" t="n">
        <v>3752</v>
      </c>
      <c r="V65" s="88">
        <f>U65-T65</f>
        <v/>
      </c>
      <c r="W65" s="89" t="n"/>
      <c r="X65" s="89" t="n"/>
      <c r="Y65" s="89" t="n"/>
      <c r="Z65" s="90" t="n"/>
      <c r="AA65" s="91" t="n"/>
      <c r="AB65" s="88" t="n"/>
      <c r="AC65" s="88" t="n"/>
      <c r="AD65" s="92" t="n"/>
      <c r="AE65" s="85">
        <f>AF64</f>
        <v/>
      </c>
      <c r="AF65" s="14" t="n">
        <v>60024</v>
      </c>
      <c r="AG65" s="151">
        <f>AF65-AE65</f>
        <v/>
      </c>
    </row>
    <row r="66">
      <c r="A66" s="153" t="inlineStr">
        <is>
          <t>TOTAL HMR</t>
        </is>
      </c>
      <c r="B66" s="154" t="n"/>
      <c r="C66" s="154" t="n"/>
      <c r="D66" s="155" t="n"/>
      <c r="E66" s="74">
        <f>SUBTOTAL(9,E4:E65)</f>
        <v/>
      </c>
      <c r="F66" s="74">
        <f>SUBTOTAL(9,F4:F65)</f>
        <v/>
      </c>
      <c r="G66" s="74" t="n"/>
      <c r="H66" s="74">
        <f>SUBTOTAL(9,H4:H65)</f>
        <v/>
      </c>
      <c r="I66" s="59">
        <f>F66/H66</f>
        <v/>
      </c>
      <c r="J66" s="56" t="n"/>
      <c r="K66" s="57" t="n"/>
      <c r="L66" s="83">
        <f>SUM(L4:L59)</f>
        <v/>
      </c>
      <c r="M66" s="58" t="n"/>
      <c r="N66" s="63" t="n"/>
      <c r="O66" s="60" t="n"/>
      <c r="P66" s="74">
        <f>SUBTOTAL(9,P4:P65)</f>
        <v/>
      </c>
      <c r="R66" s="153" t="inlineStr">
        <is>
          <t>TOTAL HMR</t>
        </is>
      </c>
      <c r="S66" s="154" t="n"/>
      <c r="T66" s="154" t="n"/>
      <c r="U66" s="155" t="n"/>
      <c r="V66" s="74">
        <f>SUBTOTAL(9,V4:V65)</f>
        <v/>
      </c>
      <c r="W66" s="74">
        <f>SUBTOTAL(9,W4:W65)</f>
        <v/>
      </c>
      <c r="X66" s="74" t="n"/>
      <c r="Y66" s="74">
        <f>SUBTOTAL(9,Y4:Y65)</f>
        <v/>
      </c>
      <c r="Z66" s="59">
        <f>W66/Y66</f>
        <v/>
      </c>
      <c r="AA66" s="56" t="n"/>
      <c r="AB66" s="57" t="n"/>
      <c r="AC66" s="78">
        <f>SUM(AC4:AC59)</f>
        <v/>
      </c>
      <c r="AD66" s="58" t="inlineStr">
        <is>
          <t>No break down</t>
        </is>
      </c>
      <c r="AE66" s="63" t="n"/>
      <c r="AF66" s="1" t="n"/>
      <c r="AG66" s="74">
        <f>SUBTOTAL(9,AG4:AG65)</f>
        <v/>
      </c>
    </row>
    <row r="67">
      <c r="A67" s="144" t="inlineStr">
        <is>
          <t>FIX HMR INVOICE NO….........................</t>
        </is>
      </c>
      <c r="B67" s="145" t="n"/>
      <c r="C67" s="145" t="n"/>
      <c r="D67" s="146" t="n"/>
      <c r="E67" s="73" t="n">
        <v>520</v>
      </c>
      <c r="F67" s="22" t="n"/>
      <c r="G67" s="22" t="n"/>
      <c r="H67" s="22" t="n"/>
      <c r="I67" s="23">
        <f>F66/E66</f>
        <v/>
      </c>
      <c r="J67" s="38" t="n"/>
      <c r="K67" s="23" t="n"/>
      <c r="L67" s="23" t="n"/>
      <c r="M67" s="39" t="n"/>
      <c r="N67" s="64" t="n"/>
      <c r="O67" s="23" t="n"/>
      <c r="P67" s="39" t="n"/>
      <c r="R67" s="144" t="inlineStr">
        <is>
          <t>FIX HMR INVOICE NO….........................</t>
        </is>
      </c>
      <c r="S67" s="145" t="n"/>
      <c r="T67" s="145" t="n"/>
      <c r="U67" s="146" t="n"/>
      <c r="V67" s="73" t="n">
        <v>520</v>
      </c>
      <c r="W67" s="22" t="n"/>
      <c r="X67" s="22" t="n"/>
      <c r="Y67" s="22" t="n"/>
      <c r="Z67" s="23">
        <f>W66/V66</f>
        <v/>
      </c>
      <c r="AA67" s="38" t="n"/>
      <c r="AB67" s="23" t="n"/>
      <c r="AC67" s="23" t="n"/>
      <c r="AD67" s="39" t="n"/>
      <c r="AE67" s="64" t="n"/>
      <c r="AF67" s="64" t="n"/>
      <c r="AG67" s="39" t="n"/>
    </row>
    <row r="68" ht="15.75" customHeight="1" thickBot="1">
      <c r="A68" s="141" t="inlineStr">
        <is>
          <t>EXTRA HMR INVOICE NO. …..................</t>
        </is>
      </c>
      <c r="B68" s="142" t="n"/>
      <c r="C68" s="142" t="n"/>
      <c r="D68" s="143" t="n"/>
      <c r="E68" s="27">
        <f>IF(E66-E67&lt;0,0,E66-E67)</f>
        <v/>
      </c>
      <c r="F68" s="27" t="n"/>
      <c r="G68" s="27" t="n"/>
      <c r="H68" s="27" t="n"/>
      <c r="I68" s="45" t="n"/>
      <c r="J68" s="141" t="n"/>
      <c r="K68" s="27" t="n"/>
      <c r="L68" s="27" t="n"/>
      <c r="M68" s="21" t="n"/>
      <c r="N68" s="65" t="n"/>
      <c r="O68" s="27" t="n"/>
      <c r="P68" s="21" t="n"/>
      <c r="R68" s="141" t="inlineStr">
        <is>
          <t>EXTRA HMR INVOICE NO. …..................</t>
        </is>
      </c>
      <c r="S68" s="142" t="n"/>
      <c r="T68" s="142" t="n"/>
      <c r="U68" s="143" t="n"/>
      <c r="V68" s="27">
        <f>IF(V66-V67&lt;0,0,V66-V67)</f>
        <v/>
      </c>
      <c r="W68" s="27" t="n"/>
      <c r="X68" s="27" t="n"/>
      <c r="Y68" s="27" t="n"/>
      <c r="Z68" s="27" t="n"/>
      <c r="AA68" s="141" t="n"/>
      <c r="AB68" s="27" t="n"/>
      <c r="AC68" s="27" t="n"/>
      <c r="AD68" s="21" t="n"/>
      <c r="AE68" s="65" t="n"/>
      <c r="AF68" s="65" t="n"/>
      <c r="AG68" s="21" t="n"/>
    </row>
  </sheetData>
  <mergeCells count="8">
    <mergeCell ref="R66:U66"/>
    <mergeCell ref="A67:D67"/>
    <mergeCell ref="A1:M1"/>
    <mergeCell ref="R1:AD1"/>
    <mergeCell ref="R67:U67"/>
    <mergeCell ref="R68:U68"/>
    <mergeCell ref="A68:D68"/>
    <mergeCell ref="A66:D66"/>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fitToPage="1"/>
  </sheetPr>
  <dimension ref="A1:AG71"/>
  <sheetViews>
    <sheetView zoomScale="85" zoomScaleNormal="85" workbookViewId="0">
      <pane xSplit="1" ySplit="3" topLeftCell="B43" activePane="bottomRight" state="frozen"/>
      <selection pane="topRight" activeCell="B1" sqref="B1"/>
      <selection pane="bottomLeft" activeCell="A4" sqref="A4"/>
      <selection pane="bottomRight" activeCell="N51" sqref="N51"/>
    </sheetView>
  </sheetViews>
  <sheetFormatPr baseColWidth="8" defaultRowHeight="15"/>
  <cols>
    <col width="20.85546875" customWidth="1" min="12" max="12"/>
    <col width="21.7109375" customWidth="1" min="13" max="13"/>
    <col width="14.5703125" bestFit="1" customWidth="1" min="30" max="30"/>
  </cols>
  <sheetData>
    <row r="1" ht="24" customHeight="1" thickBot="1">
      <c r="A1" s="147" t="inlineStr">
        <is>
          <t>Ennore-SANY-2025 (RS-02)</t>
        </is>
      </c>
      <c r="B1" s="148" t="n"/>
      <c r="C1" s="148" t="n"/>
      <c r="D1" s="148" t="n"/>
      <c r="E1" s="148" t="n"/>
      <c r="F1" s="148" t="n"/>
      <c r="G1" s="148" t="n"/>
      <c r="H1" s="148" t="n"/>
      <c r="I1" s="148" t="n"/>
      <c r="J1" s="148" t="n"/>
      <c r="K1" s="148" t="n"/>
      <c r="L1" s="148" t="n"/>
      <c r="M1" s="148" t="n"/>
      <c r="N1" s="25" t="n"/>
      <c r="O1" s="25" t="n"/>
      <c r="P1" s="25" t="n"/>
      <c r="R1" s="147" t="inlineStr">
        <is>
          <t>Ennore-Hyster-2025 (RS-03)</t>
        </is>
      </c>
      <c r="S1" s="148" t="n"/>
      <c r="T1" s="148" t="n"/>
      <c r="U1" s="148" t="n"/>
      <c r="V1" s="148" t="n"/>
      <c r="W1" s="148" t="n"/>
      <c r="X1" s="148" t="n"/>
      <c r="Y1" s="148" t="n"/>
      <c r="Z1" s="148" t="n"/>
      <c r="AA1" s="148" t="n"/>
      <c r="AB1" s="148" t="n"/>
      <c r="AC1" s="148" t="n"/>
      <c r="AD1" s="148" t="n"/>
    </row>
    <row r="2" ht="63.75" customHeight="1" thickBot="1">
      <c r="A2" s="28" t="inlineStr">
        <is>
          <t>DATE</t>
        </is>
      </c>
      <c r="B2" s="40" t="inlineStr">
        <is>
          <t>SHIFT</t>
        </is>
      </c>
      <c r="C2" s="29" t="inlineStr">
        <is>
          <t>START HMR</t>
        </is>
      </c>
      <c r="D2" s="29" t="inlineStr">
        <is>
          <t>END HMR</t>
        </is>
      </c>
      <c r="E2" s="29" t="inlineStr">
        <is>
          <t>WORKING HMR</t>
        </is>
      </c>
      <c r="F2" s="29" t="inlineStr">
        <is>
          <t>DIESEL RECEIVED</t>
        </is>
      </c>
      <c r="G2" s="29" t="inlineStr">
        <is>
          <t>HMR</t>
        </is>
      </c>
      <c r="H2" s="29" t="inlineStr">
        <is>
          <t>Diesel filling Hours</t>
        </is>
      </c>
      <c r="I2" s="30" t="inlineStr">
        <is>
          <t>Average</t>
        </is>
      </c>
      <c r="J2" s="28" t="inlineStr">
        <is>
          <t>B/D Start Time</t>
        </is>
      </c>
      <c r="K2" s="29" t="inlineStr">
        <is>
          <t>B/D End Time</t>
        </is>
      </c>
      <c r="L2" s="29" t="inlineStr">
        <is>
          <t>Total B/D Hours</t>
        </is>
      </c>
      <c r="M2" s="30" t="inlineStr">
        <is>
          <t>B/D Reason</t>
        </is>
      </c>
      <c r="N2" s="46" t="inlineStr">
        <is>
          <t>Start Conatiner</t>
        </is>
      </c>
      <c r="O2" s="47" t="inlineStr">
        <is>
          <t>End Conatiner</t>
        </is>
      </c>
      <c r="P2" s="48" t="inlineStr">
        <is>
          <t>Per Day Container Count</t>
        </is>
      </c>
      <c r="R2" s="28" t="inlineStr">
        <is>
          <t>DATE</t>
        </is>
      </c>
      <c r="S2" s="40" t="inlineStr">
        <is>
          <t>SHIFT</t>
        </is>
      </c>
      <c r="T2" s="29" t="inlineStr">
        <is>
          <t>START HMR</t>
        </is>
      </c>
      <c r="U2" s="29" t="inlineStr">
        <is>
          <t>END HMR</t>
        </is>
      </c>
      <c r="V2" s="29" t="inlineStr">
        <is>
          <t>WORKING HMR</t>
        </is>
      </c>
      <c r="W2" s="29" t="inlineStr">
        <is>
          <t>DIESEL RECEIVED</t>
        </is>
      </c>
      <c r="X2" s="29" t="inlineStr">
        <is>
          <t>HMR</t>
        </is>
      </c>
      <c r="Y2" s="29" t="inlineStr">
        <is>
          <t>Diesel filling Hours</t>
        </is>
      </c>
      <c r="Z2" s="29" t="inlineStr">
        <is>
          <t>Average</t>
        </is>
      </c>
      <c r="AA2" s="28" t="inlineStr">
        <is>
          <t>B/D Start Time</t>
        </is>
      </c>
      <c r="AB2" s="29" t="inlineStr">
        <is>
          <t>B/D End Time</t>
        </is>
      </c>
      <c r="AC2" s="29" t="inlineStr">
        <is>
          <t>Total B/D Hours</t>
        </is>
      </c>
      <c r="AD2" s="30" t="inlineStr">
        <is>
          <t>B/D Reason</t>
        </is>
      </c>
      <c r="AE2" s="46" t="inlineStr">
        <is>
          <t>Start Conatiner</t>
        </is>
      </c>
      <c r="AF2" s="47" t="inlineStr">
        <is>
          <t>End Conatiner</t>
        </is>
      </c>
      <c r="AG2" s="48" t="inlineStr">
        <is>
          <t>Per Day Container Count</t>
        </is>
      </c>
    </row>
    <row r="3" ht="15.75" customHeight="1">
      <c r="A3" s="17" t="inlineStr">
        <is>
          <t>Prev</t>
        </is>
      </c>
      <c r="B3" s="8" t="n"/>
      <c r="C3" s="2" t="n"/>
      <c r="D3" s="2" t="n"/>
      <c r="E3" s="2" t="n"/>
      <c r="F3" s="6" t="n"/>
      <c r="G3" s="6" t="n">
        <v>5465</v>
      </c>
      <c r="H3" s="6" t="n"/>
      <c r="I3" s="18" t="n"/>
      <c r="J3" s="31" t="n"/>
      <c r="K3" s="6" t="n"/>
      <c r="L3" s="6" t="n"/>
      <c r="M3" s="18" t="n"/>
      <c r="N3" s="31" t="n"/>
      <c r="O3" s="6" t="n"/>
      <c r="P3" s="18" t="n"/>
      <c r="Q3" s="13" t="n"/>
      <c r="R3" s="17" t="inlineStr">
        <is>
          <t>Prev</t>
        </is>
      </c>
      <c r="S3" s="8" t="n"/>
      <c r="T3" s="2" t="n"/>
      <c r="U3" s="2" t="n"/>
      <c r="V3" s="2" t="n"/>
      <c r="W3" s="6" t="n"/>
      <c r="X3" s="6" t="n">
        <v>3729</v>
      </c>
      <c r="Y3" s="6" t="n"/>
      <c r="Z3" s="6" t="n"/>
      <c r="AA3" s="31" t="n"/>
      <c r="AB3" s="6" t="n"/>
      <c r="AC3" s="6" t="n"/>
      <c r="AD3" s="18" t="n"/>
      <c r="AE3" s="31" t="n"/>
      <c r="AF3" s="6" t="n"/>
      <c r="AG3" s="18" t="n"/>
    </row>
    <row r="4">
      <c r="A4" s="42" t="n">
        <v>46174</v>
      </c>
      <c r="B4" s="24" t="inlineStr">
        <is>
          <t>DAY</t>
        </is>
      </c>
      <c r="C4" s="88" t="n">
        <v>5478</v>
      </c>
      <c r="D4" s="14" t="n">
        <v>5482</v>
      </c>
      <c r="E4" s="14">
        <f>D4-C4</f>
        <v/>
      </c>
      <c r="F4" s="3" t="n">
        <v>300</v>
      </c>
      <c r="G4" s="3" t="n">
        <v>5481</v>
      </c>
      <c r="H4" s="3">
        <f>G4-G3</f>
        <v/>
      </c>
      <c r="I4" s="34">
        <f>F4/H4</f>
        <v/>
      </c>
      <c r="J4" s="32" t="n"/>
      <c r="K4" s="3" t="n"/>
      <c r="L4" s="3" t="n"/>
      <c r="M4" s="19" t="n"/>
      <c r="N4" s="88" t="n">
        <v>77187</v>
      </c>
      <c r="O4" s="14" t="n">
        <v>77200</v>
      </c>
      <c r="P4" s="151">
        <f>O4-N4</f>
        <v/>
      </c>
      <c r="Q4" s="84" t="n"/>
      <c r="R4" s="42" t="n">
        <v>46174</v>
      </c>
      <c r="S4" s="24" t="inlineStr">
        <is>
          <t>DAY</t>
        </is>
      </c>
      <c r="T4" s="88" t="n">
        <v>3752</v>
      </c>
      <c r="U4" s="14" t="n">
        <v>3757</v>
      </c>
      <c r="V4" s="14">
        <f>U4-T4</f>
        <v/>
      </c>
      <c r="W4" s="3" t="n"/>
      <c r="X4" s="3" t="n"/>
      <c r="Y4" s="3" t="n"/>
      <c r="Z4" s="4" t="n"/>
      <c r="AA4" s="32" t="n"/>
      <c r="AB4" s="3" t="n"/>
      <c r="AC4" s="3" t="n"/>
      <c r="AD4" s="19" t="n"/>
      <c r="AE4" s="14" t="n">
        <v>60024</v>
      </c>
      <c r="AF4" s="14" t="n">
        <v>60090</v>
      </c>
      <c r="AG4" s="151">
        <f>AF4-AE4</f>
        <v/>
      </c>
    </row>
    <row r="5">
      <c r="A5" s="42">
        <f>A4</f>
        <v/>
      </c>
      <c r="B5" s="24" t="inlineStr">
        <is>
          <t>NIGHT</t>
        </is>
      </c>
      <c r="C5" s="14">
        <f>D4</f>
        <v/>
      </c>
      <c r="D5" s="14" t="n">
        <v>5489</v>
      </c>
      <c r="E5" s="14">
        <f>D5-C5</f>
        <v/>
      </c>
      <c r="F5" s="3" t="n"/>
      <c r="G5" s="3" t="n"/>
      <c r="H5" s="3" t="n"/>
      <c r="I5" s="34" t="n"/>
      <c r="J5" s="32" t="n"/>
      <c r="K5" s="3" t="n"/>
      <c r="L5" s="3" t="n"/>
      <c r="M5" s="19" t="n"/>
      <c r="N5" s="14">
        <f>O4</f>
        <v/>
      </c>
      <c r="O5" s="14" t="n">
        <v>77309</v>
      </c>
      <c r="P5" s="151">
        <f>O5-N5</f>
        <v/>
      </c>
      <c r="Q5" s="84" t="n"/>
      <c r="R5" s="42">
        <f>R4</f>
        <v/>
      </c>
      <c r="S5" s="24" t="inlineStr">
        <is>
          <t>NIGHT</t>
        </is>
      </c>
      <c r="T5" s="14">
        <f>U4</f>
        <v/>
      </c>
      <c r="U5" s="14" t="n">
        <v>3761</v>
      </c>
      <c r="V5" s="14">
        <f>U5-T5</f>
        <v/>
      </c>
      <c r="W5" s="3" t="n"/>
      <c r="X5" s="3" t="n"/>
      <c r="Y5" s="3" t="n"/>
      <c r="Z5" s="4" t="n"/>
      <c r="AA5" s="32" t="n"/>
      <c r="AB5" s="3" t="n"/>
      <c r="AC5" s="3" t="n"/>
      <c r="AD5" s="19" t="n"/>
      <c r="AE5" s="85">
        <f>AF4</f>
        <v/>
      </c>
      <c r="AF5" s="14" t="n">
        <v>60106</v>
      </c>
      <c r="AG5" s="151">
        <f>AF5-AE5</f>
        <v/>
      </c>
    </row>
    <row r="6">
      <c r="A6" s="42">
        <f>A4+1</f>
        <v/>
      </c>
      <c r="B6" s="24" t="inlineStr">
        <is>
          <t>DAY</t>
        </is>
      </c>
      <c r="C6" s="14">
        <f>D5</f>
        <v/>
      </c>
      <c r="D6" s="14" t="n">
        <v>5500</v>
      </c>
      <c r="E6" s="14">
        <f>D6-C6</f>
        <v/>
      </c>
      <c r="F6" s="3" t="n">
        <v>300</v>
      </c>
      <c r="G6" s="3" t="n">
        <v>5502</v>
      </c>
      <c r="H6" s="3">
        <f>G6-G4</f>
        <v/>
      </c>
      <c r="I6" s="34">
        <f>F6/H6</f>
        <v/>
      </c>
      <c r="J6" s="33" t="n"/>
      <c r="K6" s="4" t="n"/>
      <c r="L6" s="4" t="n"/>
      <c r="M6" s="34" t="n"/>
      <c r="N6" s="14">
        <f>O5</f>
        <v/>
      </c>
      <c r="O6" s="14" t="n">
        <v>77462</v>
      </c>
      <c r="P6" s="151">
        <f>O6-N6</f>
        <v/>
      </c>
      <c r="Q6" s="84" t="n"/>
      <c r="R6" s="42">
        <f>R4+1</f>
        <v/>
      </c>
      <c r="S6" s="24" t="inlineStr">
        <is>
          <t>DAY</t>
        </is>
      </c>
      <c r="T6" s="14">
        <f>U5</f>
        <v/>
      </c>
      <c r="U6" s="14" t="n">
        <v>3765</v>
      </c>
      <c r="V6" s="14">
        <f>U6-T6</f>
        <v/>
      </c>
      <c r="W6" s="3" t="n"/>
      <c r="X6" s="3" t="n"/>
      <c r="Y6" s="3" t="n"/>
      <c r="Z6" s="4" t="n"/>
      <c r="AA6" s="33" t="n"/>
      <c r="AB6" s="4" t="n"/>
      <c r="AC6" s="4" t="n"/>
      <c r="AD6" s="34" t="n"/>
      <c r="AE6" s="85">
        <f>AF5</f>
        <v/>
      </c>
      <c r="AF6" s="14" t="n">
        <v>60163</v>
      </c>
      <c r="AG6" s="151">
        <f>AF6-AE6</f>
        <v/>
      </c>
    </row>
    <row r="7">
      <c r="A7" s="42">
        <f>A6</f>
        <v/>
      </c>
      <c r="B7" s="24" t="inlineStr">
        <is>
          <t>NIGHT</t>
        </is>
      </c>
      <c r="C7" s="14">
        <f>D6</f>
        <v/>
      </c>
      <c r="D7" s="14" t="n">
        <v>5508</v>
      </c>
      <c r="E7" s="14">
        <f>D7-C7</f>
        <v/>
      </c>
      <c r="F7" s="3" t="n"/>
      <c r="G7" s="3" t="n"/>
      <c r="H7" s="3" t="n"/>
      <c r="I7" s="34" t="n"/>
      <c r="J7" s="33" t="n"/>
      <c r="K7" s="4" t="n"/>
      <c r="L7" s="4" t="n"/>
      <c r="M7" s="34" t="n"/>
      <c r="N7" s="14">
        <f>O6</f>
        <v/>
      </c>
      <c r="O7" s="14" t="n">
        <v>77601</v>
      </c>
      <c r="P7" s="151">
        <f>O7-N7</f>
        <v/>
      </c>
      <c r="Q7" s="84" t="n"/>
      <c r="R7" s="42">
        <f>R6</f>
        <v/>
      </c>
      <c r="S7" s="24" t="inlineStr">
        <is>
          <t>NIGHT</t>
        </is>
      </c>
      <c r="T7" s="14">
        <f>U6</f>
        <v/>
      </c>
      <c r="U7" s="14" t="n">
        <v>3775</v>
      </c>
      <c r="V7" s="14">
        <f>U7-T7</f>
        <v/>
      </c>
      <c r="W7" s="3" t="n"/>
      <c r="X7" s="3" t="n"/>
      <c r="Y7" s="3" t="n"/>
      <c r="Z7" s="4" t="n"/>
      <c r="AA7" s="33" t="n"/>
      <c r="AB7" s="4" t="n"/>
      <c r="AC7" s="4" t="n"/>
      <c r="AD7" s="34" t="n"/>
      <c r="AE7" s="85">
        <f>AF6</f>
        <v/>
      </c>
      <c r="AF7" s="14" t="n">
        <v>60331</v>
      </c>
      <c r="AG7" s="151">
        <f>AF7-AE7</f>
        <v/>
      </c>
    </row>
    <row r="8">
      <c r="A8" s="42">
        <f>A6+1</f>
        <v/>
      </c>
      <c r="B8" s="24" t="inlineStr">
        <is>
          <t>DAY</t>
        </is>
      </c>
      <c r="C8" s="14">
        <f>D7</f>
        <v/>
      </c>
      <c r="D8" s="14" t="n">
        <v>5513</v>
      </c>
      <c r="E8" s="14">
        <f>D8-C8</f>
        <v/>
      </c>
      <c r="F8" s="3" t="n"/>
      <c r="G8" s="3" t="n"/>
      <c r="H8" s="3" t="n"/>
      <c r="I8" s="34" t="n"/>
      <c r="J8" s="35" t="n"/>
      <c r="K8" s="15" t="n"/>
      <c r="L8" s="15" t="n"/>
      <c r="M8" s="36" t="n"/>
      <c r="N8" s="14">
        <f>O7</f>
        <v/>
      </c>
      <c r="O8" s="14" t="n">
        <v>77665</v>
      </c>
      <c r="P8" s="151">
        <f>O8-N8</f>
        <v/>
      </c>
      <c r="Q8" s="84" t="n"/>
      <c r="R8" s="42">
        <f>R6+1</f>
        <v/>
      </c>
      <c r="S8" s="24" t="inlineStr">
        <is>
          <t>DAY</t>
        </is>
      </c>
      <c r="T8" s="14">
        <f>U7</f>
        <v/>
      </c>
      <c r="U8" s="14" t="n">
        <v>3781</v>
      </c>
      <c r="V8" s="14">
        <f>U8-T8</f>
        <v/>
      </c>
      <c r="W8" s="3" t="n">
        <v>250</v>
      </c>
      <c r="X8" s="3" t="n">
        <v>3776</v>
      </c>
      <c r="Y8" s="3">
        <f>X8-X3</f>
        <v/>
      </c>
      <c r="Z8" s="4">
        <f>W8/Y8</f>
        <v/>
      </c>
      <c r="AA8" s="35" t="n"/>
      <c r="AB8" s="15" t="n"/>
      <c r="AC8" s="15" t="n"/>
      <c r="AD8" s="36" t="n"/>
      <c r="AE8" s="85">
        <f>AF7</f>
        <v/>
      </c>
      <c r="AF8" s="85" t="n">
        <v>60449</v>
      </c>
      <c r="AG8" s="151">
        <f>AF8-AE8</f>
        <v/>
      </c>
    </row>
    <row r="9">
      <c r="A9" s="42">
        <f>A8</f>
        <v/>
      </c>
      <c r="B9" s="24" t="inlineStr">
        <is>
          <t>NIGHT</t>
        </is>
      </c>
      <c r="C9" s="14">
        <f>D8</f>
        <v/>
      </c>
      <c r="D9" s="14" t="n">
        <v>5519</v>
      </c>
      <c r="E9" s="14">
        <f>D9-C9</f>
        <v/>
      </c>
      <c r="F9" s="3" t="n"/>
      <c r="G9" s="3" t="n"/>
      <c r="H9" s="3" t="n"/>
      <c r="I9" s="34" t="n"/>
      <c r="J9" s="33" t="n"/>
      <c r="K9" s="4" t="n"/>
      <c r="L9" s="4" t="n"/>
      <c r="M9" s="34" t="n"/>
      <c r="N9" s="14">
        <f>O8</f>
        <v/>
      </c>
      <c r="O9" s="14" t="n">
        <v>77720</v>
      </c>
      <c r="P9" s="151">
        <f>O9-N9</f>
        <v/>
      </c>
      <c r="Q9" s="84" t="n"/>
      <c r="R9" s="42">
        <f>R8</f>
        <v/>
      </c>
      <c r="S9" s="24" t="inlineStr">
        <is>
          <t>NIGHT</t>
        </is>
      </c>
      <c r="T9" s="14">
        <f>U8</f>
        <v/>
      </c>
      <c r="U9" s="14" t="n">
        <v>3789</v>
      </c>
      <c r="V9" s="14">
        <f>U9-T9</f>
        <v/>
      </c>
      <c r="W9" s="3" t="n"/>
      <c r="X9" s="3" t="n"/>
      <c r="Y9" s="3" t="n"/>
      <c r="Z9" s="4" t="n"/>
      <c r="AA9" s="33" t="n"/>
      <c r="AB9" s="4" t="n"/>
      <c r="AC9" s="4" t="n"/>
      <c r="AD9" s="34" t="n"/>
      <c r="AE9" s="85">
        <f>AF8</f>
        <v/>
      </c>
      <c r="AF9" s="85" t="n">
        <v>60576</v>
      </c>
      <c r="AG9" s="151">
        <f>AF9-AE9</f>
        <v/>
      </c>
    </row>
    <row r="10">
      <c r="A10" s="42">
        <f>A8+1</f>
        <v/>
      </c>
      <c r="B10" s="24" t="inlineStr">
        <is>
          <t>DAY</t>
        </is>
      </c>
      <c r="C10" s="14">
        <f>D9</f>
        <v/>
      </c>
      <c r="D10" s="14" t="n">
        <v>5525</v>
      </c>
      <c r="E10" s="14">
        <f>D10-C10</f>
        <v/>
      </c>
      <c r="F10" s="3" t="n">
        <v>471</v>
      </c>
      <c r="G10" s="3" t="n">
        <v>5521</v>
      </c>
      <c r="H10" s="3">
        <f>G10-G6</f>
        <v/>
      </c>
      <c r="I10" s="34">
        <f>F10/H10</f>
        <v/>
      </c>
      <c r="J10" s="32" t="n"/>
      <c r="K10" s="3" t="n"/>
      <c r="L10" s="3" t="n"/>
      <c r="M10" s="19" t="n"/>
      <c r="N10" s="14">
        <f>O9</f>
        <v/>
      </c>
      <c r="O10" s="14" t="n">
        <v>77792</v>
      </c>
      <c r="P10" s="151">
        <f>O10-N10</f>
        <v/>
      </c>
      <c r="Q10" s="84" t="n"/>
      <c r="R10" s="42">
        <f>R8+1</f>
        <v/>
      </c>
      <c r="S10" s="24" t="inlineStr">
        <is>
          <t>DAY</t>
        </is>
      </c>
      <c r="T10" s="14">
        <f>U9</f>
        <v/>
      </c>
      <c r="U10" s="14" t="n">
        <v>3791</v>
      </c>
      <c r="V10" s="14">
        <f>U10-T10</f>
        <v/>
      </c>
      <c r="W10" s="3" t="n"/>
      <c r="X10" s="3" t="n"/>
      <c r="Y10" s="3" t="n"/>
      <c r="Z10" s="4" t="n"/>
      <c r="AA10" s="32" t="n"/>
      <c r="AB10" s="3" t="n"/>
      <c r="AC10" s="3" t="n"/>
      <c r="AD10" s="19" t="n"/>
      <c r="AE10" s="85">
        <f>AF9</f>
        <v/>
      </c>
      <c r="AF10" s="85" t="n">
        <v>60654</v>
      </c>
      <c r="AG10" s="151">
        <f>AF10-AE10</f>
        <v/>
      </c>
    </row>
    <row r="11">
      <c r="A11" s="42">
        <f>A10</f>
        <v/>
      </c>
      <c r="B11" s="24" t="inlineStr">
        <is>
          <t>NIGHT</t>
        </is>
      </c>
      <c r="C11" s="14">
        <f>D10</f>
        <v/>
      </c>
      <c r="D11" s="14" t="n">
        <v>5534</v>
      </c>
      <c r="E11" s="14">
        <f>D11-C11</f>
        <v/>
      </c>
      <c r="F11" s="3" t="n"/>
      <c r="G11" s="3" t="n"/>
      <c r="H11" s="3" t="n"/>
      <c r="I11" s="34" t="n"/>
      <c r="J11" s="32" t="n"/>
      <c r="K11" s="3" t="n"/>
      <c r="L11" s="3" t="n"/>
      <c r="M11" s="19" t="n"/>
      <c r="N11" s="14">
        <f>O10</f>
        <v/>
      </c>
      <c r="O11" s="14" t="n">
        <v>77927</v>
      </c>
      <c r="P11" s="151">
        <f>O11-N11</f>
        <v/>
      </c>
      <c r="Q11" s="84" t="n"/>
      <c r="R11" s="42">
        <f>R10</f>
        <v/>
      </c>
      <c r="S11" s="24" t="inlineStr">
        <is>
          <t>NIGHT</t>
        </is>
      </c>
      <c r="T11" s="14">
        <f>U10</f>
        <v/>
      </c>
      <c r="U11" s="14" t="n">
        <v>3791</v>
      </c>
      <c r="V11" s="14">
        <f>U11-T11</f>
        <v/>
      </c>
      <c r="W11" s="3" t="n"/>
      <c r="X11" s="3" t="n"/>
      <c r="Y11" s="3" t="n"/>
      <c r="Z11" s="4" t="n"/>
      <c r="AA11" s="32" t="n"/>
      <c r="AB11" s="3" t="n"/>
      <c r="AC11" s="3" t="n"/>
      <c r="AD11" s="19" t="n"/>
      <c r="AE11" s="85">
        <f>AF10</f>
        <v/>
      </c>
      <c r="AF11" s="85" t="n">
        <v>60654</v>
      </c>
      <c r="AG11" s="151">
        <f>AF11-AE11</f>
        <v/>
      </c>
    </row>
    <row r="12">
      <c r="A12" s="42">
        <f>A10+1</f>
        <v/>
      </c>
      <c r="B12" s="24" t="inlineStr">
        <is>
          <t>DAY</t>
        </is>
      </c>
      <c r="C12" s="14">
        <f>D11</f>
        <v/>
      </c>
      <c r="D12" s="14" t="n">
        <v>5539</v>
      </c>
      <c r="E12" s="14">
        <f>D12-C12</f>
        <v/>
      </c>
      <c r="F12" s="3" t="n">
        <v>246</v>
      </c>
      <c r="G12" s="3" t="n">
        <v>5537</v>
      </c>
      <c r="H12" s="3">
        <f>G12-G10</f>
        <v/>
      </c>
      <c r="I12" s="34">
        <f>F12/H12</f>
        <v/>
      </c>
      <c r="J12" s="32" t="n"/>
      <c r="K12" s="3" t="n"/>
      <c r="L12" s="3" t="n"/>
      <c r="M12" s="19" t="n"/>
      <c r="N12" s="14">
        <f>O11</f>
        <v/>
      </c>
      <c r="O12" s="14" t="n">
        <v>78012</v>
      </c>
      <c r="P12" s="151">
        <f>O12-N12</f>
        <v/>
      </c>
      <c r="Q12" s="84" t="n"/>
      <c r="R12" s="42">
        <f>R10+1</f>
        <v/>
      </c>
      <c r="S12" s="24" t="inlineStr">
        <is>
          <t>DAY</t>
        </is>
      </c>
      <c r="T12" s="14">
        <f>U11</f>
        <v/>
      </c>
      <c r="U12" s="14" t="n">
        <v>3798</v>
      </c>
      <c r="V12" s="14">
        <f>U12-T12</f>
        <v/>
      </c>
      <c r="W12" s="3" t="n">
        <v>792</v>
      </c>
      <c r="X12" s="3" t="n">
        <v>3792</v>
      </c>
      <c r="Y12" s="3">
        <f>X12-X3</f>
        <v/>
      </c>
      <c r="Z12" s="4">
        <f>W12/Y12</f>
        <v/>
      </c>
      <c r="AA12" s="32" t="n"/>
      <c r="AB12" s="3" t="n"/>
      <c r="AC12" s="3" t="n"/>
      <c r="AD12" s="19" t="n"/>
      <c r="AE12" s="85">
        <f>AF11</f>
        <v/>
      </c>
      <c r="AF12" s="85" t="n">
        <v>60727</v>
      </c>
      <c r="AG12" s="151">
        <f>AF12-AE12</f>
        <v/>
      </c>
    </row>
    <row r="13">
      <c r="A13" s="42">
        <f>A12</f>
        <v/>
      </c>
      <c r="B13" s="24" t="inlineStr">
        <is>
          <t>NIGHT</t>
        </is>
      </c>
      <c r="C13" s="14">
        <f>D12</f>
        <v/>
      </c>
      <c r="D13" s="14" t="n">
        <v>5549</v>
      </c>
      <c r="E13" s="14">
        <f>D13-C13</f>
        <v/>
      </c>
      <c r="F13" s="3" t="n"/>
      <c r="G13" s="3" t="n"/>
      <c r="H13" s="3" t="n"/>
      <c r="I13" s="34" t="n"/>
      <c r="J13" s="33" t="n"/>
      <c r="K13" s="4" t="n"/>
      <c r="L13" s="4" t="n"/>
      <c r="M13" s="34" t="n"/>
      <c r="N13" s="14">
        <f>O12</f>
        <v/>
      </c>
      <c r="O13" s="14" t="n">
        <v>78166</v>
      </c>
      <c r="P13" s="151">
        <f>O13-N13</f>
        <v/>
      </c>
      <c r="Q13" s="84" t="n"/>
      <c r="R13" s="42">
        <f>R12</f>
        <v/>
      </c>
      <c r="S13" s="24" t="inlineStr">
        <is>
          <t>NIGHT</t>
        </is>
      </c>
      <c r="T13" s="14">
        <f>U12</f>
        <v/>
      </c>
      <c r="U13" s="14" t="n">
        <v>3807</v>
      </c>
      <c r="V13" s="14">
        <f>U13-T13</f>
        <v/>
      </c>
      <c r="W13" s="3" t="n"/>
      <c r="X13" s="3" t="n"/>
      <c r="Y13" s="3" t="n"/>
      <c r="Z13" s="4" t="n"/>
      <c r="AA13" s="33" t="n"/>
      <c r="AB13" s="4" t="n"/>
      <c r="AC13" s="4" t="n"/>
      <c r="AD13" s="34" t="n"/>
      <c r="AE13" s="85">
        <f>AF12</f>
        <v/>
      </c>
      <c r="AF13" s="85" t="n">
        <v>60897</v>
      </c>
      <c r="AG13" s="151">
        <f>AF13-AE13</f>
        <v/>
      </c>
    </row>
    <row r="14">
      <c r="A14" s="42">
        <f>A12+1</f>
        <v/>
      </c>
      <c r="B14" s="24" t="inlineStr">
        <is>
          <t>DAY</t>
        </is>
      </c>
      <c r="C14" s="14">
        <f>D13</f>
        <v/>
      </c>
      <c r="D14" s="14" t="n">
        <v>5560</v>
      </c>
      <c r="E14" s="14">
        <f>D14-C14</f>
        <v/>
      </c>
      <c r="F14" s="3" t="n"/>
      <c r="G14" s="3" t="n"/>
      <c r="H14" s="3" t="n"/>
      <c r="I14" s="34" t="n"/>
      <c r="J14" s="35" t="n"/>
      <c r="K14" s="15" t="n"/>
      <c r="L14" s="15" t="n"/>
      <c r="M14" s="36" t="n"/>
      <c r="N14" s="14">
        <f>O13</f>
        <v/>
      </c>
      <c r="O14" s="14" t="n">
        <v>78329</v>
      </c>
      <c r="P14" s="151">
        <f>O14-N14</f>
        <v/>
      </c>
      <c r="Q14" s="84" t="n"/>
      <c r="R14" s="42">
        <f>R12+1</f>
        <v/>
      </c>
      <c r="S14" s="24" t="inlineStr">
        <is>
          <t>DAY</t>
        </is>
      </c>
      <c r="T14" s="14">
        <f>U13</f>
        <v/>
      </c>
      <c r="U14" s="14" t="n">
        <v>3813</v>
      </c>
      <c r="V14" s="14">
        <f>U14-T14</f>
        <v/>
      </c>
      <c r="W14" s="3" t="n"/>
      <c r="X14" s="3" t="n"/>
      <c r="Y14" s="3" t="n"/>
      <c r="Z14" s="4" t="n"/>
      <c r="AA14" s="35" t="n"/>
      <c r="AB14" s="15" t="n"/>
      <c r="AC14" s="15" t="n"/>
      <c r="AD14" s="36" t="n"/>
      <c r="AE14" s="85">
        <f>AF13</f>
        <v/>
      </c>
      <c r="AF14" s="85" t="n">
        <v>61019</v>
      </c>
      <c r="AG14" s="151">
        <f>AF14-AE14</f>
        <v/>
      </c>
    </row>
    <row r="15">
      <c r="A15" s="42">
        <f>A14</f>
        <v/>
      </c>
      <c r="B15" s="24" t="inlineStr">
        <is>
          <t>NIGHT</t>
        </is>
      </c>
      <c r="C15" s="14">
        <f>D14</f>
        <v/>
      </c>
      <c r="D15" s="14" t="n">
        <v>5571</v>
      </c>
      <c r="E15" s="14">
        <f>D15-C15</f>
        <v/>
      </c>
      <c r="F15" s="3" t="n"/>
      <c r="G15" s="3" t="n"/>
      <c r="H15" s="3" t="n"/>
      <c r="I15" s="34" t="n"/>
      <c r="J15" s="32" t="n"/>
      <c r="K15" s="3" t="n"/>
      <c r="L15" s="3" t="n"/>
      <c r="M15" s="19" t="n"/>
      <c r="N15" s="14">
        <f>O14</f>
        <v/>
      </c>
      <c r="O15" s="14" t="n">
        <v>78500</v>
      </c>
      <c r="P15" s="151">
        <f>O15-N15</f>
        <v/>
      </c>
      <c r="Q15" s="84" t="n"/>
      <c r="R15" s="42">
        <f>R14</f>
        <v/>
      </c>
      <c r="S15" s="24" t="inlineStr">
        <is>
          <t>NIGHT</t>
        </is>
      </c>
      <c r="T15" s="14">
        <f>U14</f>
        <v/>
      </c>
      <c r="U15" s="14" t="n">
        <v>3820</v>
      </c>
      <c r="V15" s="14">
        <f>U15-T15</f>
        <v/>
      </c>
      <c r="W15" s="3" t="n"/>
      <c r="X15" s="3" t="n"/>
      <c r="Y15" s="3" t="n"/>
      <c r="Z15" s="4" t="n"/>
      <c r="AA15" s="32" t="n"/>
      <c r="AB15" s="3" t="n"/>
      <c r="AC15" s="3" t="n"/>
      <c r="AD15" s="19" t="n"/>
      <c r="AE15" s="85">
        <f>AF14</f>
        <v/>
      </c>
      <c r="AF15" s="85" t="n">
        <v>61097</v>
      </c>
      <c r="AG15" s="151">
        <f>AF15-AE15</f>
        <v/>
      </c>
    </row>
    <row r="16">
      <c r="A16" s="42">
        <f>A14+1</f>
        <v/>
      </c>
      <c r="B16" s="24" t="inlineStr">
        <is>
          <t>DAY</t>
        </is>
      </c>
      <c r="C16" s="14">
        <f>D15</f>
        <v/>
      </c>
      <c r="D16" s="14" t="n">
        <v>5580</v>
      </c>
      <c r="E16" s="14">
        <f>D16-C16</f>
        <v/>
      </c>
      <c r="F16" s="3" t="n">
        <v>200</v>
      </c>
      <c r="G16" s="3" t="n">
        <v>5580</v>
      </c>
      <c r="H16" s="3">
        <f>G16-G12</f>
        <v/>
      </c>
      <c r="I16" s="34">
        <f>F16/H16</f>
        <v/>
      </c>
      <c r="J16" s="32" t="n"/>
      <c r="K16" s="3" t="n"/>
      <c r="L16" s="3" t="n"/>
      <c r="M16" s="19" t="n"/>
      <c r="N16" s="14">
        <f>O15</f>
        <v/>
      </c>
      <c r="O16" s="14" t="n">
        <v>78620</v>
      </c>
      <c r="P16" s="151">
        <f>O16-N16</f>
        <v/>
      </c>
      <c r="Q16" s="84" t="n"/>
      <c r="R16" s="42">
        <f>R14+1</f>
        <v/>
      </c>
      <c r="S16" s="24" t="inlineStr">
        <is>
          <t>DAY</t>
        </is>
      </c>
      <c r="T16" s="14">
        <f>U15</f>
        <v/>
      </c>
      <c r="U16" s="14" t="n">
        <v>3826</v>
      </c>
      <c r="V16" s="14">
        <f>U16-T16</f>
        <v/>
      </c>
      <c r="W16" s="3" t="n"/>
      <c r="X16" s="3" t="n"/>
      <c r="Y16" s="3" t="n"/>
      <c r="Z16" s="4" t="n"/>
      <c r="AA16" s="32" t="n"/>
      <c r="AB16" s="3" t="n"/>
      <c r="AC16" s="3" t="n"/>
      <c r="AD16" s="19" t="n"/>
      <c r="AE16" s="85">
        <f>AF15</f>
        <v/>
      </c>
      <c r="AF16" s="85" t="n">
        <v>61219</v>
      </c>
      <c r="AG16" s="151">
        <f>AF16-AE16</f>
        <v/>
      </c>
    </row>
    <row r="17">
      <c r="A17" s="42">
        <f>A16</f>
        <v/>
      </c>
      <c r="B17" s="24" t="inlineStr">
        <is>
          <t>NIGHT</t>
        </is>
      </c>
      <c r="C17" s="14">
        <f>D16</f>
        <v/>
      </c>
      <c r="D17" s="14" t="n">
        <v>5588</v>
      </c>
      <c r="E17" s="14">
        <f>D17-C17</f>
        <v/>
      </c>
      <c r="F17" s="3" t="n"/>
      <c r="G17" s="3" t="n"/>
      <c r="H17" s="3" t="n"/>
      <c r="I17" s="34" t="n"/>
      <c r="J17" s="32" t="n"/>
      <c r="K17" s="3" t="n"/>
      <c r="L17" s="3" t="n"/>
      <c r="M17" s="19" t="n"/>
      <c r="N17" s="14">
        <f>O16</f>
        <v/>
      </c>
      <c r="O17" s="14" t="n">
        <v>78714</v>
      </c>
      <c r="P17" s="151">
        <f>O17-N17</f>
        <v/>
      </c>
      <c r="Q17" s="84" t="n"/>
      <c r="R17" s="42">
        <f>R16</f>
        <v/>
      </c>
      <c r="S17" s="24" t="inlineStr">
        <is>
          <t>NIGHT</t>
        </is>
      </c>
      <c r="T17" s="14">
        <f>U16</f>
        <v/>
      </c>
      <c r="U17" s="14" t="n">
        <v>3832</v>
      </c>
      <c r="V17" s="14">
        <f>U17-T17</f>
        <v/>
      </c>
      <c r="W17" s="3" t="n"/>
      <c r="X17" s="3" t="n"/>
      <c r="Y17" s="3" t="n"/>
      <c r="Z17" s="4" t="n"/>
      <c r="AA17" s="33" t="n"/>
      <c r="AB17" s="4" t="n"/>
      <c r="AC17" s="4" t="n"/>
      <c r="AD17" s="34" t="n"/>
      <c r="AE17" s="85">
        <f>AF16</f>
        <v/>
      </c>
      <c r="AF17" s="85" t="n">
        <v>61281</v>
      </c>
      <c r="AG17" s="151">
        <f>AF17-AE17</f>
        <v/>
      </c>
    </row>
    <row r="18">
      <c r="A18" s="42">
        <f>A16+1</f>
        <v/>
      </c>
      <c r="B18" s="24" t="inlineStr">
        <is>
          <t>DAY</t>
        </is>
      </c>
      <c r="C18" s="14">
        <f>D17</f>
        <v/>
      </c>
      <c r="D18" s="14" t="n">
        <v>5597</v>
      </c>
      <c r="E18" s="14">
        <f>D18-C18</f>
        <v/>
      </c>
      <c r="F18" s="3" t="n">
        <v>300</v>
      </c>
      <c r="G18" s="3" t="n">
        <v>5592</v>
      </c>
      <c r="H18" s="3">
        <f>G18-G16</f>
        <v/>
      </c>
      <c r="I18" s="34">
        <f>F18/H18</f>
        <v/>
      </c>
      <c r="J18" s="32" t="n"/>
      <c r="K18" s="3" t="n"/>
      <c r="L18" s="3" t="n"/>
      <c r="M18" s="19" t="n"/>
      <c r="N18" s="14">
        <f>O17</f>
        <v/>
      </c>
      <c r="O18" s="14" t="n">
        <v>78791</v>
      </c>
      <c r="P18" s="151">
        <f>O18-N18</f>
        <v/>
      </c>
      <c r="Q18" s="84" t="n"/>
      <c r="R18" s="42">
        <f>R16+1</f>
        <v/>
      </c>
      <c r="S18" s="24" t="inlineStr">
        <is>
          <t>DAY</t>
        </is>
      </c>
      <c r="T18" s="14">
        <f>U17</f>
        <v/>
      </c>
      <c r="U18" s="14" t="n">
        <v>3840</v>
      </c>
      <c r="V18" s="14">
        <f>U18-T18</f>
        <v/>
      </c>
      <c r="W18" s="3" t="n">
        <v>300</v>
      </c>
      <c r="X18" s="3" t="n">
        <v>3834</v>
      </c>
      <c r="Y18" s="3">
        <f>X18-X12</f>
        <v/>
      </c>
      <c r="Z18" s="4">
        <f>W18/Y18</f>
        <v/>
      </c>
      <c r="AA18" s="50" t="n"/>
      <c r="AB18" s="14" t="n"/>
      <c r="AC18" s="14" t="n"/>
      <c r="AD18" s="151" t="n"/>
      <c r="AE18" s="85">
        <f>AF17</f>
        <v/>
      </c>
      <c r="AF18" s="85" t="n">
        <v>61394</v>
      </c>
      <c r="AG18" s="151">
        <f>AF18-AE18</f>
        <v/>
      </c>
    </row>
    <row r="19">
      <c r="A19" s="42">
        <f>A18</f>
        <v/>
      </c>
      <c r="B19" s="24" t="inlineStr">
        <is>
          <t>NIGHT</t>
        </is>
      </c>
      <c r="C19" s="14">
        <f>D18</f>
        <v/>
      </c>
      <c r="D19" s="14" t="n">
        <v>5603</v>
      </c>
      <c r="E19" s="14">
        <f>D19-C19</f>
        <v/>
      </c>
      <c r="F19" s="3" t="n"/>
      <c r="G19" s="3" t="n"/>
      <c r="H19" s="3" t="n"/>
      <c r="I19" s="34" t="n"/>
      <c r="J19" s="32" t="n"/>
      <c r="K19" s="3" t="n"/>
      <c r="L19" s="3" t="n"/>
      <c r="M19" s="19" t="n"/>
      <c r="N19" s="14">
        <f>O18</f>
        <v/>
      </c>
      <c r="O19" s="14" t="n">
        <v>78865</v>
      </c>
      <c r="P19" s="151">
        <f>O19-N19</f>
        <v/>
      </c>
      <c r="Q19" s="84" t="n"/>
      <c r="R19" s="42">
        <f>R18</f>
        <v/>
      </c>
      <c r="S19" s="24" t="inlineStr">
        <is>
          <t>NIGHT</t>
        </is>
      </c>
      <c r="T19" s="14">
        <f>U18</f>
        <v/>
      </c>
      <c r="U19" s="14" t="n">
        <v>3848</v>
      </c>
      <c r="V19" s="14">
        <f>U19-T19</f>
        <v/>
      </c>
      <c r="W19" s="3" t="n"/>
      <c r="X19" s="3" t="n"/>
      <c r="Y19" s="3" t="n"/>
      <c r="Z19" s="4" t="n"/>
      <c r="AA19" s="61" t="n"/>
      <c r="AB19" s="62" t="n"/>
      <c r="AC19" s="62" t="n"/>
      <c r="AD19" s="151" t="n"/>
      <c r="AE19" s="85">
        <f>AF18</f>
        <v/>
      </c>
      <c r="AF19" s="85" t="n">
        <v>61473</v>
      </c>
      <c r="AG19" s="151">
        <f>AF19-AE19</f>
        <v/>
      </c>
    </row>
    <row r="20">
      <c r="A20" s="42">
        <f>A18+1</f>
        <v/>
      </c>
      <c r="B20" s="24" t="inlineStr">
        <is>
          <t>DAY</t>
        </is>
      </c>
      <c r="C20" s="14">
        <f>D19</f>
        <v/>
      </c>
      <c r="D20" s="14" t="n">
        <v>5611</v>
      </c>
      <c r="E20" s="14">
        <f>D20-C20</f>
        <v/>
      </c>
      <c r="F20" s="3" t="n">
        <v>250</v>
      </c>
      <c r="G20" s="3" t="n">
        <v>5597</v>
      </c>
      <c r="H20" s="3">
        <f>G20-G18</f>
        <v/>
      </c>
      <c r="I20" s="34">
        <f>F20/H20</f>
        <v/>
      </c>
      <c r="J20" s="61" t="n"/>
      <c r="K20" s="62" t="n"/>
      <c r="L20" s="62" t="n"/>
      <c r="M20" s="151" t="n"/>
      <c r="N20" s="14">
        <f>O19</f>
        <v/>
      </c>
      <c r="O20" s="14" t="n">
        <v>78932</v>
      </c>
      <c r="P20" s="151">
        <f>O20-N20</f>
        <v/>
      </c>
      <c r="Q20" s="84" t="n"/>
      <c r="R20" s="42">
        <f>R18+1</f>
        <v/>
      </c>
      <c r="S20" s="24" t="inlineStr">
        <is>
          <t>DAY</t>
        </is>
      </c>
      <c r="T20" s="14">
        <f>U19</f>
        <v/>
      </c>
      <c r="U20" s="14" t="n">
        <v>3855</v>
      </c>
      <c r="V20" s="14">
        <f>U20-T20</f>
        <v/>
      </c>
      <c r="W20" s="3" t="n">
        <v>209</v>
      </c>
      <c r="X20" s="3" t="n">
        <v>3851</v>
      </c>
      <c r="Y20" s="3">
        <f>X20-X18</f>
        <v/>
      </c>
      <c r="Z20" s="4">
        <f>W20/Y20</f>
        <v/>
      </c>
      <c r="AA20" s="33" t="n"/>
      <c r="AB20" s="4" t="n"/>
      <c r="AC20" s="4" t="n"/>
      <c r="AD20" s="34" t="n"/>
      <c r="AE20" s="85">
        <f>AF19</f>
        <v/>
      </c>
      <c r="AF20" s="85" t="n">
        <v>61573</v>
      </c>
      <c r="AG20" s="151">
        <f>AF20-AE20</f>
        <v/>
      </c>
    </row>
    <row r="21">
      <c r="A21" s="42">
        <f>A20</f>
        <v/>
      </c>
      <c r="B21" s="24" t="inlineStr">
        <is>
          <t>NIGHT</t>
        </is>
      </c>
      <c r="C21" s="14">
        <f>D20</f>
        <v/>
      </c>
      <c r="D21" s="14" t="n">
        <v>5623</v>
      </c>
      <c r="E21" s="14">
        <f>D21-C21</f>
        <v/>
      </c>
      <c r="F21" s="3" t="n"/>
      <c r="G21" s="3" t="n"/>
      <c r="H21" s="3" t="n"/>
      <c r="I21" s="34" t="n"/>
      <c r="J21" s="32" t="n"/>
      <c r="K21" s="3" t="n"/>
      <c r="L21" s="3" t="n"/>
      <c r="M21" s="19" t="n"/>
      <c r="N21" s="14">
        <f>O20</f>
        <v/>
      </c>
      <c r="O21" s="14" t="n">
        <v>79083</v>
      </c>
      <c r="P21" s="151">
        <f>O21-N21</f>
        <v/>
      </c>
      <c r="Q21" s="84" t="n"/>
      <c r="R21" s="42">
        <f>R20</f>
        <v/>
      </c>
      <c r="S21" s="24" t="inlineStr">
        <is>
          <t>NIGHT</t>
        </is>
      </c>
      <c r="T21" s="14">
        <f>U20</f>
        <v/>
      </c>
      <c r="U21" s="14" t="n">
        <v>3863</v>
      </c>
      <c r="V21" s="14">
        <f>U21-T21</f>
        <v/>
      </c>
      <c r="W21" s="3" t="n"/>
      <c r="X21" s="3" t="n"/>
      <c r="Y21" s="3" t="n"/>
      <c r="Z21" s="15" t="n"/>
      <c r="AA21" s="50" t="n"/>
      <c r="AB21" s="14" t="n"/>
      <c r="AC21" s="14" t="n"/>
      <c r="AD21" s="151" t="n"/>
      <c r="AE21" s="85">
        <f>AF20</f>
        <v/>
      </c>
      <c r="AF21" s="85" t="n">
        <v>61684</v>
      </c>
      <c r="AG21" s="151">
        <f>AF21-AE21</f>
        <v/>
      </c>
    </row>
    <row r="22">
      <c r="A22" s="42">
        <f>A20+1</f>
        <v/>
      </c>
      <c r="B22" s="24" t="inlineStr">
        <is>
          <t>DAY</t>
        </is>
      </c>
      <c r="C22" s="14">
        <f>D21</f>
        <v/>
      </c>
      <c r="D22" s="14" t="n">
        <v>5632</v>
      </c>
      <c r="E22" s="14">
        <f>D22-C22</f>
        <v/>
      </c>
      <c r="F22" s="14" t="n"/>
      <c r="G22" s="86" t="n"/>
      <c r="H22" s="3" t="n"/>
      <c r="I22" s="34" t="n"/>
      <c r="J22" s="32" t="n"/>
      <c r="K22" s="3" t="n"/>
      <c r="L22" s="3" t="n"/>
      <c r="M22" s="19" t="n"/>
      <c r="N22" s="14">
        <f>O21</f>
        <v/>
      </c>
      <c r="O22" s="14" t="n">
        <v>79162</v>
      </c>
      <c r="P22" s="151">
        <f>O22-N22</f>
        <v/>
      </c>
      <c r="Q22" s="84" t="n"/>
      <c r="R22" s="42">
        <f>R20+1</f>
        <v/>
      </c>
      <c r="S22" s="24" t="inlineStr">
        <is>
          <t>DAY</t>
        </is>
      </c>
      <c r="T22" s="14">
        <f>U21</f>
        <v/>
      </c>
      <c r="U22" s="14" t="n">
        <v>3872</v>
      </c>
      <c r="V22" s="14">
        <f>U22-T22</f>
        <v/>
      </c>
      <c r="W22" s="3" t="n"/>
      <c r="X22" s="3" t="n"/>
      <c r="Y22" s="3" t="n"/>
      <c r="Z22" s="4" t="n"/>
      <c r="AA22" s="35" t="n"/>
      <c r="AB22" s="15" t="n"/>
      <c r="AC22" s="15" t="n"/>
      <c r="AD22" s="36" t="n"/>
      <c r="AE22" s="85">
        <f>AF21</f>
        <v/>
      </c>
      <c r="AF22" s="85" t="n">
        <v>61843</v>
      </c>
      <c r="AG22" s="151">
        <f>AF22-AE22</f>
        <v/>
      </c>
    </row>
    <row r="23">
      <c r="A23" s="42">
        <f>A22</f>
        <v/>
      </c>
      <c r="B23" s="24" t="inlineStr">
        <is>
          <t>NIGHT</t>
        </is>
      </c>
      <c r="C23" s="14">
        <f>D22</f>
        <v/>
      </c>
      <c r="D23" s="14" t="n">
        <v>5641</v>
      </c>
      <c r="E23" s="14">
        <f>D23-C23</f>
        <v/>
      </c>
      <c r="F23" s="3" t="n"/>
      <c r="G23" s="3" t="n"/>
      <c r="H23" s="3" t="n"/>
      <c r="I23" s="34" t="n"/>
      <c r="J23" s="50" t="n"/>
      <c r="K23" s="14" t="n"/>
      <c r="L23" s="14" t="n"/>
      <c r="M23" s="151" t="n"/>
      <c r="N23" s="14">
        <f>O22</f>
        <v/>
      </c>
      <c r="O23" s="14" t="n">
        <v>79311</v>
      </c>
      <c r="P23" s="151">
        <f>O23-N23</f>
        <v/>
      </c>
      <c r="Q23" s="84" t="n"/>
      <c r="R23" s="42">
        <f>R22</f>
        <v/>
      </c>
      <c r="S23" s="24" t="inlineStr">
        <is>
          <t>NIGHT</t>
        </is>
      </c>
      <c r="T23" s="14">
        <f>U22</f>
        <v/>
      </c>
      <c r="U23" s="14" t="n">
        <v>3878</v>
      </c>
      <c r="V23" s="14">
        <f>U23-T23</f>
        <v/>
      </c>
      <c r="W23" s="3" t="n"/>
      <c r="X23" s="3" t="n"/>
      <c r="Y23" s="3" t="n"/>
      <c r="Z23" s="4" t="n"/>
      <c r="AA23" s="50" t="n"/>
      <c r="AB23" s="14" t="n"/>
      <c r="AC23" s="14" t="n"/>
      <c r="AD23" s="151" t="n"/>
      <c r="AE23" s="85">
        <f>AF22</f>
        <v/>
      </c>
      <c r="AF23" s="85" t="n">
        <v>61883</v>
      </c>
      <c r="AG23" s="151">
        <f>AF23-AE23</f>
        <v/>
      </c>
    </row>
    <row r="24">
      <c r="A24" s="42">
        <f>A22+1</f>
        <v/>
      </c>
      <c r="B24" s="24" t="inlineStr">
        <is>
          <t>DAY</t>
        </is>
      </c>
      <c r="C24" s="14">
        <f>D23</f>
        <v/>
      </c>
      <c r="D24" s="14" t="n">
        <v>5649</v>
      </c>
      <c r="E24" s="14">
        <f>D24-C24</f>
        <v/>
      </c>
      <c r="F24" s="3" t="n">
        <v>400</v>
      </c>
      <c r="G24" s="3" t="n">
        <v>5646</v>
      </c>
      <c r="H24" s="3">
        <f>G24-G20</f>
        <v/>
      </c>
      <c r="I24" s="34">
        <f>F24/H24</f>
        <v/>
      </c>
      <c r="J24" s="50" t="n"/>
      <c r="K24" s="14" t="n"/>
      <c r="L24" s="14" t="n"/>
      <c r="M24" s="151" t="n"/>
      <c r="N24" s="14">
        <f>O23</f>
        <v/>
      </c>
      <c r="O24" s="14" t="n">
        <v>79453</v>
      </c>
      <c r="P24" s="151">
        <f>O24-N24</f>
        <v/>
      </c>
      <c r="Q24" s="84" t="n"/>
      <c r="R24" s="42">
        <f>R22+1</f>
        <v/>
      </c>
      <c r="S24" s="24" t="inlineStr">
        <is>
          <t>DAY</t>
        </is>
      </c>
      <c r="T24" s="14">
        <f>U23</f>
        <v/>
      </c>
      <c r="U24" s="14" t="n">
        <v>3880</v>
      </c>
      <c r="V24" s="14">
        <f>U24-T24</f>
        <v/>
      </c>
      <c r="W24" s="3" t="n">
        <v>700</v>
      </c>
      <c r="X24" s="3" t="n">
        <v>3879</v>
      </c>
      <c r="Y24" s="3">
        <f>X24-X20</f>
        <v/>
      </c>
      <c r="Z24" s="4">
        <f>W24/Y24</f>
        <v/>
      </c>
      <c r="AA24" s="50" t="n"/>
      <c r="AB24" s="14" t="n"/>
      <c r="AC24" s="14" t="n"/>
      <c r="AD24" s="151" t="n"/>
      <c r="AE24" s="85">
        <f>AF23</f>
        <v/>
      </c>
      <c r="AF24" s="85" t="n">
        <v>61892</v>
      </c>
      <c r="AG24" s="151">
        <f>AF24-AE24</f>
        <v/>
      </c>
    </row>
    <row r="25">
      <c r="A25" s="42">
        <f>A24</f>
        <v/>
      </c>
      <c r="B25" s="24" t="inlineStr">
        <is>
          <t>NIGHT</t>
        </is>
      </c>
      <c r="C25" s="14">
        <f>D24</f>
        <v/>
      </c>
      <c r="D25" s="14" t="n">
        <v>5653</v>
      </c>
      <c r="E25" s="14">
        <f>D25-C25</f>
        <v/>
      </c>
      <c r="F25" s="3" t="n"/>
      <c r="G25" s="3" t="n"/>
      <c r="H25" s="3" t="n"/>
      <c r="I25" s="34" t="n"/>
      <c r="J25" s="50" t="n"/>
      <c r="K25" s="14" t="n"/>
      <c r="L25" s="14" t="n"/>
      <c r="M25" s="151" t="n"/>
      <c r="N25" s="14">
        <f>O24</f>
        <v/>
      </c>
      <c r="O25" s="14" t="n">
        <v>79501</v>
      </c>
      <c r="P25" s="151">
        <f>O25-N25</f>
        <v/>
      </c>
      <c r="Q25" s="84" t="n"/>
      <c r="R25" s="42">
        <f>R24</f>
        <v/>
      </c>
      <c r="S25" s="24" t="inlineStr">
        <is>
          <t>NIGHT</t>
        </is>
      </c>
      <c r="T25" s="14">
        <f>U24</f>
        <v/>
      </c>
      <c r="U25" s="14" t="n">
        <v>3885</v>
      </c>
      <c r="V25" s="14">
        <f>U25-T25</f>
        <v/>
      </c>
      <c r="W25" s="3" t="n"/>
      <c r="X25" s="3" t="n"/>
      <c r="Y25" s="3" t="n"/>
      <c r="Z25" s="4" t="n"/>
      <c r="AA25" s="50" t="n"/>
      <c r="AB25" s="14" t="n"/>
      <c r="AC25" s="14" t="n"/>
      <c r="AD25" s="151" t="n"/>
      <c r="AE25" s="85">
        <f>AF24</f>
        <v/>
      </c>
      <c r="AF25" s="85" t="n">
        <v>61988</v>
      </c>
      <c r="AG25" s="151">
        <f>AF25-AE25</f>
        <v/>
      </c>
    </row>
    <row r="26">
      <c r="A26" s="42">
        <f>A24+1</f>
        <v/>
      </c>
      <c r="B26" s="24" t="inlineStr">
        <is>
          <t>DAY</t>
        </is>
      </c>
      <c r="C26" s="14">
        <f>D25</f>
        <v/>
      </c>
      <c r="D26" s="14" t="n">
        <v>5655</v>
      </c>
      <c r="E26" s="14">
        <f>D26-C26</f>
        <v/>
      </c>
      <c r="F26" s="3" t="n"/>
      <c r="G26" s="3" t="n"/>
      <c r="H26" s="3" t="n"/>
      <c r="I26" s="34" t="n"/>
      <c r="J26" s="35" t="n"/>
      <c r="K26" s="15" t="n"/>
      <c r="L26" s="15" t="n"/>
      <c r="M26" s="36" t="n"/>
      <c r="N26" s="14">
        <f>O25</f>
        <v/>
      </c>
      <c r="O26" s="14" t="n">
        <v>79501</v>
      </c>
      <c r="P26" s="151">
        <f>O26-N26</f>
        <v/>
      </c>
      <c r="Q26" s="84" t="n"/>
      <c r="R26" s="42">
        <f>R24+1</f>
        <v/>
      </c>
      <c r="S26" s="24" t="inlineStr">
        <is>
          <t>DAY</t>
        </is>
      </c>
      <c r="T26" s="14">
        <f>U25</f>
        <v/>
      </c>
      <c r="U26" s="14" t="n">
        <v>3886</v>
      </c>
      <c r="V26" s="14">
        <f>U26-T26</f>
        <v/>
      </c>
      <c r="W26" s="3" t="n"/>
      <c r="X26" s="3" t="n"/>
      <c r="Y26" s="3" t="n"/>
      <c r="Z26" s="4" t="n"/>
      <c r="AA26" s="35" t="n"/>
      <c r="AB26" s="15" t="n"/>
      <c r="AC26" s="15" t="n"/>
      <c r="AD26" s="36" t="n"/>
      <c r="AE26" s="85">
        <f>AF25</f>
        <v/>
      </c>
      <c r="AF26" s="85" t="n">
        <v>62007</v>
      </c>
      <c r="AG26" s="151">
        <f>AF26-AE26</f>
        <v/>
      </c>
    </row>
    <row r="27">
      <c r="A27" s="42">
        <f>A26</f>
        <v/>
      </c>
      <c r="B27" s="24" t="inlineStr">
        <is>
          <t>NIGHT</t>
        </is>
      </c>
      <c r="C27" s="14">
        <f>D26</f>
        <v/>
      </c>
      <c r="D27" s="14" t="n">
        <v>5660</v>
      </c>
      <c r="E27" s="14">
        <f>D27-C27</f>
        <v/>
      </c>
      <c r="F27" s="3" t="n"/>
      <c r="G27" s="3" t="n"/>
      <c r="H27" s="3" t="n"/>
      <c r="I27" s="34" t="n"/>
      <c r="J27" s="61" t="n"/>
      <c r="K27" s="62" t="n"/>
      <c r="L27" s="62" t="n"/>
      <c r="M27" s="151" t="n"/>
      <c r="N27" s="14">
        <f>O26</f>
        <v/>
      </c>
      <c r="O27" s="14" t="n">
        <v>79578</v>
      </c>
      <c r="P27" s="151">
        <f>O27-N27</f>
        <v/>
      </c>
      <c r="Q27" s="84" t="n"/>
      <c r="R27" s="42">
        <f>R26</f>
        <v/>
      </c>
      <c r="S27" s="24" t="inlineStr">
        <is>
          <t>NIGHT</t>
        </is>
      </c>
      <c r="T27" s="14">
        <f>U26</f>
        <v/>
      </c>
      <c r="U27" s="14" t="n">
        <v>3889</v>
      </c>
      <c r="V27" s="14">
        <f>U27-T27</f>
        <v/>
      </c>
      <c r="W27" s="3" t="n"/>
      <c r="X27" s="3" t="n"/>
      <c r="Y27" s="3" t="n"/>
      <c r="Z27" s="4" t="n"/>
      <c r="AA27" s="50" t="n"/>
      <c r="AB27" s="14" t="n"/>
      <c r="AC27" s="14" t="n"/>
      <c r="AD27" s="151" t="n"/>
      <c r="AE27" s="85">
        <f>AF26</f>
        <v/>
      </c>
      <c r="AF27" s="14" t="n">
        <v>62024</v>
      </c>
      <c r="AG27" s="151">
        <f>AF27-AE27</f>
        <v/>
      </c>
    </row>
    <row r="28">
      <c r="A28" s="42">
        <f>A26+1</f>
        <v/>
      </c>
      <c r="B28" s="24" t="inlineStr">
        <is>
          <t>DAY</t>
        </is>
      </c>
      <c r="C28" s="14">
        <f>D27</f>
        <v/>
      </c>
      <c r="D28" s="14" t="n">
        <v>5669</v>
      </c>
      <c r="E28" s="14">
        <f>D28-C28</f>
        <v/>
      </c>
      <c r="F28" s="3" t="n">
        <v>278</v>
      </c>
      <c r="G28" s="3" t="n">
        <v>5661</v>
      </c>
      <c r="H28" s="3">
        <f>G28-G24</f>
        <v/>
      </c>
      <c r="I28" s="34">
        <f>F28/H28</f>
        <v/>
      </c>
      <c r="J28" s="61" t="n"/>
      <c r="K28" s="62" t="n"/>
      <c r="L28" s="62" t="n"/>
      <c r="M28" s="151" t="n"/>
      <c r="N28" s="14">
        <f>O27</f>
        <v/>
      </c>
      <c r="O28" s="14" t="n">
        <v>79688</v>
      </c>
      <c r="P28" s="151">
        <f>O28-N28</f>
        <v/>
      </c>
      <c r="Q28" s="84" t="n"/>
      <c r="R28" s="42">
        <f>R26+1</f>
        <v/>
      </c>
      <c r="S28" s="24" t="inlineStr">
        <is>
          <t>DAY</t>
        </is>
      </c>
      <c r="T28" s="14">
        <f>U27</f>
        <v/>
      </c>
      <c r="U28" s="14" t="n">
        <v>3895</v>
      </c>
      <c r="V28" s="14">
        <f>U28-T28</f>
        <v/>
      </c>
      <c r="W28" s="3" t="n"/>
      <c r="X28" s="3" t="n"/>
      <c r="Y28" s="3" t="n"/>
      <c r="Z28" s="4" t="n"/>
      <c r="AA28" s="50" t="n"/>
      <c r="AB28" s="14" t="n"/>
      <c r="AC28" s="14" t="n"/>
      <c r="AD28" s="151" t="n"/>
      <c r="AE28" s="85">
        <f>AF27</f>
        <v/>
      </c>
      <c r="AF28" s="14" t="n">
        <v>62057</v>
      </c>
      <c r="AG28" s="151">
        <f>AF28-AE28</f>
        <v/>
      </c>
    </row>
    <row r="29">
      <c r="A29" s="42">
        <f>A28</f>
        <v/>
      </c>
      <c r="B29" s="24" t="inlineStr">
        <is>
          <t>NIGHT</t>
        </is>
      </c>
      <c r="C29" s="14">
        <f>D28</f>
        <v/>
      </c>
      <c r="D29" s="14" t="n">
        <v>5680</v>
      </c>
      <c r="E29" s="14">
        <f>D29-C29</f>
        <v/>
      </c>
      <c r="F29" s="3" t="n"/>
      <c r="G29" s="3" t="n"/>
      <c r="H29" s="3" t="n"/>
      <c r="I29" s="34" t="n"/>
      <c r="J29" s="50" t="n"/>
      <c r="K29" s="14" t="n"/>
      <c r="L29" s="14" t="n"/>
      <c r="M29" s="151" t="n"/>
      <c r="N29" s="14">
        <f>O28</f>
        <v/>
      </c>
      <c r="O29" s="14" t="n">
        <v>79819</v>
      </c>
      <c r="P29" s="151">
        <f>O29-N29</f>
        <v/>
      </c>
      <c r="Q29" s="84" t="n"/>
      <c r="R29" s="42">
        <f>R28</f>
        <v/>
      </c>
      <c r="S29" s="24" t="inlineStr">
        <is>
          <t>NIGHT</t>
        </is>
      </c>
      <c r="T29" s="14">
        <f>U28</f>
        <v/>
      </c>
      <c r="U29" s="14" t="n">
        <v>3899</v>
      </c>
      <c r="V29" s="14">
        <f>U29-T29</f>
        <v/>
      </c>
      <c r="W29" s="3" t="n"/>
      <c r="X29" s="3" t="n"/>
      <c r="Y29" s="3" t="n"/>
      <c r="Z29" s="4" t="n"/>
      <c r="AA29" s="50" t="n"/>
      <c r="AB29" s="14" t="n"/>
      <c r="AC29" s="14" t="n"/>
      <c r="AD29" s="151" t="n"/>
      <c r="AE29" s="85">
        <f>AF28</f>
        <v/>
      </c>
      <c r="AF29" s="14" t="n">
        <v>62096</v>
      </c>
      <c r="AG29" s="151">
        <f>AF29-AE29</f>
        <v/>
      </c>
    </row>
    <row r="30">
      <c r="A30" s="42">
        <f>A28+1</f>
        <v/>
      </c>
      <c r="B30" s="24" t="inlineStr">
        <is>
          <t>DAY</t>
        </is>
      </c>
      <c r="C30" s="14">
        <f>D29</f>
        <v/>
      </c>
      <c r="D30" s="14" t="n">
        <v>5690</v>
      </c>
      <c r="E30" s="14">
        <f>D30-C30</f>
        <v/>
      </c>
      <c r="F30" s="3" t="n"/>
      <c r="G30" s="3" t="n"/>
      <c r="H30" s="3" t="n"/>
      <c r="I30" s="34" t="n"/>
      <c r="J30" s="67" t="n"/>
      <c r="K30" s="4" t="n"/>
      <c r="L30" s="69" t="n"/>
      <c r="M30" s="34" t="n"/>
      <c r="N30" s="14">
        <f>O29</f>
        <v/>
      </c>
      <c r="O30" s="14" t="n">
        <v>79991</v>
      </c>
      <c r="P30" s="151">
        <f>O30-N30</f>
        <v/>
      </c>
      <c r="Q30" s="84" t="n"/>
      <c r="R30" s="42">
        <f>R28+1</f>
        <v/>
      </c>
      <c r="S30" s="24" t="inlineStr">
        <is>
          <t>DAY</t>
        </is>
      </c>
      <c r="T30" s="14">
        <f>U29</f>
        <v/>
      </c>
      <c r="U30" s="14" t="n">
        <v>3902</v>
      </c>
      <c r="V30" s="14">
        <f>U30-T30</f>
        <v/>
      </c>
      <c r="W30" s="3" t="n"/>
      <c r="X30" s="3" t="n"/>
      <c r="Y30" s="3" t="n"/>
      <c r="Z30" s="4" t="n"/>
      <c r="AA30" s="33" t="n"/>
      <c r="AB30" s="4" t="n"/>
      <c r="AC30" s="4" t="n"/>
      <c r="AD30" s="34" t="n"/>
      <c r="AE30" s="85">
        <f>AF29</f>
        <v/>
      </c>
      <c r="AF30" s="14" t="n">
        <v>62130</v>
      </c>
      <c r="AG30" s="151">
        <f>AF30-AE30</f>
        <v/>
      </c>
    </row>
    <row r="31">
      <c r="A31" s="42">
        <f>A30</f>
        <v/>
      </c>
      <c r="B31" s="24" t="inlineStr">
        <is>
          <t>NIGHT</t>
        </is>
      </c>
      <c r="C31" s="14">
        <f>D30</f>
        <v/>
      </c>
      <c r="D31" s="14" t="n">
        <v>5698</v>
      </c>
      <c r="E31" s="14">
        <f>D31-C31</f>
        <v/>
      </c>
      <c r="F31" s="3" t="n"/>
      <c r="G31" s="3" t="n"/>
      <c r="H31" s="3" t="n"/>
      <c r="I31" s="34" t="n"/>
      <c r="J31" s="66" t="n"/>
      <c r="K31" s="15" t="n"/>
      <c r="L31" s="68" t="n"/>
      <c r="M31" s="36" t="n"/>
      <c r="N31" s="14">
        <f>O30</f>
        <v/>
      </c>
      <c r="O31" s="14" t="n">
        <v>80083</v>
      </c>
      <c r="P31" s="151">
        <f>O31-N31</f>
        <v/>
      </c>
      <c r="Q31" s="84" t="n"/>
      <c r="R31" s="42">
        <f>R30</f>
        <v/>
      </c>
      <c r="S31" s="24" t="inlineStr">
        <is>
          <t>NIGHT</t>
        </is>
      </c>
      <c r="T31" s="14">
        <f>U30</f>
        <v/>
      </c>
      <c r="U31" s="14" t="n">
        <v>3906</v>
      </c>
      <c r="V31" s="14">
        <f>U31-T31</f>
        <v/>
      </c>
      <c r="W31" s="3" t="n"/>
      <c r="X31" s="3" t="n"/>
      <c r="Y31" s="3" t="n"/>
      <c r="Z31" s="4" t="n"/>
      <c r="AA31" s="35" t="n"/>
      <c r="AB31" s="15" t="n"/>
      <c r="AC31" s="15" t="n"/>
      <c r="AD31" s="36" t="n"/>
      <c r="AE31" s="85">
        <f>AF30</f>
        <v/>
      </c>
      <c r="AF31" s="14" t="n">
        <v>62152</v>
      </c>
      <c r="AG31" s="151">
        <f>AF31-AE31</f>
        <v/>
      </c>
    </row>
    <row r="32">
      <c r="A32" s="42">
        <f>A30+1</f>
        <v/>
      </c>
      <c r="B32" s="24" t="inlineStr">
        <is>
          <t>DAY</t>
        </is>
      </c>
      <c r="C32" s="14">
        <f>D31</f>
        <v/>
      </c>
      <c r="D32" s="14" t="n">
        <v>5707</v>
      </c>
      <c r="E32" s="14">
        <f>D32-C32</f>
        <v/>
      </c>
      <c r="F32" s="3" t="n">
        <v>489</v>
      </c>
      <c r="G32" s="3" t="n">
        <v>5704</v>
      </c>
      <c r="H32" s="3">
        <f>G32-G28</f>
        <v/>
      </c>
      <c r="I32" s="34">
        <f>F32/H32</f>
        <v/>
      </c>
      <c r="J32" s="70" t="n"/>
      <c r="K32" s="44" t="n"/>
      <c r="L32" s="71" t="n"/>
      <c r="M32" s="36" t="n"/>
      <c r="N32" s="14">
        <f>O31</f>
        <v/>
      </c>
      <c r="O32" s="14" t="n">
        <v>80207</v>
      </c>
      <c r="P32" s="151">
        <f>O32-N32</f>
        <v/>
      </c>
      <c r="Q32" s="84" t="n"/>
      <c r="R32" s="42">
        <f>R30+1</f>
        <v/>
      </c>
      <c r="S32" s="24" t="inlineStr">
        <is>
          <t>DAY</t>
        </is>
      </c>
      <c r="T32" s="14">
        <f>U31</f>
        <v/>
      </c>
      <c r="U32" s="14" t="n">
        <v>3910</v>
      </c>
      <c r="V32" s="14">
        <f>U32-T32</f>
        <v/>
      </c>
      <c r="W32" s="3" t="n"/>
      <c r="X32" s="3" t="n"/>
      <c r="Y32" s="3" t="n"/>
      <c r="Z32" s="4" t="n"/>
      <c r="AA32" s="35" t="n"/>
      <c r="AB32" s="15" t="n"/>
      <c r="AC32" s="15" t="n"/>
      <c r="AD32" s="36" t="n"/>
      <c r="AE32" s="85">
        <f>AF31</f>
        <v/>
      </c>
      <c r="AF32" s="14" t="n">
        <v>62168</v>
      </c>
      <c r="AG32" s="151">
        <f>AF32-AE32</f>
        <v/>
      </c>
    </row>
    <row r="33">
      <c r="A33" s="42">
        <f>A32</f>
        <v/>
      </c>
      <c r="B33" s="24" t="inlineStr">
        <is>
          <t>NIGHT</t>
        </is>
      </c>
      <c r="C33" s="14">
        <f>D32</f>
        <v/>
      </c>
      <c r="D33" s="14" t="n">
        <v>5715</v>
      </c>
      <c r="E33" s="14">
        <f>D33-C33</f>
        <v/>
      </c>
      <c r="F33" s="3" t="n"/>
      <c r="G33" s="3" t="n"/>
      <c r="H33" s="3" t="n"/>
      <c r="I33" s="34" t="n"/>
      <c r="J33" s="70" t="n"/>
      <c r="K33" s="44" t="n"/>
      <c r="L33" s="71" t="n"/>
      <c r="M33" s="36" t="n"/>
      <c r="N33" s="14">
        <f>O32</f>
        <v/>
      </c>
      <c r="O33" s="14" t="n">
        <v>80307</v>
      </c>
      <c r="P33" s="151">
        <f>O33-N33</f>
        <v/>
      </c>
      <c r="Q33" s="84" t="n"/>
      <c r="R33" s="42">
        <f>R32</f>
        <v/>
      </c>
      <c r="S33" s="24" t="inlineStr">
        <is>
          <t>NIGHT</t>
        </is>
      </c>
      <c r="T33" s="14">
        <f>U32</f>
        <v/>
      </c>
      <c r="U33" s="14" t="n">
        <v>3915</v>
      </c>
      <c r="V33" s="14">
        <f>U33-T33</f>
        <v/>
      </c>
      <c r="W33" s="3" t="n"/>
      <c r="X33" s="3" t="n"/>
      <c r="Y33" s="3" t="n"/>
      <c r="Z33" s="4" t="n"/>
      <c r="AA33" s="43" t="n"/>
      <c r="AB33" s="44" t="n"/>
      <c r="AC33" s="44" t="n"/>
      <c r="AD33" s="36" t="n"/>
      <c r="AE33" s="85">
        <f>AF32</f>
        <v/>
      </c>
      <c r="AF33" s="14" t="n">
        <v>62189</v>
      </c>
      <c r="AG33" s="151">
        <f>AF33-AE33</f>
        <v/>
      </c>
    </row>
    <row r="34">
      <c r="A34" s="42">
        <f>A32+1</f>
        <v/>
      </c>
      <c r="B34" s="24" t="inlineStr">
        <is>
          <t>DAY</t>
        </is>
      </c>
      <c r="C34" s="14">
        <f>D33</f>
        <v/>
      </c>
      <c r="D34" s="14" t="n">
        <v>5723</v>
      </c>
      <c r="E34" s="14">
        <f>D34-C34</f>
        <v/>
      </c>
      <c r="F34" s="3" t="n"/>
      <c r="G34" s="3" t="n"/>
      <c r="H34" s="3" t="n"/>
      <c r="I34" s="34" t="n"/>
      <c r="J34" s="70" t="n"/>
      <c r="K34" s="44" t="n"/>
      <c r="L34" s="71" t="n"/>
      <c r="M34" s="36" t="n"/>
      <c r="N34" s="14">
        <f>O33</f>
        <v/>
      </c>
      <c r="O34" s="14" t="n">
        <v>80431</v>
      </c>
      <c r="P34" s="151">
        <f>O34-N34</f>
        <v/>
      </c>
      <c r="Q34" s="84" t="n"/>
      <c r="R34" s="42">
        <f>R32+1</f>
        <v/>
      </c>
      <c r="S34" s="24" t="inlineStr">
        <is>
          <t>DAY</t>
        </is>
      </c>
      <c r="T34" s="14">
        <f>U33</f>
        <v/>
      </c>
      <c r="U34" s="14" t="n">
        <v>3923</v>
      </c>
      <c r="V34" s="14">
        <f>U34-T34</f>
        <v/>
      </c>
      <c r="W34" s="3" t="n"/>
      <c r="X34" s="3" t="n"/>
      <c r="Y34" s="3" t="n"/>
      <c r="Z34" s="4" t="n"/>
      <c r="AA34" s="43" t="n"/>
      <c r="AB34" s="44" t="n"/>
      <c r="AC34" s="44" t="n"/>
      <c r="AD34" s="36" t="n"/>
      <c r="AE34" s="85">
        <f>AF33</f>
        <v/>
      </c>
      <c r="AF34" s="14" t="n">
        <v>62381</v>
      </c>
      <c r="AG34" s="151">
        <f>AF34-AE34</f>
        <v/>
      </c>
    </row>
    <row r="35">
      <c r="A35" s="42">
        <f>A34</f>
        <v/>
      </c>
      <c r="B35" s="24" t="inlineStr">
        <is>
          <t>NIGHT</t>
        </is>
      </c>
      <c r="C35" s="14">
        <f>D34</f>
        <v/>
      </c>
      <c r="D35" s="14" t="n">
        <v>5729</v>
      </c>
      <c r="E35" s="14">
        <f>D35-C35</f>
        <v/>
      </c>
      <c r="F35" s="3" t="n"/>
      <c r="G35" s="3" t="n"/>
      <c r="H35" s="3" t="n"/>
      <c r="I35" s="34" t="n"/>
      <c r="J35" s="35" t="n"/>
      <c r="K35" s="15" t="n"/>
      <c r="L35" s="15" t="n"/>
      <c r="M35" s="36" t="n"/>
      <c r="N35" s="14">
        <f>O34</f>
        <v/>
      </c>
      <c r="O35" s="14" t="n">
        <v>80509</v>
      </c>
      <c r="P35" s="151">
        <f>O35-N35</f>
        <v/>
      </c>
      <c r="Q35" s="84" t="n"/>
      <c r="R35" s="42">
        <f>R34</f>
        <v/>
      </c>
      <c r="S35" s="24" t="inlineStr">
        <is>
          <t>NIGHT</t>
        </is>
      </c>
      <c r="T35" s="14">
        <f>U34</f>
        <v/>
      </c>
      <c r="U35" s="14" t="n">
        <v>3931</v>
      </c>
      <c r="V35" s="14">
        <f>U35-T35</f>
        <v/>
      </c>
      <c r="W35" s="3" t="n"/>
      <c r="X35" s="3" t="n"/>
      <c r="Y35" s="3" t="n"/>
      <c r="Z35" s="4" t="n"/>
      <c r="AA35" s="35" t="n"/>
      <c r="AB35" s="15" t="n"/>
      <c r="AC35" s="15" t="n"/>
      <c r="AD35" s="36" t="n"/>
      <c r="AE35" s="85">
        <f>AF34</f>
        <v/>
      </c>
      <c r="AF35" s="14" t="n">
        <v>62526</v>
      </c>
      <c r="AG35" s="151">
        <f>AF35-AE35</f>
        <v/>
      </c>
    </row>
    <row r="36">
      <c r="A36" s="42">
        <f>A34+1</f>
        <v/>
      </c>
      <c r="B36" s="24" t="inlineStr">
        <is>
          <t>DAY</t>
        </is>
      </c>
      <c r="C36" s="14">
        <f>D35</f>
        <v/>
      </c>
      <c r="D36" s="14" t="n">
        <v>5738</v>
      </c>
      <c r="E36" s="14">
        <f>D36-C36</f>
        <v/>
      </c>
      <c r="F36" s="3" t="n">
        <v>400</v>
      </c>
      <c r="G36" s="3" t="n">
        <v>5736</v>
      </c>
      <c r="H36" s="3">
        <f>G36-G32</f>
        <v/>
      </c>
      <c r="I36" s="34">
        <f>F36/H36</f>
        <v/>
      </c>
      <c r="J36" s="35" t="n"/>
      <c r="K36" s="15" t="n"/>
      <c r="L36" s="15" t="n"/>
      <c r="M36" s="36" t="n"/>
      <c r="N36" s="14">
        <f>O35</f>
        <v/>
      </c>
      <c r="O36" s="14" t="n">
        <v>80634</v>
      </c>
      <c r="P36" s="151">
        <f>O36-N36</f>
        <v/>
      </c>
      <c r="Q36" s="84" t="n"/>
      <c r="R36" s="42">
        <f>R34+1</f>
        <v/>
      </c>
      <c r="S36" s="24" t="inlineStr">
        <is>
          <t>DAY</t>
        </is>
      </c>
      <c r="T36" s="14">
        <f>U35</f>
        <v/>
      </c>
      <c r="U36" s="14" t="n">
        <v>3936</v>
      </c>
      <c r="V36" s="14">
        <f>U36-T36</f>
        <v/>
      </c>
      <c r="W36" s="3" t="n">
        <v>654</v>
      </c>
      <c r="X36" s="3" t="n">
        <v>3932</v>
      </c>
      <c r="Y36" s="3">
        <f>X36-X24</f>
        <v/>
      </c>
      <c r="Z36" s="4">
        <f>W36/Y36</f>
        <v/>
      </c>
      <c r="AA36" s="35" t="n"/>
      <c r="AB36" s="15" t="n"/>
      <c r="AC36" s="15" t="n"/>
      <c r="AD36" s="36" t="n"/>
      <c r="AE36" s="85">
        <f>AF35</f>
        <v/>
      </c>
      <c r="AF36" s="14" t="n">
        <v>62578</v>
      </c>
      <c r="AG36" s="151">
        <f>AF36-AE36</f>
        <v/>
      </c>
    </row>
    <row r="37">
      <c r="A37" s="42">
        <f>A36</f>
        <v/>
      </c>
      <c r="B37" s="24" t="inlineStr">
        <is>
          <t>NIGHT</t>
        </is>
      </c>
      <c r="C37" s="14">
        <f>D36</f>
        <v/>
      </c>
      <c r="D37" s="14" t="n">
        <v>5747</v>
      </c>
      <c r="E37" s="14">
        <f>D37-C37</f>
        <v/>
      </c>
      <c r="F37" s="3" t="n"/>
      <c r="G37" s="3" t="n"/>
      <c r="H37" s="3" t="n"/>
      <c r="I37" s="34" t="n"/>
      <c r="J37" s="35" t="n"/>
      <c r="K37" s="15" t="n"/>
      <c r="L37" s="15" t="n"/>
      <c r="M37" s="36" t="n"/>
      <c r="N37" s="14">
        <f>O36</f>
        <v/>
      </c>
      <c r="O37" s="14" t="n">
        <v>80757</v>
      </c>
      <c r="P37" s="151">
        <f>O37-N37</f>
        <v/>
      </c>
      <c r="Q37" s="84" t="n"/>
      <c r="R37" s="42">
        <f>R36</f>
        <v/>
      </c>
      <c r="S37" s="24" t="inlineStr">
        <is>
          <t>NIGHT</t>
        </is>
      </c>
      <c r="T37" s="14">
        <f>U36</f>
        <v/>
      </c>
      <c r="U37" s="14" t="n">
        <v>3940</v>
      </c>
      <c r="V37" s="14">
        <f>U37-T37</f>
        <v/>
      </c>
      <c r="W37" s="3" t="n"/>
      <c r="X37" s="3" t="n"/>
      <c r="Y37" s="3" t="n"/>
      <c r="Z37" s="4" t="n"/>
      <c r="AA37" s="35" t="n"/>
      <c r="AB37" s="15" t="n"/>
      <c r="AC37" s="15" t="n"/>
      <c r="AD37" s="36" t="n"/>
      <c r="AE37" s="85">
        <f>AF36</f>
        <v/>
      </c>
      <c r="AF37" s="14" t="n">
        <v>62610</v>
      </c>
      <c r="AG37" s="151">
        <f>AF37-AE37</f>
        <v/>
      </c>
    </row>
    <row r="38">
      <c r="A38" s="42">
        <f>A36+1</f>
        <v/>
      </c>
      <c r="B38" s="24" t="inlineStr">
        <is>
          <t>DAY</t>
        </is>
      </c>
      <c r="C38" s="14">
        <f>D37</f>
        <v/>
      </c>
      <c r="D38" s="14" t="n">
        <v>5754</v>
      </c>
      <c r="E38" s="14">
        <f>D38-C38</f>
        <v/>
      </c>
      <c r="F38" s="3" t="n"/>
      <c r="G38" s="3" t="n"/>
      <c r="H38" s="3" t="n"/>
      <c r="I38" s="34" t="n"/>
      <c r="J38" s="35" t="n"/>
      <c r="K38" s="15" t="n"/>
      <c r="L38" s="15" t="n"/>
      <c r="M38" s="36" t="n"/>
      <c r="N38" s="14">
        <f>O37</f>
        <v/>
      </c>
      <c r="O38" s="14" t="n">
        <v>80834</v>
      </c>
      <c r="P38" s="151">
        <f>O38-N38</f>
        <v/>
      </c>
      <c r="Q38" s="84" t="n"/>
      <c r="R38" s="42">
        <f>R36+1</f>
        <v/>
      </c>
      <c r="S38" s="24" t="inlineStr">
        <is>
          <t>DAY</t>
        </is>
      </c>
      <c r="T38" s="14">
        <f>U37</f>
        <v/>
      </c>
      <c r="U38" s="14" t="n">
        <v>3946</v>
      </c>
      <c r="V38" s="14">
        <f>U38-T38</f>
        <v/>
      </c>
      <c r="W38" s="3" t="n"/>
      <c r="X38" s="3" t="n"/>
      <c r="Y38" s="3" t="n"/>
      <c r="Z38" s="4" t="n"/>
      <c r="AA38" s="35" t="n"/>
      <c r="AB38" s="15" t="n"/>
      <c r="AC38" s="15" t="n"/>
      <c r="AD38" s="36" t="n"/>
      <c r="AE38" s="85">
        <f>AF37</f>
        <v/>
      </c>
      <c r="AF38" s="14" t="n">
        <v>62742</v>
      </c>
      <c r="AG38" s="151">
        <f>AF38-AE38</f>
        <v/>
      </c>
    </row>
    <row r="39">
      <c r="A39" s="42">
        <f>A38</f>
        <v/>
      </c>
      <c r="B39" s="24" t="inlineStr">
        <is>
          <t>NIGHT</t>
        </is>
      </c>
      <c r="C39" s="14">
        <f>D38</f>
        <v/>
      </c>
      <c r="D39" s="14" t="n">
        <v>5762</v>
      </c>
      <c r="E39" s="14">
        <f>D39-C39</f>
        <v/>
      </c>
      <c r="F39" s="3" t="n"/>
      <c r="G39" s="3" t="n"/>
      <c r="H39" s="3" t="n"/>
      <c r="I39" s="34" t="n"/>
      <c r="J39" s="35" t="n"/>
      <c r="K39" s="15" t="n"/>
      <c r="L39" s="15" t="n"/>
      <c r="M39" s="36" t="n"/>
      <c r="N39" s="14">
        <f>O38</f>
        <v/>
      </c>
      <c r="O39" s="14" t="n">
        <v>80969</v>
      </c>
      <c r="P39" s="151">
        <f>O39-N39</f>
        <v/>
      </c>
      <c r="Q39" s="84" t="n"/>
      <c r="R39" s="42">
        <f>R38</f>
        <v/>
      </c>
      <c r="S39" s="24" t="inlineStr">
        <is>
          <t>NIGHT</t>
        </is>
      </c>
      <c r="T39" s="14">
        <f>U38</f>
        <v/>
      </c>
      <c r="U39" s="14" t="n">
        <v>3953</v>
      </c>
      <c r="V39" s="14">
        <f>U39-T39</f>
        <v/>
      </c>
      <c r="W39" s="3" t="n"/>
      <c r="X39" s="3" t="n"/>
      <c r="Y39" s="3" t="n"/>
      <c r="Z39" s="4" t="n"/>
      <c r="AA39" s="35" t="n"/>
      <c r="AB39" s="15" t="n"/>
      <c r="AC39" s="15" t="n"/>
      <c r="AD39" s="36" t="n"/>
      <c r="AE39" s="85">
        <f>AF38</f>
        <v/>
      </c>
      <c r="AF39" s="14" t="n">
        <v>62907</v>
      </c>
      <c r="AG39" s="151">
        <f>AF39-AE39</f>
        <v/>
      </c>
    </row>
    <row r="40">
      <c r="A40" s="42">
        <f>A38+1</f>
        <v/>
      </c>
      <c r="B40" s="24" t="inlineStr">
        <is>
          <t>DAY</t>
        </is>
      </c>
      <c r="C40" s="14">
        <f>D39</f>
        <v/>
      </c>
      <c r="D40" s="14" t="n">
        <v>5770</v>
      </c>
      <c r="E40" s="14">
        <f>D40-C40</f>
        <v/>
      </c>
      <c r="F40" s="3" t="n">
        <v>417</v>
      </c>
      <c r="G40" s="3" t="n">
        <v>5760</v>
      </c>
      <c r="H40" s="3">
        <f>G40-G36</f>
        <v/>
      </c>
      <c r="I40" s="34">
        <f>F40/H40</f>
        <v/>
      </c>
      <c r="J40" s="61" t="n"/>
      <c r="K40" s="61" t="n"/>
      <c r="L40" s="62" t="n"/>
      <c r="M40" s="36" t="n"/>
      <c r="N40" s="14">
        <f>O39</f>
        <v/>
      </c>
      <c r="O40" s="87" t="n">
        <v>81059</v>
      </c>
      <c r="P40" s="151">
        <f>O40-N40</f>
        <v/>
      </c>
      <c r="Q40" s="84" t="n"/>
      <c r="R40" s="42">
        <f>R38+1</f>
        <v/>
      </c>
      <c r="S40" s="24" t="inlineStr">
        <is>
          <t>DAY</t>
        </is>
      </c>
      <c r="T40" s="14">
        <f>U39</f>
        <v/>
      </c>
      <c r="U40" s="14" t="n">
        <v>3961</v>
      </c>
      <c r="V40" s="14">
        <f>U40-T40</f>
        <v/>
      </c>
      <c r="W40" s="3" t="n">
        <v>325</v>
      </c>
      <c r="X40" s="3" t="n">
        <v>3953</v>
      </c>
      <c r="Y40" s="3">
        <f>X40-X36</f>
        <v/>
      </c>
      <c r="Z40" s="4">
        <f>W40/Y40</f>
        <v/>
      </c>
      <c r="AA40" s="35" t="n"/>
      <c r="AB40" s="15" t="n"/>
      <c r="AC40" s="15" t="n"/>
      <c r="AD40" s="36" t="n"/>
      <c r="AE40" s="85">
        <f>AF39</f>
        <v/>
      </c>
      <c r="AF40" s="14" t="n">
        <v>63083</v>
      </c>
      <c r="AG40" s="151">
        <f>AF40-AE40</f>
        <v/>
      </c>
    </row>
    <row r="41">
      <c r="A41" s="42">
        <f>A40</f>
        <v/>
      </c>
      <c r="B41" s="24" t="inlineStr">
        <is>
          <t>NIGHT</t>
        </is>
      </c>
      <c r="C41" s="14">
        <f>D40</f>
        <v/>
      </c>
      <c r="D41" s="14" t="n">
        <v>5771</v>
      </c>
      <c r="E41" s="14">
        <f>D41-C41</f>
        <v/>
      </c>
      <c r="F41" s="3" t="n"/>
      <c r="G41" s="3" t="n"/>
      <c r="H41" s="3" t="n"/>
      <c r="I41" s="34" t="n"/>
      <c r="J41" s="61" t="n"/>
      <c r="K41" s="61" t="n"/>
      <c r="L41" s="62" t="n"/>
      <c r="M41" s="36" t="n"/>
      <c r="N41" s="14">
        <f>O40</f>
        <v/>
      </c>
      <c r="O41" s="14" t="n">
        <v>81089</v>
      </c>
      <c r="P41" s="151">
        <f>O41-N41</f>
        <v/>
      </c>
      <c r="Q41" s="84" t="n"/>
      <c r="R41" s="42">
        <f>R40</f>
        <v/>
      </c>
      <c r="S41" s="24" t="inlineStr">
        <is>
          <t>NIGHT</t>
        </is>
      </c>
      <c r="T41" s="14">
        <f>U40</f>
        <v/>
      </c>
      <c r="U41" s="14" t="n">
        <v>3967</v>
      </c>
      <c r="V41" s="14">
        <f>U41-T41</f>
        <v/>
      </c>
      <c r="W41" s="3" t="n"/>
      <c r="X41" s="3" t="n"/>
      <c r="Y41" s="3" t="n"/>
      <c r="Z41" s="4" t="n"/>
      <c r="AA41" s="35" t="n"/>
      <c r="AB41" s="15" t="n"/>
      <c r="AC41" s="15" t="n"/>
      <c r="AD41" s="36" t="n"/>
      <c r="AE41" s="85">
        <f>AF40</f>
        <v/>
      </c>
      <c r="AF41" s="14" t="n">
        <v>63159</v>
      </c>
      <c r="AG41" s="151">
        <f>AF41-AE41</f>
        <v/>
      </c>
    </row>
    <row r="42">
      <c r="A42" s="42">
        <f>A40+1</f>
        <v/>
      </c>
      <c r="B42" s="24" t="inlineStr">
        <is>
          <t>DAY</t>
        </is>
      </c>
      <c r="C42" s="14">
        <f>D41</f>
        <v/>
      </c>
      <c r="D42" s="14" t="n">
        <v>5781</v>
      </c>
      <c r="E42" s="14">
        <f>D42-C42</f>
        <v/>
      </c>
      <c r="F42" s="3" t="n">
        <v>91</v>
      </c>
      <c r="G42" s="3" t="n">
        <v>5774</v>
      </c>
      <c r="H42" s="3">
        <f>G42-G40</f>
        <v/>
      </c>
      <c r="I42" s="34">
        <f>F42/H42</f>
        <v/>
      </c>
      <c r="J42" s="61" t="n"/>
      <c r="K42" s="61" t="n"/>
      <c r="L42" s="62" t="n"/>
      <c r="M42" s="36" t="n"/>
      <c r="N42" s="14">
        <f>O41</f>
        <v/>
      </c>
      <c r="O42" s="14" t="n">
        <v>81237</v>
      </c>
      <c r="P42" s="151">
        <f>O42-N42</f>
        <v/>
      </c>
      <c r="Q42" s="84" t="n"/>
      <c r="R42" s="42">
        <f>R40+1</f>
        <v/>
      </c>
      <c r="S42" s="24" t="inlineStr">
        <is>
          <t>DAY</t>
        </is>
      </c>
      <c r="T42" s="14">
        <f>U41</f>
        <v/>
      </c>
      <c r="U42" s="14" t="n">
        <v>3971</v>
      </c>
      <c r="V42" s="14">
        <f>U42-T42</f>
        <v/>
      </c>
      <c r="W42" s="3" t="n">
        <v>391</v>
      </c>
      <c r="X42" s="3" t="n">
        <v>3969</v>
      </c>
      <c r="Y42" s="3">
        <f>X42-X36</f>
        <v/>
      </c>
      <c r="Z42" s="4">
        <f>W42/Y42</f>
        <v/>
      </c>
      <c r="AA42" s="33" t="n"/>
      <c r="AB42" s="4" t="n"/>
      <c r="AC42" s="4" t="n"/>
      <c r="AD42" s="34" t="n"/>
      <c r="AE42" s="85">
        <f>AF41</f>
        <v/>
      </c>
      <c r="AF42" s="14" t="n">
        <v>63229</v>
      </c>
      <c r="AG42" s="151">
        <f>AF42-AE42</f>
        <v/>
      </c>
    </row>
    <row r="43">
      <c r="A43" s="42">
        <f>A42</f>
        <v/>
      </c>
      <c r="B43" s="24" t="inlineStr">
        <is>
          <t>NIGHT</t>
        </is>
      </c>
      <c r="C43" s="14">
        <f>D42</f>
        <v/>
      </c>
      <c r="D43" s="14" t="n">
        <v>5786</v>
      </c>
      <c r="E43" s="14">
        <f>D43-C43</f>
        <v/>
      </c>
      <c r="F43" s="3" t="n"/>
      <c r="G43" s="3" t="n"/>
      <c r="H43" s="3" t="n"/>
      <c r="I43" s="34" t="n"/>
      <c r="J43" s="61" t="n"/>
      <c r="K43" s="61" t="n"/>
      <c r="L43" s="62" t="n"/>
      <c r="M43" s="36" t="n"/>
      <c r="N43" s="14">
        <f>O42</f>
        <v/>
      </c>
      <c r="O43" s="14" t="n">
        <v>81285</v>
      </c>
      <c r="P43" s="151">
        <f>O43-N43</f>
        <v/>
      </c>
      <c r="Q43" s="84" t="n"/>
      <c r="R43" s="42">
        <f>R42</f>
        <v/>
      </c>
      <c r="S43" s="24" t="inlineStr">
        <is>
          <t>NIGHT</t>
        </is>
      </c>
      <c r="T43" s="14">
        <f>U42</f>
        <v/>
      </c>
      <c r="U43" s="14" t="n">
        <v>3976</v>
      </c>
      <c r="V43" s="14">
        <f>U43-T43</f>
        <v/>
      </c>
      <c r="W43" s="3" t="n"/>
      <c r="X43" s="3" t="n"/>
      <c r="Y43" s="3" t="n"/>
      <c r="Z43" s="4" t="n"/>
      <c r="AA43" s="35" t="n"/>
      <c r="AB43" s="15" t="n"/>
      <c r="AC43" s="15" t="n"/>
      <c r="AD43" s="36" t="n"/>
      <c r="AE43" s="85">
        <f>AF42</f>
        <v/>
      </c>
      <c r="AF43" s="14" t="n">
        <v>63363</v>
      </c>
      <c r="AG43" s="151">
        <f>AF43-AE43</f>
        <v/>
      </c>
    </row>
    <row r="44">
      <c r="A44" s="42">
        <f>A42+1</f>
        <v/>
      </c>
      <c r="B44" s="24" t="inlineStr">
        <is>
          <t>DAY</t>
        </is>
      </c>
      <c r="C44" s="14">
        <f>D43</f>
        <v/>
      </c>
      <c r="D44" s="14" t="n">
        <v>5795</v>
      </c>
      <c r="E44" s="14">
        <f>D44-C44</f>
        <v/>
      </c>
      <c r="F44" s="3" t="n"/>
      <c r="G44" s="3" t="n"/>
      <c r="H44" s="3" t="n"/>
      <c r="I44" s="34" t="n"/>
      <c r="J44" s="61" t="n"/>
      <c r="K44" s="61" t="n"/>
      <c r="L44" s="62" t="n"/>
      <c r="M44" s="36" t="n"/>
      <c r="N44" s="14">
        <f>O43</f>
        <v/>
      </c>
      <c r="O44" s="14" t="n">
        <v>81399</v>
      </c>
      <c r="P44" s="151">
        <f>O44-N44</f>
        <v/>
      </c>
      <c r="Q44" s="84" t="n"/>
      <c r="R44" s="42">
        <f>R42+1</f>
        <v/>
      </c>
      <c r="S44" s="24" t="inlineStr">
        <is>
          <t>DAY</t>
        </is>
      </c>
      <c r="T44" s="14">
        <f>U43</f>
        <v/>
      </c>
      <c r="U44" s="14" t="n">
        <v>3981</v>
      </c>
      <c r="V44" s="14">
        <f>U44-T44</f>
        <v/>
      </c>
      <c r="W44" s="3" t="n"/>
      <c r="X44" s="3" t="n"/>
      <c r="Y44" s="3" t="n"/>
      <c r="Z44" s="4" t="n"/>
      <c r="AA44" s="35" t="n"/>
      <c r="AB44" s="15" t="n"/>
      <c r="AC44" s="15" t="n"/>
      <c r="AD44" s="36" t="n"/>
      <c r="AE44" s="85">
        <f>AF43</f>
        <v/>
      </c>
      <c r="AF44" s="14" t="n">
        <v>63431</v>
      </c>
      <c r="AG44" s="151">
        <f>AF44-AE44</f>
        <v/>
      </c>
    </row>
    <row r="45">
      <c r="A45" s="42">
        <f>A44</f>
        <v/>
      </c>
      <c r="B45" s="24" t="inlineStr">
        <is>
          <t>NIGHT</t>
        </is>
      </c>
      <c r="C45" s="14">
        <f>D44</f>
        <v/>
      </c>
      <c r="D45" s="14" t="n">
        <v>5798</v>
      </c>
      <c r="E45" s="14">
        <f>D45-C45</f>
        <v/>
      </c>
      <c r="F45" s="3" t="n"/>
      <c r="G45" s="3" t="n"/>
      <c r="H45" s="3" t="n"/>
      <c r="I45" s="34" t="n"/>
      <c r="J45" s="61" t="n"/>
      <c r="K45" s="61" t="n"/>
      <c r="L45" s="62" t="n"/>
      <c r="M45" s="36" t="n"/>
      <c r="N45" s="14">
        <f>O44</f>
        <v/>
      </c>
      <c r="O45" s="14" t="n">
        <v>81450</v>
      </c>
      <c r="P45" s="151">
        <f>O45-N45</f>
        <v/>
      </c>
      <c r="Q45" s="84" t="n"/>
      <c r="R45" s="42">
        <f>R44</f>
        <v/>
      </c>
      <c r="S45" s="24" t="inlineStr">
        <is>
          <t>NIGHT</t>
        </is>
      </c>
      <c r="T45" s="14">
        <f>U44</f>
        <v/>
      </c>
      <c r="U45" s="14" t="n">
        <v>3986</v>
      </c>
      <c r="V45" s="14">
        <f>U45-T45</f>
        <v/>
      </c>
      <c r="W45" s="3" t="n"/>
      <c r="X45" s="3" t="n"/>
      <c r="Y45" s="3" t="n"/>
      <c r="Z45" s="4" t="n"/>
      <c r="AA45" s="35" t="n"/>
      <c r="AB45" s="15" t="n"/>
      <c r="AC45" s="15" t="n"/>
      <c r="AD45" s="36" t="n"/>
      <c r="AE45" s="85">
        <f>AF44</f>
        <v/>
      </c>
      <c r="AF45" s="14" t="n">
        <v>63529</v>
      </c>
      <c r="AG45" s="151">
        <f>AF45-AE45</f>
        <v/>
      </c>
    </row>
    <row r="46">
      <c r="A46" s="42">
        <f>A44+1</f>
        <v/>
      </c>
      <c r="B46" s="24" t="inlineStr">
        <is>
          <t>DAY</t>
        </is>
      </c>
      <c r="C46" s="14">
        <f>D45</f>
        <v/>
      </c>
      <c r="D46" s="14" t="n">
        <v>5804</v>
      </c>
      <c r="E46" s="14">
        <f>D46-C46</f>
        <v/>
      </c>
      <c r="F46" s="3" t="n"/>
      <c r="G46" s="3" t="n"/>
      <c r="H46" s="3" t="n"/>
      <c r="I46" s="34" t="n"/>
      <c r="J46" s="61" t="n"/>
      <c r="K46" s="61" t="n"/>
      <c r="L46" s="62" t="n"/>
      <c r="M46" s="36" t="n"/>
      <c r="N46" s="14">
        <f>O45</f>
        <v/>
      </c>
      <c r="O46" s="14" t="n">
        <v>81532</v>
      </c>
      <c r="P46" s="151">
        <f>O46-N46</f>
        <v/>
      </c>
      <c r="Q46" s="84" t="n"/>
      <c r="R46" s="42">
        <f>R44+1</f>
        <v/>
      </c>
      <c r="S46" s="24" t="inlineStr">
        <is>
          <t>DAY</t>
        </is>
      </c>
      <c r="T46" s="14">
        <f>U45</f>
        <v/>
      </c>
      <c r="U46" s="14" t="n">
        <v>3993</v>
      </c>
      <c r="V46" s="14">
        <f>U46-T46</f>
        <v/>
      </c>
      <c r="W46" s="86" t="n"/>
      <c r="X46" s="3" t="n"/>
      <c r="Y46" s="3" t="n"/>
      <c r="Z46" s="4" t="n"/>
      <c r="AA46" s="81" t="n"/>
      <c r="AB46" s="15" t="n"/>
      <c r="AC46" s="15" t="n"/>
      <c r="AD46" s="36" t="n"/>
      <c r="AE46" s="85">
        <f>AF45</f>
        <v/>
      </c>
      <c r="AF46" s="14" t="n">
        <v>63652</v>
      </c>
      <c r="AG46" s="151">
        <f>AF46-AE46</f>
        <v/>
      </c>
    </row>
    <row r="47">
      <c r="A47" s="42">
        <f>A46</f>
        <v/>
      </c>
      <c r="B47" s="24" t="inlineStr">
        <is>
          <t>NIGHT</t>
        </is>
      </c>
      <c r="C47" s="14">
        <f>D46</f>
        <v/>
      </c>
      <c r="D47" s="14" t="n">
        <v>5804</v>
      </c>
      <c r="E47" s="14">
        <f>D47-C47</f>
        <v/>
      </c>
      <c r="F47" s="3" t="n"/>
      <c r="G47" s="3" t="n"/>
      <c r="H47" s="3" t="n"/>
      <c r="I47" s="34" t="n"/>
      <c r="J47" s="33" t="n"/>
      <c r="K47" s="4" t="n"/>
      <c r="L47" s="4" t="n"/>
      <c r="M47" s="34" t="n"/>
      <c r="N47" s="14">
        <f>O46</f>
        <v/>
      </c>
      <c r="O47" s="14" t="n">
        <v>81532</v>
      </c>
      <c r="P47" s="151">
        <f>O47-N47</f>
        <v/>
      </c>
      <c r="Q47" s="84" t="n"/>
      <c r="R47" s="100">
        <f>R46</f>
        <v/>
      </c>
      <c r="S47" s="7" t="inlineStr">
        <is>
          <t>NIGHT</t>
        </is>
      </c>
      <c r="T47" s="1">
        <f>U46</f>
        <v/>
      </c>
      <c r="U47" s="1" t="n">
        <v>3995</v>
      </c>
      <c r="V47" s="1">
        <f>U47-T47</f>
        <v/>
      </c>
      <c r="W47" s="101" t="n"/>
      <c r="X47" s="101" t="n"/>
      <c r="Y47" s="101" t="n"/>
      <c r="Z47" s="102" t="n"/>
      <c r="AA47" s="103" t="n"/>
      <c r="AB47" s="103" t="n"/>
      <c r="AC47" s="104" t="n"/>
      <c r="AD47" s="105" t="n"/>
      <c r="AE47" s="41">
        <f>AF46</f>
        <v/>
      </c>
      <c r="AF47" s="1" t="n">
        <v>63685</v>
      </c>
      <c r="AG47" s="9">
        <f>AF47-AE47</f>
        <v/>
      </c>
    </row>
    <row r="48">
      <c r="A48" s="42">
        <f>A46+1</f>
        <v/>
      </c>
      <c r="B48" s="24" t="inlineStr">
        <is>
          <t>DAY</t>
        </is>
      </c>
      <c r="C48" s="14">
        <f>D47</f>
        <v/>
      </c>
      <c r="D48" s="14" t="n">
        <v>5805</v>
      </c>
      <c r="E48" s="14">
        <f>D48-C48</f>
        <v/>
      </c>
      <c r="F48" s="3" t="n"/>
      <c r="G48" s="3" t="n"/>
      <c r="H48" s="3" t="n"/>
      <c r="I48" s="34" t="n"/>
      <c r="J48" s="35" t="n"/>
      <c r="K48" s="15" t="n"/>
      <c r="L48" s="15" t="n"/>
      <c r="M48" s="36" t="n"/>
      <c r="N48" s="14">
        <f>O47</f>
        <v/>
      </c>
      <c r="O48" s="14" t="n">
        <v>81545</v>
      </c>
      <c r="P48" s="151">
        <f>O48-N48</f>
        <v/>
      </c>
      <c r="Q48" s="84" t="n"/>
      <c r="R48" s="42">
        <f>R46+1</f>
        <v/>
      </c>
      <c r="S48" s="24" t="inlineStr">
        <is>
          <t>DAY</t>
        </is>
      </c>
      <c r="T48" s="14">
        <f>U47</f>
        <v/>
      </c>
      <c r="U48" s="14" t="n">
        <v>4001</v>
      </c>
      <c r="V48" s="14">
        <f>U48-T48</f>
        <v/>
      </c>
      <c r="W48" s="3" t="n"/>
      <c r="X48" s="3" t="n"/>
      <c r="Y48" s="3" t="n"/>
      <c r="Z48" s="4" t="n"/>
      <c r="AA48" s="81" t="n"/>
      <c r="AB48" s="81" t="n"/>
      <c r="AC48" s="62" t="n"/>
      <c r="AD48" s="36" t="n"/>
      <c r="AE48" s="85">
        <f>AF47</f>
        <v/>
      </c>
      <c r="AF48" s="14" t="n">
        <v>63730</v>
      </c>
      <c r="AG48" s="151">
        <f>AF48-AE48</f>
        <v/>
      </c>
    </row>
    <row r="49">
      <c r="A49" s="42">
        <f>A48</f>
        <v/>
      </c>
      <c r="B49" s="24" t="inlineStr">
        <is>
          <t>NIGHT</t>
        </is>
      </c>
      <c r="C49" s="14">
        <f>D48</f>
        <v/>
      </c>
      <c r="D49" s="14" t="n">
        <v>5805</v>
      </c>
      <c r="E49" s="14">
        <f>D49-C49</f>
        <v/>
      </c>
      <c r="F49" s="3" t="n"/>
      <c r="G49" s="3" t="n"/>
      <c r="H49" s="3" t="n"/>
      <c r="I49" s="34" t="n"/>
      <c r="J49" s="35" t="n"/>
      <c r="K49" s="15" t="n"/>
      <c r="L49" s="15" t="n"/>
      <c r="M49" s="36" t="n"/>
      <c r="N49" s="14">
        <f>O48</f>
        <v/>
      </c>
      <c r="O49" s="14" t="n">
        <v>81545</v>
      </c>
      <c r="P49" s="151">
        <f>O49-N49</f>
        <v/>
      </c>
      <c r="Q49" s="84" t="n"/>
      <c r="R49" s="42">
        <f>R48</f>
        <v/>
      </c>
      <c r="S49" s="24" t="inlineStr">
        <is>
          <t>NIGHT</t>
        </is>
      </c>
      <c r="T49" s="14">
        <f>U48</f>
        <v/>
      </c>
      <c r="U49" s="14" t="n">
        <v>4001</v>
      </c>
      <c r="V49" s="14">
        <f>U49-T49</f>
        <v/>
      </c>
      <c r="W49" s="3" t="n"/>
      <c r="X49" s="3" t="n"/>
      <c r="Y49" s="3" t="n"/>
      <c r="Z49" s="4" t="n"/>
      <c r="AA49" s="35" t="n"/>
      <c r="AB49" s="15" t="n"/>
      <c r="AC49" s="15" t="n"/>
      <c r="AD49" s="36" t="n"/>
      <c r="AE49" s="85">
        <f>AF48</f>
        <v/>
      </c>
      <c r="AF49" s="14" t="n">
        <v>63730</v>
      </c>
      <c r="AG49" s="151">
        <f>AF49-AE49</f>
        <v/>
      </c>
    </row>
    <row r="50">
      <c r="A50" s="42">
        <f>A48+1</f>
        <v/>
      </c>
      <c r="B50" s="24" t="inlineStr">
        <is>
          <t>DAY</t>
        </is>
      </c>
      <c r="C50" s="14">
        <f>D49</f>
        <v/>
      </c>
      <c r="D50" s="14" t="n">
        <v>5808</v>
      </c>
      <c r="E50" s="14">
        <f>D50-C50</f>
        <v/>
      </c>
      <c r="F50" s="3" t="n">
        <v>353</v>
      </c>
      <c r="G50" s="3" t="n">
        <v>5807</v>
      </c>
      <c r="H50" s="3">
        <f>G50-G42</f>
        <v/>
      </c>
      <c r="I50" s="34">
        <f>F50/H50</f>
        <v/>
      </c>
      <c r="J50" s="35" t="n"/>
      <c r="K50" s="15" t="n"/>
      <c r="L50" s="15" t="n"/>
      <c r="M50" s="36" t="n"/>
      <c r="N50" s="14">
        <f>O49</f>
        <v/>
      </c>
      <c r="O50" s="14" t="n">
        <v>81580</v>
      </c>
      <c r="P50" s="151">
        <f>O50-N50</f>
        <v/>
      </c>
      <c r="Q50" s="84" t="n"/>
      <c r="R50" s="42">
        <f>R48+1</f>
        <v/>
      </c>
      <c r="S50" s="24" t="inlineStr">
        <is>
          <t>DAY</t>
        </is>
      </c>
      <c r="T50" s="14">
        <f>U49</f>
        <v/>
      </c>
      <c r="U50" s="14" t="n">
        <v>4006</v>
      </c>
      <c r="V50" s="14">
        <f>U50-T50</f>
        <v/>
      </c>
      <c r="W50" s="3" t="n">
        <v>556</v>
      </c>
      <c r="X50" s="3" t="n">
        <v>4002</v>
      </c>
      <c r="Y50" s="3">
        <f>X50-X42</f>
        <v/>
      </c>
      <c r="Z50" s="4">
        <f>W50/Y50</f>
        <v/>
      </c>
      <c r="AA50" s="35" t="n"/>
      <c r="AB50" s="15" t="n"/>
      <c r="AC50" s="15" t="n"/>
      <c r="AD50" s="36" t="n"/>
      <c r="AE50" s="85">
        <f>AF49</f>
        <v/>
      </c>
      <c r="AF50" s="14" t="n">
        <v>63825</v>
      </c>
      <c r="AG50" s="151">
        <f>AF50-AE50</f>
        <v/>
      </c>
    </row>
    <row r="51">
      <c r="A51" s="42">
        <f>A50</f>
        <v/>
      </c>
      <c r="B51" s="24" t="inlineStr">
        <is>
          <t>NIGHT</t>
        </is>
      </c>
      <c r="C51" s="14">
        <f>D50</f>
        <v/>
      </c>
      <c r="D51" s="14" t="n">
        <v>5811</v>
      </c>
      <c r="E51" s="14">
        <f>D51-C51</f>
        <v/>
      </c>
      <c r="F51" s="3" t="n"/>
      <c r="G51" s="3" t="n"/>
      <c r="H51" s="3" t="n"/>
      <c r="I51" s="34" t="n"/>
      <c r="J51" s="35" t="n"/>
      <c r="K51" s="15" t="n"/>
      <c r="L51" s="15" t="n"/>
      <c r="M51" s="36" t="n"/>
      <c r="N51" s="14">
        <f>O50</f>
        <v/>
      </c>
      <c r="O51" s="14" t="n">
        <v>81618</v>
      </c>
      <c r="P51" s="151">
        <f>O51-N51</f>
        <v/>
      </c>
      <c r="Q51" s="84" t="n"/>
      <c r="R51" s="42">
        <f>R50</f>
        <v/>
      </c>
      <c r="S51" s="24" t="inlineStr">
        <is>
          <t>NIGHT</t>
        </is>
      </c>
      <c r="T51" s="14">
        <f>U50</f>
        <v/>
      </c>
      <c r="U51" s="14" t="n">
        <v>4010</v>
      </c>
      <c r="V51" s="14">
        <f>U51-T51</f>
        <v/>
      </c>
      <c r="W51" s="3" t="n"/>
      <c r="X51" s="3" t="n"/>
      <c r="Y51" s="3" t="n"/>
      <c r="Z51" s="4" t="n"/>
      <c r="AA51" s="35" t="n"/>
      <c r="AB51" s="15" t="n"/>
      <c r="AC51" s="15" t="n"/>
      <c r="AD51" s="36" t="n"/>
      <c r="AE51" s="85">
        <f>AF50</f>
        <v/>
      </c>
      <c r="AF51" s="14" t="n">
        <v>63905</v>
      </c>
      <c r="AG51" s="151">
        <f>AF51-AE51</f>
        <v/>
      </c>
    </row>
    <row r="52">
      <c r="A52" s="42">
        <f>A50+1</f>
        <v/>
      </c>
      <c r="B52" s="24" t="inlineStr">
        <is>
          <t>DAY</t>
        </is>
      </c>
      <c r="C52" s="14">
        <f>D51</f>
        <v/>
      </c>
      <c r="D52" s="14" t="n">
        <v>5814</v>
      </c>
      <c r="E52" s="14">
        <f>D52-C52</f>
        <v/>
      </c>
      <c r="F52" s="3" t="n"/>
      <c r="G52" s="3" t="n"/>
      <c r="H52" s="3" t="n"/>
      <c r="I52" s="34" t="n"/>
      <c r="J52" s="35" t="n"/>
      <c r="K52" s="15" t="n"/>
      <c r="L52" s="15" t="n"/>
      <c r="M52" s="36" t="n"/>
      <c r="N52" s="14">
        <f>O51</f>
        <v/>
      </c>
      <c r="O52" s="14" t="n">
        <v>81689</v>
      </c>
      <c r="P52" s="151">
        <f>O52-N52</f>
        <v/>
      </c>
      <c r="Q52" s="84" t="n"/>
      <c r="R52" s="42">
        <f>R50+1</f>
        <v/>
      </c>
      <c r="S52" s="24" t="inlineStr">
        <is>
          <t>DAY</t>
        </is>
      </c>
      <c r="T52" s="14">
        <f>U51</f>
        <v/>
      </c>
      <c r="U52" s="14" t="n">
        <v>4014</v>
      </c>
      <c r="V52" s="14">
        <f>U52-T52</f>
        <v/>
      </c>
      <c r="W52" s="3" t="n"/>
      <c r="X52" s="3" t="n"/>
      <c r="Y52" s="3" t="n"/>
      <c r="Z52" s="4" t="n"/>
      <c r="AA52" s="35" t="n"/>
      <c r="AB52" s="15" t="n"/>
      <c r="AC52" s="15" t="n"/>
      <c r="AD52" s="36" t="n"/>
      <c r="AE52" s="85">
        <f>AF51</f>
        <v/>
      </c>
      <c r="AF52" s="14" t="n">
        <v>63968</v>
      </c>
      <c r="AG52" s="151">
        <f>AF52-AE52</f>
        <v/>
      </c>
    </row>
    <row r="53">
      <c r="A53" s="42">
        <f>A52</f>
        <v/>
      </c>
      <c r="B53" s="24" t="inlineStr">
        <is>
          <t>NIGHT</t>
        </is>
      </c>
      <c r="C53" s="14">
        <f>D52</f>
        <v/>
      </c>
      <c r="D53" s="14" t="n">
        <v>5816</v>
      </c>
      <c r="E53" s="14">
        <f>D53-C53</f>
        <v/>
      </c>
      <c r="F53" s="3" t="n"/>
      <c r="G53" s="3" t="n"/>
      <c r="H53" s="3" t="n"/>
      <c r="I53" s="34" t="n"/>
      <c r="J53" s="35" t="n"/>
      <c r="K53" s="15" t="n"/>
      <c r="L53" s="15" t="n"/>
      <c r="M53" s="36" t="n"/>
      <c r="N53" s="14">
        <f>O52</f>
        <v/>
      </c>
      <c r="O53" s="14" t="n">
        <v>81728</v>
      </c>
      <c r="P53" s="151">
        <f>O53-N53</f>
        <v/>
      </c>
      <c r="Q53" s="84" t="n"/>
      <c r="R53" s="42">
        <f>R52</f>
        <v/>
      </c>
      <c r="S53" s="24" t="inlineStr">
        <is>
          <t>NIGHT</t>
        </is>
      </c>
      <c r="T53" s="14">
        <f>U52</f>
        <v/>
      </c>
      <c r="U53" s="14" t="n">
        <v>4020</v>
      </c>
      <c r="V53" s="14">
        <f>U53-T53</f>
        <v/>
      </c>
      <c r="W53" s="3" t="n"/>
      <c r="X53" s="3" t="n"/>
      <c r="Y53" s="3" t="n"/>
      <c r="Z53" s="4" t="n"/>
      <c r="AA53" s="35" t="n"/>
      <c r="AB53" s="15" t="n"/>
      <c r="AC53" s="15" t="n"/>
      <c r="AD53" s="36" t="n"/>
      <c r="AE53" s="85">
        <f>AF52</f>
        <v/>
      </c>
      <c r="AF53" s="14" t="n">
        <v>64086</v>
      </c>
      <c r="AG53" s="151">
        <f>AF53-AE53</f>
        <v/>
      </c>
    </row>
    <row r="54">
      <c r="A54" s="42">
        <f>A52+1</f>
        <v/>
      </c>
      <c r="B54" s="24" t="inlineStr">
        <is>
          <t>DAY</t>
        </is>
      </c>
      <c r="C54" s="14">
        <f>D53</f>
        <v/>
      </c>
      <c r="D54" s="14" t="n">
        <v>5825</v>
      </c>
      <c r="E54" s="14">
        <f>D54-C54</f>
        <v/>
      </c>
      <c r="F54" s="3" t="n"/>
      <c r="G54" s="3" t="n"/>
      <c r="H54" s="3" t="n"/>
      <c r="I54" s="34" t="n"/>
      <c r="J54" s="35" t="n"/>
      <c r="K54" s="15" t="n"/>
      <c r="L54" s="15" t="n"/>
      <c r="M54" s="36" t="n"/>
      <c r="N54" s="14">
        <f>O53</f>
        <v/>
      </c>
      <c r="O54" s="86" t="n">
        <v>81846</v>
      </c>
      <c r="P54" s="151">
        <f>O54-N54</f>
        <v/>
      </c>
      <c r="Q54" s="84" t="n"/>
      <c r="R54" s="42">
        <f>R52+1</f>
        <v/>
      </c>
      <c r="S54" s="24" t="inlineStr">
        <is>
          <t>DAY</t>
        </is>
      </c>
      <c r="T54" s="14">
        <f>U53</f>
        <v/>
      </c>
      <c r="U54" s="14" t="n">
        <v>4027</v>
      </c>
      <c r="V54" s="14">
        <f>U54-T54</f>
        <v/>
      </c>
      <c r="W54" s="3" t="n"/>
      <c r="X54" s="3" t="n"/>
      <c r="Y54" s="3" t="n"/>
      <c r="Z54" s="4" t="n"/>
      <c r="AA54" s="35" t="n"/>
      <c r="AB54" s="15" t="n"/>
      <c r="AC54" s="15" t="n"/>
      <c r="AD54" s="36" t="n"/>
      <c r="AE54" s="85">
        <f>AF53</f>
        <v/>
      </c>
      <c r="AF54" s="14" t="n">
        <v>64222</v>
      </c>
      <c r="AG54" s="151">
        <f>AF54-AE54</f>
        <v/>
      </c>
    </row>
    <row r="55">
      <c r="A55" s="42">
        <f>A54</f>
        <v/>
      </c>
      <c r="B55" s="24" t="inlineStr">
        <is>
          <t>NIGHT</t>
        </is>
      </c>
      <c r="C55" s="14">
        <f>D54</f>
        <v/>
      </c>
      <c r="D55" s="14" t="n">
        <v>5834</v>
      </c>
      <c r="E55" s="14">
        <f>D55-C55</f>
        <v/>
      </c>
      <c r="F55" s="3" t="n"/>
      <c r="G55" s="3" t="n"/>
      <c r="H55" s="3" t="n"/>
      <c r="I55" s="34" t="n"/>
      <c r="J55" s="35" t="n"/>
      <c r="K55" s="15" t="n"/>
      <c r="L55" s="15" t="n"/>
      <c r="M55" s="36" t="n"/>
      <c r="N55" s="14">
        <f>O54</f>
        <v/>
      </c>
      <c r="O55" s="14" t="n">
        <v>82004</v>
      </c>
      <c r="P55" s="151">
        <f>O55-N55</f>
        <v/>
      </c>
      <c r="Q55" s="84" t="n"/>
      <c r="R55" s="42">
        <f>R54</f>
        <v/>
      </c>
      <c r="S55" s="24" t="inlineStr">
        <is>
          <t>NIGHT</t>
        </is>
      </c>
      <c r="T55" s="14">
        <f>U54</f>
        <v/>
      </c>
      <c r="U55" s="14" t="n">
        <v>4036</v>
      </c>
      <c r="V55" s="14">
        <f>U55-T55</f>
        <v/>
      </c>
      <c r="W55" s="3" t="n"/>
      <c r="X55" s="3" t="n"/>
      <c r="Y55" s="3" t="n"/>
      <c r="Z55" s="4" t="n"/>
      <c r="AA55" s="35" t="n"/>
      <c r="AB55" s="15" t="n"/>
      <c r="AC55" s="15" t="n"/>
      <c r="AD55" s="36" t="n"/>
      <c r="AE55" s="85">
        <f>AF54</f>
        <v/>
      </c>
      <c r="AF55" s="86" t="n">
        <v>64312</v>
      </c>
      <c r="AG55" s="151">
        <f>AF55-AE55</f>
        <v/>
      </c>
    </row>
    <row r="56">
      <c r="A56" s="42">
        <f>A54+1</f>
        <v/>
      </c>
      <c r="B56" s="24" t="inlineStr">
        <is>
          <t>DAY</t>
        </is>
      </c>
      <c r="C56" s="14">
        <f>D55</f>
        <v/>
      </c>
      <c r="D56" s="14" t="n">
        <v>5840</v>
      </c>
      <c r="E56" s="14">
        <f>D56-C56</f>
        <v/>
      </c>
      <c r="F56" s="3" t="n">
        <v>400</v>
      </c>
      <c r="G56" s="3" t="n">
        <v>5836</v>
      </c>
      <c r="H56" s="3">
        <f>G56-G50</f>
        <v/>
      </c>
      <c r="I56" s="34">
        <f>F56/H56</f>
        <v/>
      </c>
      <c r="J56" s="50" t="n"/>
      <c r="K56" s="14" t="n"/>
      <c r="L56" s="14" t="n"/>
      <c r="M56" s="151" t="n"/>
      <c r="N56" s="14">
        <f>O55</f>
        <v/>
      </c>
      <c r="O56" s="14" t="n">
        <v>82078</v>
      </c>
      <c r="P56" s="151">
        <f>O56-N56</f>
        <v/>
      </c>
      <c r="Q56" s="84" t="n"/>
      <c r="R56" s="42">
        <f>R54+1</f>
        <v/>
      </c>
      <c r="S56" s="24" t="inlineStr">
        <is>
          <t>DAY</t>
        </is>
      </c>
      <c r="T56" s="14">
        <f>U55</f>
        <v/>
      </c>
      <c r="U56" s="14" t="n">
        <v>4044</v>
      </c>
      <c r="V56" s="14">
        <f>U56-T56</f>
        <v/>
      </c>
      <c r="W56" s="3" t="n">
        <v>531</v>
      </c>
      <c r="X56" s="3" t="n">
        <v>4043</v>
      </c>
      <c r="Y56" s="3">
        <f>X56-X50</f>
        <v/>
      </c>
      <c r="Z56" s="4">
        <f>W56/Y56</f>
        <v/>
      </c>
      <c r="AA56" s="61" t="n"/>
      <c r="AB56" s="62" t="n"/>
      <c r="AC56" s="62" t="n"/>
      <c r="AD56" s="151" t="n"/>
      <c r="AE56" s="85">
        <f>AF55</f>
        <v/>
      </c>
      <c r="AF56" s="14" t="n">
        <v>64443</v>
      </c>
      <c r="AG56" s="151">
        <f>AF56-AE56</f>
        <v/>
      </c>
    </row>
    <row r="57">
      <c r="A57" s="42">
        <f>A56</f>
        <v/>
      </c>
      <c r="B57" s="24" t="inlineStr">
        <is>
          <t>NIGHT</t>
        </is>
      </c>
      <c r="C57" s="14">
        <f>D56</f>
        <v/>
      </c>
      <c r="D57" s="14" t="n">
        <v>5845</v>
      </c>
      <c r="E57" s="14">
        <f>D57-C57</f>
        <v/>
      </c>
      <c r="F57" s="3" t="n"/>
      <c r="G57" s="3" t="n"/>
      <c r="H57" s="3" t="n"/>
      <c r="I57" s="34" t="n"/>
      <c r="J57" s="50" t="n"/>
      <c r="K57" s="14" t="n"/>
      <c r="L57" s="14" t="n"/>
      <c r="M57" s="151" t="n"/>
      <c r="N57" s="14">
        <f>O56</f>
        <v/>
      </c>
      <c r="O57" s="14" t="n">
        <v>82134</v>
      </c>
      <c r="P57" s="151">
        <f>O57-N57</f>
        <v/>
      </c>
      <c r="Q57" s="84" t="n"/>
      <c r="R57" s="42">
        <f>R56</f>
        <v/>
      </c>
      <c r="S57" s="24" t="inlineStr">
        <is>
          <t>NIGHT</t>
        </is>
      </c>
      <c r="T57" s="14">
        <f>U56</f>
        <v/>
      </c>
      <c r="U57" s="14" t="n">
        <v>4047</v>
      </c>
      <c r="V57" s="14">
        <f>U57-T57</f>
        <v/>
      </c>
      <c r="W57" s="3" t="n"/>
      <c r="X57" s="3" t="n"/>
      <c r="Y57" s="3" t="n"/>
      <c r="Z57" s="4" t="n"/>
      <c r="AA57" s="50" t="n"/>
      <c r="AB57" s="14" t="n"/>
      <c r="AC57" s="14" t="n"/>
      <c r="AD57" s="151" t="n"/>
      <c r="AE57" s="85">
        <f>AF56</f>
        <v/>
      </c>
      <c r="AF57" s="14" t="n">
        <v>64485</v>
      </c>
      <c r="AG57" s="151">
        <f>AF57-AE57</f>
        <v/>
      </c>
    </row>
    <row r="58">
      <c r="A58" s="42">
        <f>A56+1</f>
        <v/>
      </c>
      <c r="B58" s="24" t="inlineStr">
        <is>
          <t>DAY</t>
        </is>
      </c>
      <c r="C58" s="14">
        <f>D57</f>
        <v/>
      </c>
      <c r="D58" s="14" t="n">
        <v>5855</v>
      </c>
      <c r="E58" s="14">
        <f>D58-C58</f>
        <v/>
      </c>
      <c r="F58" s="3" t="n"/>
      <c r="G58" s="3" t="n"/>
      <c r="H58" s="3" t="n"/>
      <c r="I58" s="34" t="n"/>
      <c r="J58" s="50" t="n"/>
      <c r="K58" s="14" t="n"/>
      <c r="L58" s="14" t="n"/>
      <c r="M58" s="151" t="n"/>
      <c r="N58" s="14">
        <f>O57</f>
        <v/>
      </c>
      <c r="O58" s="14" t="n">
        <v>82318</v>
      </c>
      <c r="P58" s="151">
        <f>O58-N58</f>
        <v/>
      </c>
      <c r="Q58" s="84" t="n"/>
      <c r="R58" s="42">
        <f>R56+1</f>
        <v/>
      </c>
      <c r="S58" s="24" t="inlineStr">
        <is>
          <t>DAY</t>
        </is>
      </c>
      <c r="T58" s="14">
        <f>U57</f>
        <v/>
      </c>
      <c r="U58" s="14" t="n">
        <v>4051</v>
      </c>
      <c r="V58" s="14">
        <f>U58-T58</f>
        <v/>
      </c>
      <c r="W58" s="3" t="n"/>
      <c r="X58" s="3" t="n"/>
      <c r="Y58" s="3" t="n"/>
      <c r="Z58" s="4" t="n"/>
      <c r="AA58" s="50" t="n"/>
      <c r="AB58" s="14" t="n"/>
      <c r="AC58" s="14" t="n"/>
      <c r="AD58" s="151" t="n"/>
      <c r="AE58" s="85">
        <f>AF57</f>
        <v/>
      </c>
      <c r="AF58" s="14" t="n">
        <v>64514</v>
      </c>
      <c r="AG58" s="151">
        <f>AF58-AE58</f>
        <v/>
      </c>
    </row>
    <row r="59">
      <c r="A59" s="42">
        <f>A58</f>
        <v/>
      </c>
      <c r="B59" s="24" t="inlineStr">
        <is>
          <t>NIGHT</t>
        </is>
      </c>
      <c r="C59" s="14">
        <f>D58</f>
        <v/>
      </c>
      <c r="D59" s="14" t="n">
        <v>5863</v>
      </c>
      <c r="E59" s="14">
        <f>D59-C59</f>
        <v/>
      </c>
      <c r="F59" s="3" t="n"/>
      <c r="G59" s="3" t="n"/>
      <c r="H59" s="3" t="n"/>
      <c r="I59" s="34" t="n"/>
      <c r="J59" s="50" t="n"/>
      <c r="K59" s="14" t="n"/>
      <c r="L59" s="14" t="n"/>
      <c r="M59" s="151" t="n"/>
      <c r="N59" s="14">
        <f>O58</f>
        <v/>
      </c>
      <c r="O59" s="14" t="n">
        <v>82422</v>
      </c>
      <c r="P59" s="151">
        <f>O59-N59</f>
        <v/>
      </c>
      <c r="Q59" s="84" t="n"/>
      <c r="R59" s="42">
        <f>R58</f>
        <v/>
      </c>
      <c r="S59" s="24" t="inlineStr">
        <is>
          <t>NIGHT</t>
        </is>
      </c>
      <c r="T59" s="14">
        <f>U58</f>
        <v/>
      </c>
      <c r="U59" s="14" t="n">
        <v>4057</v>
      </c>
      <c r="V59" s="14">
        <f>U59-T59</f>
        <v/>
      </c>
      <c r="W59" s="3" t="n"/>
      <c r="X59" s="3" t="n"/>
      <c r="Y59" s="3" t="n"/>
      <c r="Z59" s="4" t="n"/>
      <c r="AA59" s="50" t="n"/>
      <c r="AB59" s="14" t="n"/>
      <c r="AC59" s="14" t="n"/>
      <c r="AD59" s="151" t="n"/>
      <c r="AE59" s="85">
        <f>AF58</f>
        <v/>
      </c>
      <c r="AF59" s="14" t="n">
        <v>64583</v>
      </c>
      <c r="AG59" s="151">
        <f>AF59-AE59</f>
        <v/>
      </c>
    </row>
    <row r="60">
      <c r="A60" s="42">
        <f>A58+1</f>
        <v/>
      </c>
      <c r="B60" s="24" t="inlineStr">
        <is>
          <t>DAY</t>
        </is>
      </c>
      <c r="C60" s="14">
        <f>D59</f>
        <v/>
      </c>
      <c r="D60" s="88" t="n">
        <v>5871</v>
      </c>
      <c r="E60" s="88">
        <f>D60-C60</f>
        <v/>
      </c>
      <c r="F60" s="89" t="n">
        <v>250</v>
      </c>
      <c r="G60" s="89" t="n">
        <v>5868</v>
      </c>
      <c r="H60" s="89">
        <f>G60-G56</f>
        <v/>
      </c>
      <c r="I60" s="90">
        <f>F60/H60</f>
        <v/>
      </c>
      <c r="J60" s="91" t="n"/>
      <c r="K60" s="88" t="n"/>
      <c r="L60" s="88" t="n"/>
      <c r="M60" s="92" t="n"/>
      <c r="N60" s="14">
        <f>O59</f>
        <v/>
      </c>
      <c r="O60" s="88" t="n">
        <v>82551</v>
      </c>
      <c r="P60" s="151">
        <f>O60-N60</f>
        <v/>
      </c>
      <c r="Q60" s="84" t="n"/>
      <c r="R60" s="42">
        <f>R58+1</f>
        <v/>
      </c>
      <c r="S60" s="24" t="inlineStr">
        <is>
          <t>DAY</t>
        </is>
      </c>
      <c r="T60" s="14">
        <f>U59</f>
        <v/>
      </c>
      <c r="U60" s="88" t="n">
        <v>4060</v>
      </c>
      <c r="V60" s="88">
        <f>U60-T60</f>
        <v/>
      </c>
      <c r="W60" s="89" t="n"/>
      <c r="X60" s="89" t="n"/>
      <c r="Y60" s="89" t="n"/>
      <c r="Z60" s="90" t="n"/>
      <c r="AA60" s="91" t="n"/>
      <c r="AB60" s="88" t="n"/>
      <c r="AC60" s="88" t="n"/>
      <c r="AD60" s="92" t="n"/>
      <c r="AE60" s="85">
        <f>AF59</f>
        <v/>
      </c>
      <c r="AF60" s="14" t="n">
        <v>64607</v>
      </c>
      <c r="AG60" s="151">
        <f>AF60-AE60</f>
        <v/>
      </c>
    </row>
    <row r="61">
      <c r="A61" s="42">
        <f>A60</f>
        <v/>
      </c>
      <c r="B61" s="24" t="inlineStr">
        <is>
          <t>NIGHT</t>
        </is>
      </c>
      <c r="C61" s="14">
        <f>D60</f>
        <v/>
      </c>
      <c r="D61" s="88" t="n">
        <v>5878</v>
      </c>
      <c r="E61" s="88">
        <f>D61-C61</f>
        <v/>
      </c>
      <c r="F61" s="89" t="n"/>
      <c r="G61" s="89" t="n"/>
      <c r="H61" s="89" t="n"/>
      <c r="I61" s="90" t="n"/>
      <c r="J61" s="91" t="n"/>
      <c r="K61" s="88" t="n"/>
      <c r="L61" s="88" t="n"/>
      <c r="M61" s="92" t="n"/>
      <c r="N61" s="14">
        <f>O60</f>
        <v/>
      </c>
      <c r="O61" s="88" t="n">
        <v>82643</v>
      </c>
      <c r="P61" s="151">
        <f>O61-N61</f>
        <v/>
      </c>
      <c r="Q61" s="84" t="n"/>
      <c r="R61" s="42">
        <f>R60</f>
        <v/>
      </c>
      <c r="S61" s="24" t="inlineStr">
        <is>
          <t>NIGHT</t>
        </is>
      </c>
      <c r="T61" s="14">
        <f>U60</f>
        <v/>
      </c>
      <c r="U61" s="88" t="n">
        <v>4067</v>
      </c>
      <c r="V61" s="88">
        <f>U61-T61</f>
        <v/>
      </c>
      <c r="W61" s="89" t="n"/>
      <c r="X61" s="89" t="n"/>
      <c r="Y61" s="89" t="n"/>
      <c r="Z61" s="90" t="n"/>
      <c r="AA61" s="91" t="n"/>
      <c r="AB61" s="88" t="n"/>
      <c r="AC61" s="88" t="n"/>
      <c r="AD61" s="92" t="n"/>
      <c r="AE61" s="85">
        <f>AF60</f>
        <v/>
      </c>
      <c r="AF61" s="14" t="n">
        <v>64715</v>
      </c>
      <c r="AG61" s="151">
        <f>AF61-AE61</f>
        <v/>
      </c>
    </row>
    <row r="62">
      <c r="A62" s="42">
        <f>A60+1</f>
        <v/>
      </c>
      <c r="B62" s="24" t="inlineStr">
        <is>
          <t>DAY</t>
        </is>
      </c>
      <c r="C62" s="14">
        <f>D61</f>
        <v/>
      </c>
      <c r="D62" s="88" t="n">
        <v>5887</v>
      </c>
      <c r="E62" s="88">
        <f>D62-C62</f>
        <v/>
      </c>
      <c r="F62" s="89" t="n">
        <v>75</v>
      </c>
      <c r="G62" s="89" t="n">
        <v>5880</v>
      </c>
      <c r="H62" s="89">
        <f>G62-G60</f>
        <v/>
      </c>
      <c r="I62" s="90">
        <f>F62/H62</f>
        <v/>
      </c>
      <c r="J62" s="91" t="n"/>
      <c r="K62" s="88" t="n"/>
      <c r="L62" s="88" t="n"/>
      <c r="M62" s="92" t="n"/>
      <c r="N62" s="14">
        <f>O61</f>
        <v/>
      </c>
      <c r="O62" s="88" t="n">
        <v>82766</v>
      </c>
      <c r="P62" s="151">
        <f>O62-N62</f>
        <v/>
      </c>
      <c r="Q62" s="84" t="n"/>
      <c r="R62" s="42">
        <f>R60+1</f>
        <v/>
      </c>
      <c r="S62" s="24" t="inlineStr">
        <is>
          <t>DAY</t>
        </is>
      </c>
      <c r="T62" s="14">
        <f>U61</f>
        <v/>
      </c>
      <c r="U62" s="88" t="n">
        <v>4076</v>
      </c>
      <c r="V62" s="88">
        <f>U62-T62</f>
        <v/>
      </c>
      <c r="W62" s="89" t="n"/>
      <c r="X62" s="89" t="n"/>
      <c r="Y62" s="89" t="n"/>
      <c r="Z62" s="90" t="n"/>
      <c r="AA62" s="91" t="n"/>
      <c r="AB62" s="88" t="n"/>
      <c r="AC62" s="88" t="n"/>
      <c r="AD62" s="92" t="n"/>
      <c r="AE62" s="85">
        <f>AF61</f>
        <v/>
      </c>
      <c r="AF62" s="14" t="n">
        <v>64846</v>
      </c>
      <c r="AG62" s="151">
        <f>AF62-AE62</f>
        <v/>
      </c>
    </row>
    <row r="63" ht="15.75" customHeight="1" thickBot="1">
      <c r="A63" s="42">
        <f>A62</f>
        <v/>
      </c>
      <c r="B63" s="24" t="inlineStr">
        <is>
          <t>NIGHT</t>
        </is>
      </c>
      <c r="C63" s="14">
        <f>D62</f>
        <v/>
      </c>
      <c r="D63" s="88" t="n">
        <v>5891</v>
      </c>
      <c r="E63" s="88">
        <f>D63-C63</f>
        <v/>
      </c>
      <c r="F63" s="89" t="n"/>
      <c r="G63" s="89" t="n"/>
      <c r="H63" s="89" t="n"/>
      <c r="I63" s="90" t="n"/>
      <c r="J63" s="91" t="n"/>
      <c r="K63" s="88" t="n"/>
      <c r="L63" s="88" t="n"/>
      <c r="M63" s="92" t="n"/>
      <c r="N63" s="14">
        <f>O62</f>
        <v/>
      </c>
      <c r="O63" s="88" t="n">
        <v>82870</v>
      </c>
      <c r="P63" s="151">
        <f>O63-N63</f>
        <v/>
      </c>
      <c r="Q63" s="84" t="n"/>
      <c r="R63" s="42">
        <f>R62</f>
        <v/>
      </c>
      <c r="S63" s="24" t="inlineStr">
        <is>
          <t>NIGHT</t>
        </is>
      </c>
      <c r="T63" s="14">
        <f>U62</f>
        <v/>
      </c>
      <c r="U63" s="88" t="n">
        <v>4083</v>
      </c>
      <c r="V63" s="88">
        <f>U63-T63</f>
        <v/>
      </c>
      <c r="W63" s="89" t="n"/>
      <c r="X63" s="89" t="n"/>
      <c r="Y63" s="89" t="n"/>
      <c r="Z63" s="90" t="n"/>
      <c r="AA63" s="91" t="n"/>
      <c r="AB63" s="88" t="n"/>
      <c r="AC63" s="88" t="n"/>
      <c r="AD63" s="92" t="n"/>
      <c r="AE63" s="85">
        <f>AF62</f>
        <v/>
      </c>
      <c r="AF63" s="14" t="n">
        <v>64955</v>
      </c>
      <c r="AG63" s="151">
        <f>AF63-AE63</f>
        <v/>
      </c>
    </row>
    <row r="64">
      <c r="A64" s="153" t="inlineStr">
        <is>
          <t>TOTAL HMR</t>
        </is>
      </c>
      <c r="B64" s="154" t="n"/>
      <c r="C64" s="154" t="n"/>
      <c r="D64" s="155" t="n"/>
      <c r="E64" s="74">
        <f>SUBTOTAL(9,E4:E63)</f>
        <v/>
      </c>
      <c r="F64" s="74">
        <f>SUBTOTAL(9,F4:F63)</f>
        <v/>
      </c>
      <c r="G64" s="74" t="n"/>
      <c r="H64" s="74">
        <f>SUBTOTAL(9,H4:H63)</f>
        <v/>
      </c>
      <c r="I64" s="59">
        <f>F64/H64</f>
        <v/>
      </c>
      <c r="J64" s="56" t="n"/>
      <c r="K64" s="57" t="n"/>
      <c r="L64" s="83">
        <f>SUM(L4:L63)</f>
        <v/>
      </c>
      <c r="M64" s="58" t="n"/>
      <c r="N64" s="63" t="n"/>
      <c r="O64" s="60" t="n"/>
      <c r="P64" s="74">
        <f>SUBTOTAL(9,P4:P63)</f>
        <v/>
      </c>
      <c r="R64" s="153" t="inlineStr">
        <is>
          <t>TOTAL HMR</t>
        </is>
      </c>
      <c r="S64" s="154" t="n"/>
      <c r="T64" s="154" t="n"/>
      <c r="U64" s="155" t="n"/>
      <c r="V64" s="74">
        <f>SUBTOTAL(9,V4:V63)</f>
        <v/>
      </c>
      <c r="W64" s="74">
        <f>SUBTOTAL(9,W4:W63)</f>
        <v/>
      </c>
      <c r="X64" s="74" t="n"/>
      <c r="Y64" s="74">
        <f>SUBTOTAL(9,Y4:Y63)</f>
        <v/>
      </c>
      <c r="Z64" s="59">
        <f>W64/Y64</f>
        <v/>
      </c>
      <c r="AA64" s="56" t="n"/>
      <c r="AB64" s="57" t="n"/>
      <c r="AC64" s="78">
        <f>SUM(AC4:AC59)</f>
        <v/>
      </c>
      <c r="AD64" s="58" t="n"/>
      <c r="AE64" s="63" t="n"/>
      <c r="AF64" s="1" t="n"/>
      <c r="AG64" s="74">
        <f>SUBTOTAL(9,AG4:AG63)</f>
        <v/>
      </c>
    </row>
    <row r="65">
      <c r="A65" s="144" t="inlineStr">
        <is>
          <t>FIX HMR INVOICE NO….........................</t>
        </is>
      </c>
      <c r="B65" s="145" t="n"/>
      <c r="C65" s="145" t="n"/>
      <c r="D65" s="146" t="n"/>
      <c r="E65" s="73" t="n">
        <v>520</v>
      </c>
      <c r="F65" s="22" t="n"/>
      <c r="G65" s="22" t="n"/>
      <c r="H65" s="22" t="n"/>
      <c r="I65" s="23">
        <f>F64/E64</f>
        <v/>
      </c>
      <c r="J65" s="38" t="n"/>
      <c r="K65" s="23" t="n"/>
      <c r="L65" s="23" t="n"/>
      <c r="M65" s="39" t="n"/>
      <c r="N65" s="64" t="n"/>
      <c r="O65" s="23" t="n"/>
      <c r="P65" s="39" t="n"/>
      <c r="R65" s="144" t="inlineStr">
        <is>
          <t>FIX HMR INVOICE NO….........................</t>
        </is>
      </c>
      <c r="S65" s="145" t="n"/>
      <c r="T65" s="145" t="n"/>
      <c r="U65" s="146" t="n"/>
      <c r="V65" s="73" t="n">
        <v>520</v>
      </c>
      <c r="W65" s="22" t="n"/>
      <c r="X65" s="22" t="n"/>
      <c r="Y65" s="22" t="n"/>
      <c r="Z65" s="23">
        <f>W64/V64</f>
        <v/>
      </c>
      <c r="AA65" s="38" t="n"/>
      <c r="AB65" s="23" t="n"/>
      <c r="AC65" s="23" t="n"/>
      <c r="AD65" s="39" t="n"/>
      <c r="AE65" s="64" t="n"/>
      <c r="AF65" s="64" t="n"/>
      <c r="AG65" s="39" t="n"/>
    </row>
    <row r="66" ht="15.75" customHeight="1" thickBot="1">
      <c r="A66" s="141" t="inlineStr">
        <is>
          <t>EXTRA HMR INVOICE NO. …..................</t>
        </is>
      </c>
      <c r="B66" s="142" t="n"/>
      <c r="C66" s="142" t="n"/>
      <c r="D66" s="143" t="n"/>
      <c r="E66" s="27">
        <f>IF(E64-E65&lt;0,0,E64-E65)</f>
        <v/>
      </c>
      <c r="F66" s="27" t="n"/>
      <c r="G66" s="27" t="n"/>
      <c r="H66" s="27" t="n"/>
      <c r="I66" s="45" t="n"/>
      <c r="J66" s="141" t="n"/>
      <c r="K66" s="27" t="n"/>
      <c r="L66" s="27" t="n"/>
      <c r="M66" s="21" t="n"/>
      <c r="N66" s="65" t="n"/>
      <c r="O66" s="27" t="n"/>
      <c r="P66" s="21" t="n"/>
      <c r="R66" s="141" t="inlineStr">
        <is>
          <t>EXTRA HMR INVOICE NO. …..................</t>
        </is>
      </c>
      <c r="S66" s="142" t="n"/>
      <c r="T66" s="142" t="n"/>
      <c r="U66" s="143" t="n"/>
      <c r="V66" s="27">
        <f>IF(V64-V65&lt;0,0,V64-V65)</f>
        <v/>
      </c>
      <c r="W66" s="27" t="n"/>
      <c r="X66" s="27" t="n"/>
      <c r="Y66" s="27" t="n"/>
      <c r="Z66" s="27" t="n"/>
      <c r="AA66" s="141" t="n"/>
      <c r="AB66" s="27" t="n"/>
      <c r="AC66" s="27" t="n"/>
      <c r="AD66" s="21" t="n"/>
      <c r="AE66" s="65" t="n"/>
      <c r="AF66" s="65" t="n"/>
      <c r="AG66" s="21" t="n"/>
    </row>
    <row r="69">
      <c r="A69" t="inlineStr">
        <is>
          <t>Raise tax invoice with full hiring charges</t>
        </is>
      </c>
      <c r="R69" t="inlineStr">
        <is>
          <t>Raise tax invoice with full hiring charges</t>
        </is>
      </c>
    </row>
    <row r="70">
      <c r="A70" t="inlineStr">
        <is>
          <t>Poonam Goswami</t>
        </is>
      </c>
      <c r="R70" t="inlineStr">
        <is>
          <t>Poonam Goswami</t>
        </is>
      </c>
    </row>
    <row r="71">
      <c r="A71" s="106" t="n">
        <v>46209</v>
      </c>
      <c r="R71" s="106" t="n">
        <v>46209</v>
      </c>
    </row>
  </sheetData>
  <mergeCells count="8">
    <mergeCell ref="R66:U66"/>
    <mergeCell ref="R65:U65"/>
    <mergeCell ref="A1:M1"/>
    <mergeCell ref="A64:D64"/>
    <mergeCell ref="R64:U64"/>
    <mergeCell ref="A65:D65"/>
    <mergeCell ref="R1:AD1"/>
    <mergeCell ref="A66:D66"/>
  </mergeCells>
  <pageMargins left="0.22" right="0.7" top="0.39" bottom="0.75" header="0.3" footer="0.3"/>
  <pageSetup orientation="portrait" scale="29"/>
</worksheet>
</file>

<file path=xl/worksheets/sheet8.xml><?xml version="1.0" encoding="utf-8"?>
<worksheet xmlns="http://schemas.openxmlformats.org/spreadsheetml/2006/main">
  <sheetPr>
    <outlinePr summaryBelow="1" summaryRight="1"/>
    <pageSetUpPr/>
  </sheetPr>
  <dimension ref="A1:AG68"/>
  <sheetViews>
    <sheetView zoomScale="85" zoomScaleNormal="85" workbookViewId="0">
      <pane xSplit="2" ySplit="3" topLeftCell="H50" activePane="bottomRight" state="frozen"/>
      <selection pane="topRight" activeCell="C1" sqref="C1"/>
      <selection pane="bottomLeft" activeCell="A4" sqref="A4"/>
      <selection pane="bottomRight" activeCell="W72" sqref="W72"/>
    </sheetView>
  </sheetViews>
  <sheetFormatPr baseColWidth="8" defaultRowHeight="15"/>
  <sheetData>
    <row r="1" ht="24" customHeight="1" thickBot="1">
      <c r="A1" s="147" t="inlineStr">
        <is>
          <t>Ennore-SANY-2025 (RS-02)</t>
        </is>
      </c>
      <c r="B1" s="148" t="n"/>
      <c r="C1" s="148" t="n"/>
      <c r="D1" s="148" t="n"/>
      <c r="E1" s="148" t="n"/>
      <c r="F1" s="148" t="n"/>
      <c r="G1" s="148" t="n"/>
      <c r="H1" s="148" t="n"/>
      <c r="I1" s="148" t="n"/>
      <c r="J1" s="148" t="n"/>
      <c r="K1" s="148" t="n"/>
      <c r="L1" s="148" t="n"/>
      <c r="M1" s="148" t="n"/>
      <c r="N1" s="25" t="n"/>
      <c r="O1" s="25" t="n"/>
      <c r="P1" s="25" t="n"/>
      <c r="R1" s="147" t="inlineStr">
        <is>
          <t>Ennore-Hyster-2025 (RS-03)</t>
        </is>
      </c>
      <c r="S1" s="148" t="n"/>
      <c r="T1" s="148" t="n"/>
      <c r="U1" s="148" t="n"/>
      <c r="V1" s="148" t="n"/>
      <c r="W1" s="148" t="n"/>
      <c r="X1" s="148" t="n"/>
      <c r="Y1" s="148" t="n"/>
      <c r="Z1" s="148" t="n"/>
      <c r="AA1" s="148" t="n"/>
      <c r="AB1" s="148" t="n"/>
      <c r="AC1" s="148" t="n"/>
      <c r="AD1" s="148" t="n"/>
    </row>
    <row r="2" ht="63.75" customHeight="1" thickBot="1">
      <c r="A2" s="28" t="inlineStr">
        <is>
          <t>DATE</t>
        </is>
      </c>
      <c r="B2" s="40" t="inlineStr">
        <is>
          <t>SHIFT</t>
        </is>
      </c>
      <c r="C2" s="29" t="inlineStr">
        <is>
          <t>START HMR</t>
        </is>
      </c>
      <c r="D2" s="29" t="inlineStr">
        <is>
          <t>END HMR</t>
        </is>
      </c>
      <c r="E2" s="29" t="inlineStr">
        <is>
          <t>WORKING HMR</t>
        </is>
      </c>
      <c r="F2" s="29" t="inlineStr">
        <is>
          <t>DIESEL RECEIVED</t>
        </is>
      </c>
      <c r="G2" s="29" t="inlineStr">
        <is>
          <t>HMR</t>
        </is>
      </c>
      <c r="H2" s="29" t="inlineStr">
        <is>
          <t>Diesel filling Hours</t>
        </is>
      </c>
      <c r="I2" s="30" t="inlineStr">
        <is>
          <t>Average</t>
        </is>
      </c>
      <c r="J2" s="28" t="inlineStr">
        <is>
          <t>B/D Start Time</t>
        </is>
      </c>
      <c r="K2" s="29" t="inlineStr">
        <is>
          <t>B/D End Time</t>
        </is>
      </c>
      <c r="L2" s="29" t="inlineStr">
        <is>
          <t>Total B/D Hours</t>
        </is>
      </c>
      <c r="M2" s="30" t="inlineStr">
        <is>
          <t>B/D Reason</t>
        </is>
      </c>
      <c r="N2" s="46" t="inlineStr">
        <is>
          <t>Start Conatiner</t>
        </is>
      </c>
      <c r="O2" s="47" t="inlineStr">
        <is>
          <t>End Conatiner</t>
        </is>
      </c>
      <c r="P2" s="48" t="inlineStr">
        <is>
          <t>Per Day Container Count</t>
        </is>
      </c>
      <c r="R2" s="28" t="inlineStr">
        <is>
          <t>DATE</t>
        </is>
      </c>
      <c r="S2" s="40" t="inlineStr">
        <is>
          <t>SHIFT</t>
        </is>
      </c>
      <c r="T2" s="29" t="inlineStr">
        <is>
          <t>START HMR</t>
        </is>
      </c>
      <c r="U2" s="29" t="inlineStr">
        <is>
          <t>END HMR</t>
        </is>
      </c>
      <c r="V2" s="29" t="inlineStr">
        <is>
          <t>WORKING HMR</t>
        </is>
      </c>
      <c r="W2" s="29" t="inlineStr">
        <is>
          <t>DIESEL RECEIVED</t>
        </is>
      </c>
      <c r="X2" s="29" t="inlineStr">
        <is>
          <t>HMR</t>
        </is>
      </c>
      <c r="Y2" s="29" t="inlineStr">
        <is>
          <t>Diesel filling Hours</t>
        </is>
      </c>
      <c r="Z2" s="29" t="inlineStr">
        <is>
          <t>Average</t>
        </is>
      </c>
      <c r="AA2" s="28" t="inlineStr">
        <is>
          <t>B/D Start Time</t>
        </is>
      </c>
      <c r="AB2" s="29" t="inlineStr">
        <is>
          <t>B/D End Time</t>
        </is>
      </c>
      <c r="AC2" s="29" t="inlineStr">
        <is>
          <t>Total B/D Hours</t>
        </is>
      </c>
      <c r="AD2" s="30" t="inlineStr">
        <is>
          <t>B/D Reason</t>
        </is>
      </c>
      <c r="AE2" s="46" t="inlineStr">
        <is>
          <t>Start Conatiner</t>
        </is>
      </c>
      <c r="AF2" s="47" t="inlineStr">
        <is>
          <t>End Conatiner</t>
        </is>
      </c>
      <c r="AG2" s="48" t="inlineStr">
        <is>
          <t>Per Day Container Count</t>
        </is>
      </c>
    </row>
    <row r="3" ht="15.75" customHeight="1">
      <c r="A3" s="17" t="inlineStr">
        <is>
          <t>Prev</t>
        </is>
      </c>
      <c r="B3" s="8" t="n"/>
      <c r="C3" s="2" t="n"/>
      <c r="D3" s="2" t="n"/>
      <c r="E3" s="2" t="n"/>
      <c r="F3" s="6" t="n"/>
      <c r="G3" s="6" t="n">
        <v>5880</v>
      </c>
      <c r="H3" s="6" t="n"/>
      <c r="I3" s="18" t="n"/>
      <c r="J3" s="31" t="n"/>
      <c r="K3" s="6" t="n"/>
      <c r="L3" s="6" t="n"/>
      <c r="M3" s="18" t="n"/>
      <c r="N3" s="31" t="n"/>
      <c r="O3" s="6" t="n"/>
      <c r="P3" s="18" t="n"/>
      <c r="Q3" s="13" t="n"/>
      <c r="R3" s="17" t="inlineStr">
        <is>
          <t>Prev</t>
        </is>
      </c>
      <c r="S3" s="8" t="n"/>
      <c r="T3" s="2" t="n"/>
      <c r="U3" s="2" t="n"/>
      <c r="V3" s="2" t="n"/>
      <c r="W3" s="6" t="n"/>
      <c r="X3" s="6" t="n">
        <v>4043</v>
      </c>
      <c r="Y3" s="6" t="n"/>
      <c r="Z3" s="6" t="n"/>
      <c r="AA3" s="31" t="n"/>
      <c r="AB3" s="6" t="n"/>
      <c r="AC3" s="6" t="n"/>
      <c r="AD3" s="18" t="n"/>
      <c r="AE3" s="31" t="n"/>
      <c r="AF3" s="6" t="n"/>
      <c r="AG3" s="18" t="n"/>
    </row>
    <row r="4">
      <c r="A4" s="42" t="n">
        <v>46204</v>
      </c>
      <c r="B4" s="24" t="inlineStr">
        <is>
          <t>DAY</t>
        </is>
      </c>
      <c r="C4" s="88" t="n">
        <v>5891</v>
      </c>
      <c r="D4" s="14" t="n">
        <v>5894</v>
      </c>
      <c r="E4" s="14">
        <f>D4-C4</f>
        <v/>
      </c>
      <c r="F4" s="3" t="n">
        <v>340</v>
      </c>
      <c r="G4" s="3" t="n">
        <v>5892</v>
      </c>
      <c r="H4" s="3">
        <f>G4-G3</f>
        <v/>
      </c>
      <c r="I4" s="34">
        <f>F4/H4</f>
        <v/>
      </c>
      <c r="J4" s="32" t="n"/>
      <c r="K4" s="3" t="n"/>
      <c r="L4" s="3" t="n"/>
      <c r="M4" s="19" t="n"/>
      <c r="N4" s="88" t="n">
        <v>82870</v>
      </c>
      <c r="O4" s="14" t="n">
        <v>82898</v>
      </c>
      <c r="P4" s="151">
        <f>O4-N4</f>
        <v/>
      </c>
      <c r="Q4" s="84" t="n"/>
      <c r="R4" s="42" t="n">
        <v>46204</v>
      </c>
      <c r="S4" s="24" t="inlineStr">
        <is>
          <t>DAY</t>
        </is>
      </c>
      <c r="T4" s="88" t="n">
        <v>4083</v>
      </c>
      <c r="U4" s="14" t="n">
        <v>4092</v>
      </c>
      <c r="V4" s="14">
        <f>U4-T4</f>
        <v/>
      </c>
      <c r="W4" s="3" t="n">
        <v>750</v>
      </c>
      <c r="X4" s="3" t="n">
        <v>4085</v>
      </c>
      <c r="Y4" s="3">
        <f>X4-X3</f>
        <v/>
      </c>
      <c r="Z4" s="4">
        <f>W4/Y4</f>
        <v/>
      </c>
      <c r="AA4" s="32" t="n"/>
      <c r="AB4" s="3" t="n"/>
      <c r="AC4" s="3" t="n"/>
      <c r="AD4" s="19" t="n"/>
      <c r="AE4" s="14" t="n">
        <v>64955</v>
      </c>
      <c r="AF4" s="14" t="n">
        <v>65104</v>
      </c>
      <c r="AG4" s="151">
        <f>AF4-AE4</f>
        <v/>
      </c>
    </row>
    <row r="5">
      <c r="A5" s="42">
        <f>A4</f>
        <v/>
      </c>
      <c r="B5" s="24" t="inlineStr">
        <is>
          <t>NIGHT</t>
        </is>
      </c>
      <c r="C5" s="14">
        <f>D4</f>
        <v/>
      </c>
      <c r="D5" s="14" t="n">
        <v>5895</v>
      </c>
      <c r="E5" s="14">
        <f>D5-C5</f>
        <v/>
      </c>
      <c r="F5" s="3" t="n"/>
      <c r="G5" s="3" t="n"/>
      <c r="H5" s="3" t="n"/>
      <c r="I5" s="34" t="n"/>
      <c r="J5" s="32" t="n"/>
      <c r="K5" s="3" t="n"/>
      <c r="L5" s="3" t="n"/>
      <c r="M5" s="19" t="n"/>
      <c r="N5" s="14">
        <f>O4</f>
        <v/>
      </c>
      <c r="O5" s="14" t="n">
        <v>82898</v>
      </c>
      <c r="P5" s="151">
        <f>O5-N5</f>
        <v/>
      </c>
      <c r="Q5" s="84" t="n"/>
      <c r="R5" s="42">
        <f>R4</f>
        <v/>
      </c>
      <c r="S5" s="24" t="inlineStr">
        <is>
          <t>NIGHT</t>
        </is>
      </c>
      <c r="T5" s="14">
        <f>U4</f>
        <v/>
      </c>
      <c r="U5" s="14" t="n">
        <v>4093</v>
      </c>
      <c r="V5" s="14">
        <f>U5-T5</f>
        <v/>
      </c>
      <c r="W5" s="3" t="n"/>
      <c r="X5" s="3" t="n"/>
      <c r="Y5" s="3" t="n"/>
      <c r="Z5" s="4" t="n"/>
      <c r="AA5" s="32" t="n"/>
      <c r="AB5" s="3" t="n"/>
      <c r="AC5" s="3" t="n"/>
      <c r="AD5" s="19" t="n"/>
      <c r="AE5" s="85">
        <f>AF4</f>
        <v/>
      </c>
      <c r="AF5" s="14" t="n">
        <v>65114</v>
      </c>
      <c r="AG5" s="151">
        <f>AF5-AE5</f>
        <v/>
      </c>
    </row>
    <row r="6">
      <c r="A6" s="42">
        <f>A4+1</f>
        <v/>
      </c>
      <c r="B6" s="24" t="inlineStr">
        <is>
          <t>DAY</t>
        </is>
      </c>
      <c r="C6" s="14">
        <f>D5</f>
        <v/>
      </c>
      <c r="D6" s="14" t="n">
        <v>5898</v>
      </c>
      <c r="E6" s="14">
        <f>D6-C6</f>
        <v/>
      </c>
      <c r="F6" s="3" t="n"/>
      <c r="G6" s="3" t="n"/>
      <c r="H6" s="3" t="n"/>
      <c r="I6" s="34" t="n"/>
      <c r="J6" s="33" t="n"/>
      <c r="K6" s="4" t="n"/>
      <c r="L6" s="4" t="n"/>
      <c r="M6" s="34" t="n"/>
      <c r="N6" s="14">
        <f>O5</f>
        <v/>
      </c>
      <c r="O6" s="14" t="n">
        <v>82962</v>
      </c>
      <c r="P6" s="151">
        <f>O6-N6</f>
        <v/>
      </c>
      <c r="Q6" s="84" t="n"/>
      <c r="R6" s="42">
        <f>R4+1</f>
        <v/>
      </c>
      <c r="S6" s="24" t="inlineStr">
        <is>
          <t>DAY</t>
        </is>
      </c>
      <c r="T6" s="14">
        <f>U5</f>
        <v/>
      </c>
      <c r="U6" s="14" t="n">
        <v>4099</v>
      </c>
      <c r="V6" s="14">
        <f>U6-T6</f>
        <v/>
      </c>
      <c r="W6" s="3" t="n"/>
      <c r="X6" s="3" t="n"/>
      <c r="Y6" s="3" t="n"/>
      <c r="Z6" s="4" t="n"/>
      <c r="AA6" s="33" t="n"/>
      <c r="AB6" s="4" t="n"/>
      <c r="AC6" s="4" t="n"/>
      <c r="AD6" s="34" t="n"/>
      <c r="AE6" s="85">
        <f>AF5</f>
        <v/>
      </c>
      <c r="AF6" s="14" t="n">
        <v>65227</v>
      </c>
      <c r="AG6" s="151">
        <f>AF6-AE6</f>
        <v/>
      </c>
    </row>
    <row r="7">
      <c r="A7" s="42">
        <f>A6</f>
        <v/>
      </c>
      <c r="B7" s="24" t="inlineStr">
        <is>
          <t>NIGHT</t>
        </is>
      </c>
      <c r="C7" s="14">
        <f>D6</f>
        <v/>
      </c>
      <c r="D7" s="14" t="n">
        <v>5900</v>
      </c>
      <c r="E7" s="14">
        <f>D7-C7</f>
        <v/>
      </c>
      <c r="F7" s="3" t="n"/>
      <c r="G7" s="3" t="n"/>
      <c r="H7" s="3" t="n"/>
      <c r="I7" s="34" t="n"/>
      <c r="J7" s="33" t="n"/>
      <c r="K7" s="4" t="n"/>
      <c r="L7" s="4" t="n"/>
      <c r="M7" s="34" t="n"/>
      <c r="N7" s="14">
        <f>O6</f>
        <v/>
      </c>
      <c r="O7" s="14" t="n">
        <v>82986</v>
      </c>
      <c r="P7" s="151">
        <f>O7-N7</f>
        <v/>
      </c>
      <c r="Q7" s="84" t="n"/>
      <c r="R7" s="42">
        <f>R6</f>
        <v/>
      </c>
      <c r="S7" s="24" t="inlineStr">
        <is>
          <t>NIGHT</t>
        </is>
      </c>
      <c r="T7" s="14">
        <f>U6</f>
        <v/>
      </c>
      <c r="U7" s="14" t="n">
        <v>4106</v>
      </c>
      <c r="V7" s="14">
        <f>U7-T7</f>
        <v/>
      </c>
      <c r="W7" s="3" t="n"/>
      <c r="X7" s="3" t="n"/>
      <c r="Y7" s="3" t="n"/>
      <c r="Z7" s="4" t="n"/>
      <c r="AA7" s="33" t="n"/>
      <c r="AB7" s="4" t="n"/>
      <c r="AC7" s="4" t="n"/>
      <c r="AD7" s="34" t="n"/>
      <c r="AE7" s="85">
        <f>AF6</f>
        <v/>
      </c>
      <c r="AF7" s="14" t="n">
        <v>65327</v>
      </c>
      <c r="AG7" s="151">
        <f>AF7-AE7</f>
        <v/>
      </c>
    </row>
    <row r="8">
      <c r="A8" s="42">
        <f>A6+1</f>
        <v/>
      </c>
      <c r="B8" s="24" t="inlineStr">
        <is>
          <t>DAY</t>
        </is>
      </c>
      <c r="C8" s="14">
        <f>D7</f>
        <v/>
      </c>
      <c r="D8" s="14" t="n">
        <v>5911</v>
      </c>
      <c r="E8" s="14">
        <f>D8-C8</f>
        <v/>
      </c>
      <c r="F8" s="3" t="n"/>
      <c r="G8" s="3" t="n"/>
      <c r="H8" s="3" t="n"/>
      <c r="I8" s="34" t="n"/>
      <c r="J8" s="35" t="n"/>
      <c r="K8" s="15" t="n"/>
      <c r="L8" s="15" t="n"/>
      <c r="M8" s="36" t="n"/>
      <c r="N8" s="14">
        <f>O7</f>
        <v/>
      </c>
      <c r="O8" s="14" t="n">
        <v>83195</v>
      </c>
      <c r="P8" s="151">
        <f>O8-N8</f>
        <v/>
      </c>
      <c r="Q8" s="84" t="n"/>
      <c r="R8" s="42">
        <f>R6+1</f>
        <v/>
      </c>
      <c r="S8" s="24" t="inlineStr">
        <is>
          <t>DAY</t>
        </is>
      </c>
      <c r="T8" s="14">
        <f>U7</f>
        <v/>
      </c>
      <c r="U8" s="14" t="n">
        <v>4115</v>
      </c>
      <c r="V8" s="14">
        <f>U8-T8</f>
        <v/>
      </c>
      <c r="W8" s="3" t="n"/>
      <c r="X8" s="3" t="n"/>
      <c r="Y8" s="3" t="n"/>
      <c r="Z8" s="4" t="n"/>
      <c r="AA8" s="35" t="n"/>
      <c r="AB8" s="15" t="n"/>
      <c r="AC8" s="15" t="n"/>
      <c r="AD8" s="36" t="n"/>
      <c r="AE8" s="85">
        <f>AF7</f>
        <v/>
      </c>
      <c r="AF8" s="85" t="n">
        <v>65473</v>
      </c>
      <c r="AG8" s="151">
        <f>AF8-AE8</f>
        <v/>
      </c>
    </row>
    <row r="9">
      <c r="A9" s="42">
        <f>A8</f>
        <v/>
      </c>
      <c r="B9" s="24" t="inlineStr">
        <is>
          <t>NIGHT</t>
        </is>
      </c>
      <c r="C9" s="14">
        <f>D8</f>
        <v/>
      </c>
      <c r="D9" s="14" t="n">
        <v>5920</v>
      </c>
      <c r="E9" s="14">
        <f>D9-C9</f>
        <v/>
      </c>
      <c r="F9" s="3" t="n"/>
      <c r="G9" s="3" t="n"/>
      <c r="H9" s="3" t="n"/>
      <c r="I9" s="34" t="n"/>
      <c r="J9" s="33" t="n"/>
      <c r="K9" s="4" t="n"/>
      <c r="L9" s="4" t="n"/>
      <c r="M9" s="34" t="n"/>
      <c r="N9" s="14">
        <f>O8</f>
        <v/>
      </c>
      <c r="O9" s="14" t="n">
        <v>83254</v>
      </c>
      <c r="P9" s="151">
        <f>O9-N9</f>
        <v/>
      </c>
      <c r="Q9" s="84" t="n"/>
      <c r="R9" s="42">
        <f>R8</f>
        <v/>
      </c>
      <c r="S9" s="24" t="inlineStr">
        <is>
          <t>NIGHT</t>
        </is>
      </c>
      <c r="T9" s="14">
        <f>U8</f>
        <v/>
      </c>
      <c r="U9" s="14" t="n">
        <v>4121</v>
      </c>
      <c r="V9" s="14">
        <f>U9-T9</f>
        <v/>
      </c>
      <c r="W9" s="3" t="n"/>
      <c r="X9" s="3" t="n"/>
      <c r="Y9" s="3" t="n"/>
      <c r="Z9" s="4" t="n"/>
      <c r="AA9" s="33" t="n"/>
      <c r="AB9" s="4" t="n"/>
      <c r="AC9" s="4" t="n"/>
      <c r="AD9" s="34" t="n"/>
      <c r="AE9" s="85">
        <f>AF8</f>
        <v/>
      </c>
      <c r="AF9" s="85" t="n">
        <v>65580</v>
      </c>
      <c r="AG9" s="151">
        <f>AF9-AE9</f>
        <v/>
      </c>
    </row>
    <row r="10">
      <c r="A10" s="42">
        <f>A8+1</f>
        <v/>
      </c>
      <c r="B10" s="24" t="inlineStr">
        <is>
          <t>DAY</t>
        </is>
      </c>
      <c r="C10" s="14">
        <f>D9</f>
        <v/>
      </c>
      <c r="D10" s="14" t="n">
        <v>5929</v>
      </c>
      <c r="E10" s="14">
        <f>D10-C10</f>
        <v/>
      </c>
      <c r="F10" s="3" t="n"/>
      <c r="G10" s="3" t="n"/>
      <c r="H10" s="3" t="n"/>
      <c r="I10" s="34" t="n"/>
      <c r="J10" s="32" t="n"/>
      <c r="K10" s="3" t="n"/>
      <c r="L10" s="3" t="n"/>
      <c r="M10" s="19" t="n"/>
      <c r="N10" s="14">
        <f>O9</f>
        <v/>
      </c>
      <c r="O10" s="14" t="n">
        <v>83372</v>
      </c>
      <c r="P10" s="151">
        <f>O10-N10</f>
        <v/>
      </c>
      <c r="Q10" s="84" t="n"/>
      <c r="R10" s="42">
        <f>R8+1</f>
        <v/>
      </c>
      <c r="S10" s="24" t="inlineStr">
        <is>
          <t>DAY</t>
        </is>
      </c>
      <c r="T10" s="14">
        <f>U9</f>
        <v/>
      </c>
      <c r="U10" s="14" t="n">
        <v>4129</v>
      </c>
      <c r="V10" s="14">
        <f>U10-T10</f>
        <v/>
      </c>
      <c r="W10" s="3" t="n">
        <v>618</v>
      </c>
      <c r="X10" s="3" t="n">
        <v>4136</v>
      </c>
      <c r="Y10" s="3">
        <f>X10-X4</f>
        <v/>
      </c>
      <c r="Z10" s="4">
        <f>W10/Y10</f>
        <v/>
      </c>
      <c r="AA10" s="32" t="n"/>
      <c r="AB10" s="3" t="n"/>
      <c r="AC10" s="3" t="n"/>
      <c r="AD10" s="19" t="n"/>
      <c r="AE10" s="85">
        <f>AF9</f>
        <v/>
      </c>
      <c r="AF10" s="85" t="n">
        <v>65706</v>
      </c>
      <c r="AG10" s="151">
        <f>AF10-AE10</f>
        <v/>
      </c>
    </row>
    <row r="11">
      <c r="A11" s="42">
        <f>A10</f>
        <v/>
      </c>
      <c r="B11" s="24" t="inlineStr">
        <is>
          <t>NIGHT</t>
        </is>
      </c>
      <c r="C11" s="14">
        <f>D10</f>
        <v/>
      </c>
      <c r="D11" s="14" t="n">
        <v>5936</v>
      </c>
      <c r="E11" s="14">
        <f>D11-C11</f>
        <v/>
      </c>
      <c r="F11" s="3" t="n">
        <v>300</v>
      </c>
      <c r="G11" s="3" t="n">
        <v>5935</v>
      </c>
      <c r="H11" s="3">
        <f>G11-G4</f>
        <v/>
      </c>
      <c r="I11" s="34">
        <f>F11/H11</f>
        <v/>
      </c>
      <c r="J11" s="32" t="n"/>
      <c r="K11" s="3" t="n"/>
      <c r="L11" s="3" t="n"/>
      <c r="M11" s="19" t="n"/>
      <c r="N11" s="14">
        <f>O10</f>
        <v/>
      </c>
      <c r="O11" s="14" t="n">
        <v>83501</v>
      </c>
      <c r="P11" s="151">
        <f>O11-N11</f>
        <v/>
      </c>
      <c r="Q11" s="84" t="n"/>
      <c r="R11" s="42">
        <f>R10</f>
        <v/>
      </c>
      <c r="S11" s="24" t="inlineStr">
        <is>
          <t>NIGHT</t>
        </is>
      </c>
      <c r="T11" s="14">
        <f>U10</f>
        <v/>
      </c>
      <c r="U11" s="14" t="n">
        <v>4137</v>
      </c>
      <c r="V11" s="14">
        <f>U11-T11</f>
        <v/>
      </c>
      <c r="W11" s="3" t="n"/>
      <c r="X11" s="3" t="n"/>
      <c r="Y11" s="3" t="n"/>
      <c r="Z11" s="4" t="n"/>
      <c r="AA11" s="32" t="n"/>
      <c r="AB11" s="3" t="n"/>
      <c r="AC11" s="3" t="n"/>
      <c r="AD11" s="19" t="n"/>
      <c r="AE11" s="85">
        <f>AF10</f>
        <v/>
      </c>
      <c r="AF11" s="85" t="n">
        <v>65770</v>
      </c>
      <c r="AG11" s="151">
        <f>AF11-AE11</f>
        <v/>
      </c>
    </row>
    <row r="12">
      <c r="A12" s="42">
        <f>A10+1</f>
        <v/>
      </c>
      <c r="B12" s="24" t="inlineStr">
        <is>
          <t>DAY</t>
        </is>
      </c>
      <c r="C12" s="14">
        <f>D11</f>
        <v/>
      </c>
      <c r="D12" s="14" t="n">
        <v>5946</v>
      </c>
      <c r="E12" s="14">
        <f>D12-C12</f>
        <v/>
      </c>
      <c r="F12" s="3" t="n"/>
      <c r="G12" s="3" t="n"/>
      <c r="H12" s="3" t="n"/>
      <c r="I12" s="34" t="n"/>
      <c r="J12" s="32" t="n"/>
      <c r="K12" s="3" t="n"/>
      <c r="L12" s="3" t="n"/>
      <c r="M12" s="19" t="n"/>
      <c r="N12" s="14">
        <f>O11</f>
        <v/>
      </c>
      <c r="O12" s="14" t="n">
        <v>83642</v>
      </c>
      <c r="P12" s="151">
        <f>O12-N12</f>
        <v/>
      </c>
      <c r="Q12" s="84" t="n"/>
      <c r="R12" s="42">
        <f>R10+1</f>
        <v/>
      </c>
      <c r="S12" s="24" t="inlineStr">
        <is>
          <t>DAY</t>
        </is>
      </c>
      <c r="T12" s="14">
        <f>U11</f>
        <v/>
      </c>
      <c r="U12" s="14" t="n">
        <v>4144</v>
      </c>
      <c r="V12" s="14">
        <f>U12-T12</f>
        <v/>
      </c>
      <c r="W12" s="3" t="n"/>
      <c r="X12" s="3" t="n"/>
      <c r="Y12" s="3" t="n"/>
      <c r="Z12" s="4" t="n"/>
      <c r="AA12" s="32" t="n"/>
      <c r="AB12" s="3" t="n"/>
      <c r="AC12" s="3" t="n"/>
      <c r="AD12" s="19" t="n"/>
      <c r="AE12" s="85">
        <f>AF11</f>
        <v/>
      </c>
      <c r="AF12" s="85" t="n">
        <v>65893</v>
      </c>
      <c r="AG12" s="151">
        <f>AF12-AE12</f>
        <v/>
      </c>
    </row>
    <row r="13">
      <c r="A13" s="42">
        <f>A12</f>
        <v/>
      </c>
      <c r="B13" s="24" t="inlineStr">
        <is>
          <t>NIGHT</t>
        </is>
      </c>
      <c r="C13" s="14">
        <f>D12</f>
        <v/>
      </c>
      <c r="D13" s="14" t="n">
        <v>5953</v>
      </c>
      <c r="E13" s="14">
        <f>D13-C13</f>
        <v/>
      </c>
      <c r="F13" s="3" t="n"/>
      <c r="G13" s="3" t="n"/>
      <c r="H13" s="3" t="n"/>
      <c r="I13" s="34" t="n"/>
      <c r="J13" s="33" t="n"/>
      <c r="K13" s="4" t="n"/>
      <c r="L13" s="4" t="n"/>
      <c r="M13" s="34" t="n"/>
      <c r="N13" s="14">
        <f>O12</f>
        <v/>
      </c>
      <c r="O13" s="14" t="n">
        <v>83746</v>
      </c>
      <c r="P13" s="151">
        <f>O13-N13</f>
        <v/>
      </c>
      <c r="Q13" s="84" t="n"/>
      <c r="R13" s="42">
        <f>R12</f>
        <v/>
      </c>
      <c r="S13" s="24" t="inlineStr">
        <is>
          <t>NIGHT</t>
        </is>
      </c>
      <c r="T13" s="14">
        <f>U12</f>
        <v/>
      </c>
      <c r="U13" s="14" t="n">
        <v>4151</v>
      </c>
      <c r="V13" s="14">
        <f>U13-T13</f>
        <v/>
      </c>
      <c r="W13" s="3" t="n"/>
      <c r="X13" s="3" t="n"/>
      <c r="Y13" s="3" t="n"/>
      <c r="Z13" s="4" t="n"/>
      <c r="AA13" s="33" t="n"/>
      <c r="AB13" s="4" t="n"/>
      <c r="AC13" s="4" t="n"/>
      <c r="AD13" s="34" t="n"/>
      <c r="AE13" s="85">
        <f>AF12</f>
        <v/>
      </c>
      <c r="AF13" s="85" t="n">
        <v>65980</v>
      </c>
      <c r="AG13" s="151">
        <f>AF13-AE13</f>
        <v/>
      </c>
    </row>
    <row r="14">
      <c r="A14" s="42">
        <f>A12+1</f>
        <v/>
      </c>
      <c r="B14" s="24" t="inlineStr">
        <is>
          <t>DAY</t>
        </is>
      </c>
      <c r="C14" s="14">
        <f>D13</f>
        <v/>
      </c>
      <c r="D14" s="14" t="n">
        <v>5960</v>
      </c>
      <c r="E14" s="14">
        <f>D14-C14</f>
        <v/>
      </c>
      <c r="F14" s="3" t="n">
        <v>300</v>
      </c>
      <c r="G14" s="3" t="n">
        <v>5955</v>
      </c>
      <c r="H14" s="3">
        <f>G14-G11</f>
        <v/>
      </c>
      <c r="I14" s="34">
        <f>F14/H14</f>
        <v/>
      </c>
      <c r="J14" s="35" t="n"/>
      <c r="K14" s="15" t="n"/>
      <c r="L14" s="15" t="n"/>
      <c r="M14" s="36" t="n"/>
      <c r="N14" s="14">
        <f>O13</f>
        <v/>
      </c>
      <c r="O14" s="14" t="n">
        <v>83834</v>
      </c>
      <c r="P14" s="151">
        <f>O14-N14</f>
        <v/>
      </c>
      <c r="Q14" s="84" t="n"/>
      <c r="R14" s="42">
        <f>R12+1</f>
        <v/>
      </c>
      <c r="S14" s="24" t="inlineStr">
        <is>
          <t>DAY</t>
        </is>
      </c>
      <c r="T14" s="14">
        <f>U13</f>
        <v/>
      </c>
      <c r="U14" s="14" t="n">
        <v>4158</v>
      </c>
      <c r="V14" s="14">
        <f>U14-T14</f>
        <v/>
      </c>
      <c r="W14" s="3" t="n"/>
      <c r="X14" s="3" t="n"/>
      <c r="Y14" s="3" t="n"/>
      <c r="Z14" s="4" t="n"/>
      <c r="AA14" s="35" t="n"/>
      <c r="AB14" s="15" t="n"/>
      <c r="AC14" s="15" t="n"/>
      <c r="AD14" s="36" t="n"/>
      <c r="AE14" s="85">
        <f>AF13</f>
        <v/>
      </c>
      <c r="AF14" s="85" t="n">
        <v>66017</v>
      </c>
      <c r="AG14" s="151">
        <f>AF14-AE14</f>
        <v/>
      </c>
    </row>
    <row r="15">
      <c r="A15" s="42">
        <f>A14</f>
        <v/>
      </c>
      <c r="B15" s="24" t="inlineStr">
        <is>
          <t>NIGHT</t>
        </is>
      </c>
      <c r="C15" s="14">
        <f>D14</f>
        <v/>
      </c>
      <c r="D15" s="14" t="n">
        <v>5966</v>
      </c>
      <c r="E15" s="14">
        <f>D15-C15</f>
        <v/>
      </c>
      <c r="F15" s="3" t="n"/>
      <c r="G15" s="3" t="n"/>
      <c r="H15" s="3" t="n"/>
      <c r="I15" s="34" t="n"/>
      <c r="J15" s="32" t="n"/>
      <c r="K15" s="3" t="n"/>
      <c r="L15" s="3" t="n"/>
      <c r="M15" s="19" t="n"/>
      <c r="N15" s="14">
        <f>O14</f>
        <v/>
      </c>
      <c r="O15" s="14" t="n">
        <v>83907</v>
      </c>
      <c r="P15" s="151">
        <f>O15-N15</f>
        <v/>
      </c>
      <c r="Q15" s="84" t="n"/>
      <c r="R15" s="42">
        <f>R14</f>
        <v/>
      </c>
      <c r="S15" s="24" t="inlineStr">
        <is>
          <t>NIGHT</t>
        </is>
      </c>
      <c r="T15" s="14">
        <f>U14</f>
        <v/>
      </c>
      <c r="U15" s="14" t="n">
        <v>4168</v>
      </c>
      <c r="V15" s="14">
        <f>U15-T15</f>
        <v/>
      </c>
      <c r="W15" s="3" t="n"/>
      <c r="X15" s="3" t="n"/>
      <c r="Y15" s="3" t="n"/>
      <c r="Z15" s="4" t="n"/>
      <c r="AA15" s="32" t="n"/>
      <c r="AB15" s="3" t="n"/>
      <c r="AC15" s="3" t="n"/>
      <c r="AD15" s="19" t="n"/>
      <c r="AE15" s="85">
        <f>AF14</f>
        <v/>
      </c>
      <c r="AF15" s="85" t="n">
        <v>66190</v>
      </c>
      <c r="AG15" s="151">
        <f>AF15-AE15</f>
        <v/>
      </c>
    </row>
    <row r="16">
      <c r="A16" s="42">
        <f>A14+1</f>
        <v/>
      </c>
      <c r="B16" s="24" t="inlineStr">
        <is>
          <t>DAY</t>
        </is>
      </c>
      <c r="C16" s="14">
        <f>D15</f>
        <v/>
      </c>
      <c r="D16" s="14" t="n">
        <v>5976</v>
      </c>
      <c r="E16" s="14">
        <f>D16-C16</f>
        <v/>
      </c>
      <c r="F16" s="3" t="n">
        <v>320</v>
      </c>
      <c r="G16" s="3" t="n">
        <v>5970</v>
      </c>
      <c r="H16" s="3">
        <f>G16-G14</f>
        <v/>
      </c>
      <c r="I16" s="34">
        <f>F16/H16</f>
        <v/>
      </c>
      <c r="J16" s="32" t="n"/>
      <c r="K16" s="3" t="n"/>
      <c r="L16" s="3" t="n"/>
      <c r="M16" s="19" t="n"/>
      <c r="N16" s="14">
        <f>O15</f>
        <v/>
      </c>
      <c r="O16" s="14" t="n">
        <v>84026</v>
      </c>
      <c r="P16" s="151">
        <f>O16-N16</f>
        <v/>
      </c>
      <c r="Q16" s="84" t="n"/>
      <c r="R16" s="42">
        <f>R14+1</f>
        <v/>
      </c>
      <c r="S16" s="24" t="inlineStr">
        <is>
          <t>DAY</t>
        </is>
      </c>
      <c r="T16" s="14">
        <f>U15</f>
        <v/>
      </c>
      <c r="U16" s="14" t="n">
        <v>4173</v>
      </c>
      <c r="V16" s="14">
        <f>U16-T16</f>
        <v/>
      </c>
      <c r="W16" s="3" t="n">
        <v>200</v>
      </c>
      <c r="X16" s="3" t="n">
        <v>4177</v>
      </c>
      <c r="Y16" s="3" t="n"/>
      <c r="Z16" s="4" t="n"/>
      <c r="AA16" s="32" t="n"/>
      <c r="AB16" s="3" t="n"/>
      <c r="AC16" s="3" t="n"/>
      <c r="AD16" s="19" t="n"/>
      <c r="AE16" s="85">
        <f>AF15</f>
        <v/>
      </c>
      <c r="AF16" s="85" t="n">
        <v>66262</v>
      </c>
      <c r="AG16" s="151">
        <f>AF16-AE16</f>
        <v/>
      </c>
    </row>
    <row r="17">
      <c r="A17" s="42">
        <f>A16</f>
        <v/>
      </c>
      <c r="B17" s="24" t="inlineStr">
        <is>
          <t>NIGHT</t>
        </is>
      </c>
      <c r="C17" s="14">
        <f>D16</f>
        <v/>
      </c>
      <c r="D17" s="14" t="n">
        <v>5984</v>
      </c>
      <c r="E17" s="14">
        <f>D17-C17</f>
        <v/>
      </c>
      <c r="F17" s="3" t="n"/>
      <c r="G17" s="3" t="n"/>
      <c r="H17" s="3" t="n"/>
      <c r="I17" s="34" t="n"/>
      <c r="J17" s="32" t="n"/>
      <c r="K17" s="3" t="n"/>
      <c r="L17" s="3" t="n"/>
      <c r="M17" s="19" t="n"/>
      <c r="N17" s="14">
        <f>O16</f>
        <v/>
      </c>
      <c r="O17" s="14" t="n">
        <v>84107</v>
      </c>
      <c r="P17" s="151">
        <f>O17-N17</f>
        <v/>
      </c>
      <c r="Q17" s="84" t="n"/>
      <c r="R17" s="42">
        <f>R16</f>
        <v/>
      </c>
      <c r="S17" s="24" t="inlineStr">
        <is>
          <t>NIGHT</t>
        </is>
      </c>
      <c r="T17" s="14">
        <f>U16</f>
        <v/>
      </c>
      <c r="U17" s="14" t="n">
        <v>4182</v>
      </c>
      <c r="V17" s="14">
        <f>U17-T17</f>
        <v/>
      </c>
      <c r="W17" s="3" t="n"/>
      <c r="X17" s="3" t="n"/>
      <c r="Y17" s="3" t="n"/>
      <c r="Z17" s="4" t="n"/>
      <c r="AA17" s="33" t="n"/>
      <c r="AB17" s="4" t="n"/>
      <c r="AC17" s="4" t="n"/>
      <c r="AD17" s="34" t="n"/>
      <c r="AE17" s="85">
        <f>AF16</f>
        <v/>
      </c>
      <c r="AF17" s="85" t="n">
        <v>66482</v>
      </c>
      <c r="AG17" s="151">
        <f>AF17-AE17</f>
        <v/>
      </c>
    </row>
    <row r="18">
      <c r="A18" s="42">
        <f>A16+1</f>
        <v/>
      </c>
      <c r="B18" s="24" t="inlineStr">
        <is>
          <t>DAY</t>
        </is>
      </c>
      <c r="C18" s="14">
        <f>D17</f>
        <v/>
      </c>
      <c r="D18" s="14" t="n">
        <v>5993</v>
      </c>
      <c r="E18" s="14">
        <f>D18-C18</f>
        <v/>
      </c>
      <c r="F18" s="3" t="n"/>
      <c r="G18" s="3" t="n"/>
      <c r="H18" s="3" t="n"/>
      <c r="I18" s="34" t="n"/>
      <c r="J18" s="32" t="n"/>
      <c r="K18" s="3" t="n"/>
      <c r="L18" s="3" t="n"/>
      <c r="M18" s="19" t="n"/>
      <c r="N18" s="14">
        <f>O17</f>
        <v/>
      </c>
      <c r="O18" s="14" t="n">
        <v>84241</v>
      </c>
      <c r="P18" s="151">
        <f>O18-N18</f>
        <v/>
      </c>
      <c r="Q18" s="84" t="n"/>
      <c r="R18" s="42">
        <f>R16+1</f>
        <v/>
      </c>
      <c r="S18" s="24" t="inlineStr">
        <is>
          <t>DAY</t>
        </is>
      </c>
      <c r="T18" s="14">
        <f>U17</f>
        <v/>
      </c>
      <c r="U18" s="14" t="n">
        <v>4188</v>
      </c>
      <c r="V18" s="14">
        <f>U18-T18</f>
        <v/>
      </c>
      <c r="W18" s="3" t="n">
        <v>500</v>
      </c>
      <c r="X18" s="3" t="n">
        <v>4186</v>
      </c>
      <c r="Y18" s="3">
        <f>X18-X10</f>
        <v/>
      </c>
      <c r="Z18" s="4">
        <f>(W18+W16)/Y18</f>
        <v/>
      </c>
      <c r="AA18" s="50" t="n"/>
      <c r="AB18" s="14" t="n"/>
      <c r="AC18" s="14" t="n"/>
      <c r="AD18" s="151" t="n"/>
      <c r="AE18" s="85">
        <f>AF17</f>
        <v/>
      </c>
      <c r="AF18" s="85" t="n">
        <v>66542</v>
      </c>
      <c r="AG18" s="151">
        <f>AF18-AE18</f>
        <v/>
      </c>
    </row>
    <row r="19">
      <c r="A19" s="42">
        <f>A18</f>
        <v/>
      </c>
      <c r="B19" s="24" t="inlineStr">
        <is>
          <t>NIGHT</t>
        </is>
      </c>
      <c r="C19" s="14">
        <f>D18</f>
        <v/>
      </c>
      <c r="D19" s="14" t="n">
        <v>6001</v>
      </c>
      <c r="E19" s="14">
        <f>D19-C19</f>
        <v/>
      </c>
      <c r="F19" s="3" t="n"/>
      <c r="G19" s="3" t="n"/>
      <c r="H19" s="3" t="n"/>
      <c r="I19" s="34" t="n"/>
      <c r="J19" s="32" t="n"/>
      <c r="K19" s="3" t="n"/>
      <c r="L19" s="3" t="n"/>
      <c r="M19" s="19" t="n"/>
      <c r="N19" s="14">
        <f>O18</f>
        <v/>
      </c>
      <c r="O19" s="14" t="n">
        <v>84395</v>
      </c>
      <c r="P19" s="151">
        <f>O19-N19</f>
        <v/>
      </c>
      <c r="Q19" s="84" t="n"/>
      <c r="R19" s="42">
        <f>R18</f>
        <v/>
      </c>
      <c r="S19" s="24" t="inlineStr">
        <is>
          <t>NIGHT</t>
        </is>
      </c>
      <c r="T19" s="14">
        <f>U18</f>
        <v/>
      </c>
      <c r="U19" s="14" t="n">
        <v>4195</v>
      </c>
      <c r="V19" s="14">
        <f>U19-T19</f>
        <v/>
      </c>
      <c r="W19" s="3" t="n"/>
      <c r="X19" s="3" t="n"/>
      <c r="Y19" s="3" t="n"/>
      <c r="Z19" s="4" t="n"/>
      <c r="AA19" s="61" t="n"/>
      <c r="AB19" s="62" t="n"/>
      <c r="AC19" s="62" t="n"/>
      <c r="AD19" s="151" t="n"/>
      <c r="AE19" s="85">
        <f>AF18</f>
        <v/>
      </c>
      <c r="AF19" s="85" t="n">
        <v>66661</v>
      </c>
      <c r="AG19" s="151">
        <f>AF19-AE19</f>
        <v/>
      </c>
    </row>
    <row r="20">
      <c r="A20" s="42">
        <f>A18+1</f>
        <v/>
      </c>
      <c r="B20" s="24" t="inlineStr">
        <is>
          <t>DAY</t>
        </is>
      </c>
      <c r="C20" s="14">
        <f>D19</f>
        <v/>
      </c>
      <c r="D20" s="14" t="n">
        <v>6011</v>
      </c>
      <c r="E20" s="14">
        <f>D20-C20</f>
        <v/>
      </c>
      <c r="F20" s="3" t="n">
        <v>439</v>
      </c>
      <c r="G20" s="3" t="n">
        <v>6007</v>
      </c>
      <c r="H20" s="3">
        <f>G20-G16</f>
        <v/>
      </c>
      <c r="I20" s="34">
        <f>F20/H20</f>
        <v/>
      </c>
      <c r="J20" s="61" t="n"/>
      <c r="K20" s="62" t="n"/>
      <c r="L20" s="62" t="n"/>
      <c r="M20" s="151" t="n"/>
      <c r="N20" s="14">
        <f>O19</f>
        <v/>
      </c>
      <c r="O20" s="14" t="n">
        <v>84503</v>
      </c>
      <c r="P20" s="151">
        <f>O20-N20</f>
        <v/>
      </c>
      <c r="Q20" s="84" t="n"/>
      <c r="R20" s="42">
        <f>R18+1</f>
        <v/>
      </c>
      <c r="S20" s="24" t="inlineStr">
        <is>
          <t>DAY</t>
        </is>
      </c>
      <c r="T20" s="14">
        <f>U19</f>
        <v/>
      </c>
      <c r="U20" s="14" t="n">
        <v>4203</v>
      </c>
      <c r="V20" s="14">
        <f>U20-T20</f>
        <v/>
      </c>
      <c r="W20" s="3" t="n"/>
      <c r="X20" s="3" t="n"/>
      <c r="Y20" s="3" t="n"/>
      <c r="Z20" s="4" t="n"/>
      <c r="AA20" s="33" t="n"/>
      <c r="AB20" s="4" t="n"/>
      <c r="AC20" s="4" t="n"/>
      <c r="AD20" s="34" t="n"/>
      <c r="AE20" s="85">
        <f>AF19</f>
        <v/>
      </c>
      <c r="AF20" s="85" t="n">
        <v>66820</v>
      </c>
      <c r="AG20" s="151">
        <f>AF20-AE20</f>
        <v/>
      </c>
    </row>
    <row r="21">
      <c r="A21" s="42">
        <f>A20</f>
        <v/>
      </c>
      <c r="B21" s="24" t="inlineStr">
        <is>
          <t>NIGHT</t>
        </is>
      </c>
      <c r="C21" s="14">
        <f>D20</f>
        <v/>
      </c>
      <c r="D21" s="14" t="n">
        <v>6018</v>
      </c>
      <c r="E21" s="14">
        <f>D21-C21</f>
        <v/>
      </c>
      <c r="F21" s="3" t="n"/>
      <c r="G21" s="3" t="n"/>
      <c r="H21" s="3" t="n"/>
      <c r="I21" s="34" t="n"/>
      <c r="J21" s="32" t="n"/>
      <c r="K21" s="3" t="n"/>
      <c r="L21" s="3" t="n"/>
      <c r="M21" s="19" t="n"/>
      <c r="N21" s="14">
        <f>O20</f>
        <v/>
      </c>
      <c r="O21" s="14" t="n">
        <v>84649</v>
      </c>
      <c r="P21" s="151">
        <f>O21-N21</f>
        <v/>
      </c>
      <c r="Q21" s="84" t="n"/>
      <c r="R21" s="42">
        <f>R20</f>
        <v/>
      </c>
      <c r="S21" s="24" t="inlineStr">
        <is>
          <t>NIGHT</t>
        </is>
      </c>
      <c r="T21" s="14">
        <f>U20</f>
        <v/>
      </c>
      <c r="U21" s="14" t="n">
        <v>4210</v>
      </c>
      <c r="V21" s="14">
        <f>U21-T21</f>
        <v/>
      </c>
      <c r="W21" s="3" t="n"/>
      <c r="X21" s="3" t="n"/>
      <c r="Y21" s="3" t="n"/>
      <c r="Z21" s="15" t="n"/>
      <c r="AA21" s="50" t="n"/>
      <c r="AB21" s="14" t="n"/>
      <c r="AC21" s="14" t="n"/>
      <c r="AD21" s="151" t="n"/>
      <c r="AE21" s="85">
        <f>AF20</f>
        <v/>
      </c>
      <c r="AF21" s="85" t="n">
        <v>66924</v>
      </c>
      <c r="AG21" s="151">
        <f>AF21-AE21</f>
        <v/>
      </c>
    </row>
    <row r="22">
      <c r="A22" s="42">
        <f>A20+1</f>
        <v/>
      </c>
      <c r="B22" s="24" t="inlineStr">
        <is>
          <t>DAY</t>
        </is>
      </c>
      <c r="C22" s="14">
        <f>D21</f>
        <v/>
      </c>
      <c r="D22" s="14" t="n">
        <v>6026</v>
      </c>
      <c r="E22" s="14">
        <f>D22-C22</f>
        <v/>
      </c>
      <c r="F22" s="14" t="n"/>
      <c r="G22" s="86" t="n"/>
      <c r="H22" s="3" t="n"/>
      <c r="I22" s="34" t="n"/>
      <c r="J22" s="32" t="n"/>
      <c r="K22" s="3" t="n"/>
      <c r="L22" s="3" t="n"/>
      <c r="M22" s="19" t="n"/>
      <c r="N22" s="14">
        <f>O21</f>
        <v/>
      </c>
      <c r="O22" s="14" t="n">
        <v>84796</v>
      </c>
      <c r="P22" s="151">
        <f>O22-N22</f>
        <v/>
      </c>
      <c r="Q22" s="84" t="n"/>
      <c r="R22" s="42">
        <f>R20+1</f>
        <v/>
      </c>
      <c r="S22" s="24" t="inlineStr">
        <is>
          <t>DAY</t>
        </is>
      </c>
      <c r="T22" s="14">
        <f>U21</f>
        <v/>
      </c>
      <c r="U22" s="14" t="n">
        <v>4217</v>
      </c>
      <c r="V22" s="14">
        <f>U22-T22</f>
        <v/>
      </c>
      <c r="W22" s="3" t="n">
        <v>400</v>
      </c>
      <c r="X22" s="3" t="n">
        <v>4213</v>
      </c>
      <c r="Y22" s="3">
        <f>X22-X18</f>
        <v/>
      </c>
      <c r="Z22" s="4">
        <f>W22/Y22</f>
        <v/>
      </c>
      <c r="AA22" s="35" t="n"/>
      <c r="AB22" s="15" t="n"/>
      <c r="AC22" s="15" t="n"/>
      <c r="AD22" s="36" t="n"/>
      <c r="AE22" s="85">
        <f>AF21</f>
        <v/>
      </c>
      <c r="AF22" s="85" t="n">
        <v>67060</v>
      </c>
      <c r="AG22" s="151">
        <f>AF22-AE22</f>
        <v/>
      </c>
    </row>
    <row r="23">
      <c r="A23" s="42">
        <f>A22</f>
        <v/>
      </c>
      <c r="B23" s="24" t="inlineStr">
        <is>
          <t>NIGHT</t>
        </is>
      </c>
      <c r="C23" s="14">
        <f>D22</f>
        <v/>
      </c>
      <c r="D23" s="14" t="n">
        <v>6030</v>
      </c>
      <c r="E23" s="14">
        <f>D23-C23</f>
        <v/>
      </c>
      <c r="F23" s="3" t="n"/>
      <c r="G23" s="3" t="n"/>
      <c r="H23" s="3" t="n"/>
      <c r="I23" s="34" t="n"/>
      <c r="J23" s="50" t="n"/>
      <c r="K23" s="14" t="n"/>
      <c r="L23" s="14" t="n"/>
      <c r="M23" s="151" t="n"/>
      <c r="N23" s="14">
        <f>O22</f>
        <v/>
      </c>
      <c r="O23" s="14" t="n">
        <v>84849</v>
      </c>
      <c r="P23" s="151">
        <f>O23-N23</f>
        <v/>
      </c>
      <c r="Q23" s="84" t="n"/>
      <c r="R23" s="42">
        <f>R22</f>
        <v/>
      </c>
      <c r="S23" s="24" t="inlineStr">
        <is>
          <t>NIGHT</t>
        </is>
      </c>
      <c r="T23" s="14">
        <f>U22</f>
        <v/>
      </c>
      <c r="U23" s="14" t="n">
        <v>4226</v>
      </c>
      <c r="V23" s="14">
        <f>U23-T23</f>
        <v/>
      </c>
      <c r="W23" s="3" t="n"/>
      <c r="X23" s="3" t="n"/>
      <c r="Y23" s="3" t="n"/>
      <c r="Z23" s="4" t="n"/>
      <c r="AA23" s="50" t="n"/>
      <c r="AB23" s="14" t="n"/>
      <c r="AC23" s="14" t="n"/>
      <c r="AD23" s="151" t="n"/>
      <c r="AE23" s="85">
        <f>AF22</f>
        <v/>
      </c>
      <c r="AF23" s="85" t="n">
        <v>67207</v>
      </c>
      <c r="AG23" s="151">
        <f>AF23-AE23</f>
        <v/>
      </c>
    </row>
    <row r="24">
      <c r="A24" s="42">
        <f>A22+1</f>
        <v/>
      </c>
      <c r="B24" s="24" t="inlineStr">
        <is>
          <t>DAY</t>
        </is>
      </c>
      <c r="C24" s="14">
        <f>D23</f>
        <v/>
      </c>
      <c r="D24" s="14" t="n">
        <v>6036</v>
      </c>
      <c r="E24" s="14">
        <f>D24-C24</f>
        <v/>
      </c>
      <c r="F24" s="3" t="n">
        <v>286</v>
      </c>
      <c r="G24" s="3" t="n">
        <v>6031</v>
      </c>
      <c r="H24" s="3">
        <f>G24-G20</f>
        <v/>
      </c>
      <c r="I24" s="34">
        <f>F24/H24</f>
        <v/>
      </c>
      <c r="J24" s="50" t="n"/>
      <c r="K24" s="14" t="n"/>
      <c r="L24" s="14" t="n"/>
      <c r="M24" s="151" t="n"/>
      <c r="N24" s="14">
        <f>O23</f>
        <v/>
      </c>
      <c r="O24" s="14" t="n">
        <v>84926</v>
      </c>
      <c r="P24" s="151">
        <f>O24-N24</f>
        <v/>
      </c>
      <c r="Q24" s="84" t="n"/>
      <c r="R24" s="42">
        <f>R22+1</f>
        <v/>
      </c>
      <c r="S24" s="24" t="inlineStr">
        <is>
          <t>DAY</t>
        </is>
      </c>
      <c r="T24" s="14">
        <f>U23</f>
        <v/>
      </c>
      <c r="U24" s="14" t="n">
        <v>4231</v>
      </c>
      <c r="V24" s="14">
        <f>U24-T24</f>
        <v/>
      </c>
      <c r="W24" s="3" t="n"/>
      <c r="X24" s="3" t="n"/>
      <c r="Y24" s="3" t="n"/>
      <c r="Z24" s="4" t="n"/>
      <c r="AA24" s="50" t="n"/>
      <c r="AB24" s="14" t="n"/>
      <c r="AC24" s="14" t="n"/>
      <c r="AD24" s="151" t="n"/>
      <c r="AE24" s="85">
        <f>AF23</f>
        <v/>
      </c>
      <c r="AF24" s="85" t="n">
        <v>67323</v>
      </c>
      <c r="AG24" s="151">
        <f>AF24-AE24</f>
        <v/>
      </c>
    </row>
    <row r="25">
      <c r="A25" s="42">
        <f>A24</f>
        <v/>
      </c>
      <c r="B25" s="24" t="inlineStr">
        <is>
          <t>NIGHT</t>
        </is>
      </c>
      <c r="C25" s="14">
        <f>D24</f>
        <v/>
      </c>
      <c r="D25" s="14" t="n">
        <v>6046</v>
      </c>
      <c r="E25" s="14">
        <f>D25-C25</f>
        <v/>
      </c>
      <c r="F25" s="3" t="n"/>
      <c r="G25" s="3" t="n"/>
      <c r="H25" s="3" t="n"/>
      <c r="I25" s="34" t="n"/>
      <c r="J25" s="50" t="n"/>
      <c r="K25" s="14" t="n"/>
      <c r="L25" s="14" t="n"/>
      <c r="M25" s="151" t="n"/>
      <c r="N25" s="14">
        <f>O24</f>
        <v/>
      </c>
      <c r="O25" s="14" t="n">
        <v>85151</v>
      </c>
      <c r="P25" s="151">
        <f>O25-N25</f>
        <v/>
      </c>
      <c r="Q25" s="84" t="n"/>
      <c r="R25" s="42">
        <f>R24</f>
        <v/>
      </c>
      <c r="S25" s="24" t="inlineStr">
        <is>
          <t>NIGHT</t>
        </is>
      </c>
      <c r="T25" s="14">
        <f>U24</f>
        <v/>
      </c>
      <c r="U25" s="14" t="n">
        <v>4236</v>
      </c>
      <c r="V25" s="14">
        <f>U25-T25</f>
        <v/>
      </c>
      <c r="W25" s="3" t="n"/>
      <c r="X25" s="3" t="n"/>
      <c r="Y25" s="3" t="n"/>
      <c r="Z25" s="4" t="n"/>
      <c r="AA25" s="50" t="n"/>
      <c r="AB25" s="14" t="n"/>
      <c r="AC25" s="14" t="n"/>
      <c r="AD25" s="151" t="n"/>
      <c r="AE25" s="85">
        <f>AF24</f>
        <v/>
      </c>
      <c r="AF25" s="85" t="n">
        <v>67468</v>
      </c>
      <c r="AG25" s="151">
        <f>AF25-AE25</f>
        <v/>
      </c>
    </row>
    <row r="26">
      <c r="A26" s="42">
        <f>A24+1</f>
        <v/>
      </c>
      <c r="B26" s="24" t="inlineStr">
        <is>
          <t>DAY</t>
        </is>
      </c>
      <c r="C26" s="14">
        <f>D25</f>
        <v/>
      </c>
      <c r="D26" s="14" t="n">
        <v>6056</v>
      </c>
      <c r="E26" s="14">
        <f>D26-C26</f>
        <v/>
      </c>
      <c r="F26" s="3" t="n"/>
      <c r="G26" s="3" t="n"/>
      <c r="H26" s="3" t="n"/>
      <c r="I26" s="34" t="n"/>
      <c r="J26" s="35" t="n"/>
      <c r="K26" s="15" t="n"/>
      <c r="L26" s="15" t="n"/>
      <c r="M26" s="36" t="n"/>
      <c r="N26" s="14">
        <f>O25</f>
        <v/>
      </c>
      <c r="O26" s="14" t="n">
        <v>85309</v>
      </c>
      <c r="P26" s="151">
        <f>O26-N26</f>
        <v/>
      </c>
      <c r="Q26" s="84" t="n"/>
      <c r="R26" s="42">
        <f>R24+1</f>
        <v/>
      </c>
      <c r="S26" s="24" t="inlineStr">
        <is>
          <t>DAY</t>
        </is>
      </c>
      <c r="T26" s="14">
        <f>U25</f>
        <v/>
      </c>
      <c r="U26" s="14" t="n">
        <v>4242</v>
      </c>
      <c r="V26" s="14">
        <f>U26-T26</f>
        <v/>
      </c>
      <c r="W26" s="3" t="n">
        <v>400</v>
      </c>
      <c r="X26" s="3" t="n">
        <v>4236</v>
      </c>
      <c r="Y26" s="3">
        <f>X26-X22</f>
        <v/>
      </c>
      <c r="Z26" s="4">
        <f>W26/Y26</f>
        <v/>
      </c>
      <c r="AA26" s="35" t="n"/>
      <c r="AB26" s="15" t="n"/>
      <c r="AC26" s="15" t="n"/>
      <c r="AD26" s="36" t="n"/>
      <c r="AE26" s="85">
        <f>AF25</f>
        <v/>
      </c>
      <c r="AF26" s="85" t="n">
        <v>67619</v>
      </c>
      <c r="AG26" s="151">
        <f>AF26-AE26</f>
        <v/>
      </c>
    </row>
    <row r="27">
      <c r="A27" s="42">
        <f>A26</f>
        <v/>
      </c>
      <c r="B27" s="24" t="inlineStr">
        <is>
          <t>NIGHT</t>
        </is>
      </c>
      <c r="C27" s="14">
        <f>D26</f>
        <v/>
      </c>
      <c r="D27" s="14" t="n">
        <v>6064</v>
      </c>
      <c r="E27" s="14">
        <f>D27-C27</f>
        <v/>
      </c>
      <c r="F27" s="3" t="n"/>
      <c r="G27" s="3" t="n"/>
      <c r="H27" s="3" t="n"/>
      <c r="I27" s="34" t="n"/>
      <c r="J27" s="61" t="n"/>
      <c r="K27" s="62" t="n"/>
      <c r="L27" s="62" t="n"/>
      <c r="M27" s="151" t="n"/>
      <c r="N27" s="14">
        <f>O26</f>
        <v/>
      </c>
      <c r="O27" s="14" t="n">
        <v>85454</v>
      </c>
      <c r="P27" s="151">
        <f>O27-N27</f>
        <v/>
      </c>
      <c r="Q27" s="84" t="n"/>
      <c r="R27" s="42">
        <f>R26</f>
        <v/>
      </c>
      <c r="S27" s="24" t="inlineStr">
        <is>
          <t>NIGHT</t>
        </is>
      </c>
      <c r="T27" s="14">
        <f>U26</f>
        <v/>
      </c>
      <c r="U27" s="14" t="n">
        <v>4248</v>
      </c>
      <c r="V27" s="14">
        <f>U27-T27</f>
        <v/>
      </c>
      <c r="W27" s="3" t="n"/>
      <c r="X27" s="3" t="n"/>
      <c r="Y27" s="3" t="n"/>
      <c r="Z27" s="4" t="n"/>
      <c r="AA27" s="50" t="n"/>
      <c r="AB27" s="14" t="n"/>
      <c r="AC27" s="14" t="n"/>
      <c r="AD27" s="151" t="n"/>
      <c r="AE27" s="85">
        <f>AF26</f>
        <v/>
      </c>
      <c r="AF27" s="14" t="n">
        <v>67666</v>
      </c>
      <c r="AG27" s="151">
        <f>AF27-AE27</f>
        <v/>
      </c>
    </row>
    <row r="28">
      <c r="A28" s="42">
        <f>A26+1</f>
        <v/>
      </c>
      <c r="B28" s="24" t="inlineStr">
        <is>
          <t>DAY</t>
        </is>
      </c>
      <c r="C28" s="14">
        <f>D27</f>
        <v/>
      </c>
      <c r="D28" s="14" t="n">
        <v>6075</v>
      </c>
      <c r="E28" s="14">
        <f>D28-C28</f>
        <v/>
      </c>
      <c r="F28" s="3" t="n">
        <v>530</v>
      </c>
      <c r="G28" s="3" t="n">
        <v>6070</v>
      </c>
      <c r="H28" s="3">
        <f>G28-G24</f>
        <v/>
      </c>
      <c r="I28" s="34">
        <f>F28/H28</f>
        <v/>
      </c>
      <c r="J28" s="61" t="n"/>
      <c r="K28" s="62" t="n"/>
      <c r="L28" s="62" t="n"/>
      <c r="M28" s="151" t="n"/>
      <c r="N28" s="14">
        <f>O27</f>
        <v/>
      </c>
      <c r="O28" s="14" t="n">
        <v>85614</v>
      </c>
      <c r="P28" s="151">
        <f>O28-N28</f>
        <v/>
      </c>
      <c r="Q28" s="84" t="n"/>
      <c r="R28" s="42">
        <f>R26+1</f>
        <v/>
      </c>
      <c r="S28" s="24" t="inlineStr">
        <is>
          <t>DAY</t>
        </is>
      </c>
      <c r="T28" s="14">
        <f>U27</f>
        <v/>
      </c>
      <c r="U28" s="14" t="n">
        <v>4254</v>
      </c>
      <c r="V28" s="14">
        <f>U28-T28</f>
        <v/>
      </c>
      <c r="W28" s="3" t="n">
        <v>650</v>
      </c>
      <c r="X28" s="3" t="n">
        <v>4251</v>
      </c>
      <c r="Y28" s="3">
        <f>X28-X26</f>
        <v/>
      </c>
      <c r="Z28" s="4">
        <f>W28/Y28</f>
        <v/>
      </c>
      <c r="AA28" s="50" t="n"/>
      <c r="AB28" s="14" t="n"/>
      <c r="AC28" s="14" t="n"/>
      <c r="AD28" s="151" t="n"/>
      <c r="AE28" s="85">
        <f>AF27</f>
        <v/>
      </c>
      <c r="AF28" s="14" t="n">
        <v>67780</v>
      </c>
      <c r="AG28" s="151">
        <f>AF28-AE28</f>
        <v/>
      </c>
    </row>
    <row r="29">
      <c r="A29" s="42">
        <f>A28</f>
        <v/>
      </c>
      <c r="B29" s="24" t="inlineStr">
        <is>
          <t>NIGHT</t>
        </is>
      </c>
      <c r="C29" s="14">
        <f>D28</f>
        <v/>
      </c>
      <c r="D29" s="14" t="n">
        <v>6081</v>
      </c>
      <c r="E29" s="14">
        <f>D29-C29</f>
        <v/>
      </c>
      <c r="F29" s="3" t="n"/>
      <c r="G29" s="3" t="n"/>
      <c r="H29" s="3" t="n"/>
      <c r="I29" s="34" t="n"/>
      <c r="J29" s="50" t="n"/>
      <c r="K29" s="14" t="n"/>
      <c r="L29" s="14" t="n"/>
      <c r="M29" s="151" t="n"/>
      <c r="N29" s="14">
        <f>O28</f>
        <v/>
      </c>
      <c r="O29" s="14" t="n">
        <v>85699</v>
      </c>
      <c r="P29" s="151">
        <f>O29-N29</f>
        <v/>
      </c>
      <c r="Q29" s="84" t="n"/>
      <c r="R29" s="42">
        <f>R28</f>
        <v/>
      </c>
      <c r="S29" s="24" t="inlineStr">
        <is>
          <t>NIGHT</t>
        </is>
      </c>
      <c r="T29" s="14">
        <f>U28</f>
        <v/>
      </c>
      <c r="U29" s="14" t="n">
        <v>4263</v>
      </c>
      <c r="V29" s="14">
        <f>U29-T29</f>
        <v/>
      </c>
      <c r="W29" s="3" t="n"/>
      <c r="X29" s="3" t="n"/>
      <c r="Y29" s="3" t="n"/>
      <c r="Z29" s="4" t="n"/>
      <c r="AA29" s="50" t="n"/>
      <c r="AB29" s="14" t="n"/>
      <c r="AC29" s="14" t="n"/>
      <c r="AD29" s="151" t="n"/>
      <c r="AE29" s="85">
        <f>AF28</f>
        <v/>
      </c>
      <c r="AF29" s="14" t="n">
        <v>67939</v>
      </c>
      <c r="AG29" s="151">
        <f>AF29-AE29</f>
        <v/>
      </c>
    </row>
    <row r="30">
      <c r="A30" s="42">
        <f>A28+1</f>
        <v/>
      </c>
      <c r="B30" s="24" t="inlineStr">
        <is>
          <t>DAY</t>
        </is>
      </c>
      <c r="C30" s="14">
        <f>D29</f>
        <v/>
      </c>
      <c r="D30" s="14" t="n">
        <v>6087</v>
      </c>
      <c r="E30" s="14">
        <f>D30-C30</f>
        <v/>
      </c>
      <c r="F30" s="3" t="n"/>
      <c r="G30" s="3" t="n"/>
      <c r="H30" s="3" t="n"/>
      <c r="I30" s="34" t="n"/>
      <c r="J30" s="67" t="n"/>
      <c r="K30" s="4" t="n"/>
      <c r="L30" s="69" t="n"/>
      <c r="M30" s="34" t="n"/>
      <c r="N30" s="14">
        <f>O29</f>
        <v/>
      </c>
      <c r="O30" s="14" t="n">
        <v>85810</v>
      </c>
      <c r="P30" s="151">
        <f>O30-N30</f>
        <v/>
      </c>
      <c r="Q30" s="84" t="n"/>
      <c r="R30" s="42">
        <f>R28+1</f>
        <v/>
      </c>
      <c r="S30" s="24" t="inlineStr">
        <is>
          <t>DAY</t>
        </is>
      </c>
      <c r="T30" s="14">
        <f>U29</f>
        <v/>
      </c>
      <c r="U30" s="14" t="n">
        <v>4266</v>
      </c>
      <c r="V30" s="14">
        <f>U30-T30</f>
        <v/>
      </c>
      <c r="W30" s="3" t="n"/>
      <c r="X30" s="3" t="n"/>
      <c r="Y30" s="3" t="n"/>
      <c r="Z30" s="4" t="n"/>
      <c r="AA30" s="33" t="n"/>
      <c r="AB30" s="4" t="n"/>
      <c r="AC30" s="4" t="n"/>
      <c r="AD30" s="34" t="n"/>
      <c r="AE30" s="85">
        <f>AF29</f>
        <v/>
      </c>
      <c r="AF30" s="14" t="n">
        <v>67973</v>
      </c>
      <c r="AG30" s="151">
        <f>AF30-AE30</f>
        <v/>
      </c>
    </row>
    <row r="31">
      <c r="A31" s="42">
        <f>A30</f>
        <v/>
      </c>
      <c r="B31" s="24" t="inlineStr">
        <is>
          <t>NIGHT</t>
        </is>
      </c>
      <c r="C31" s="14">
        <f>D30</f>
        <v/>
      </c>
      <c r="D31" s="14" t="n">
        <v>6089</v>
      </c>
      <c r="E31" s="14">
        <f>D31-C31</f>
        <v/>
      </c>
      <c r="F31" s="3" t="n"/>
      <c r="G31" s="3" t="n"/>
      <c r="H31" s="3" t="n"/>
      <c r="I31" s="34" t="n"/>
      <c r="J31" s="66" t="n"/>
      <c r="K31" s="15" t="n"/>
      <c r="L31" s="68" t="n"/>
      <c r="M31" s="36" t="n"/>
      <c r="N31" s="14">
        <f>O30</f>
        <v/>
      </c>
      <c r="O31" s="14" t="n">
        <v>85839</v>
      </c>
      <c r="P31" s="151">
        <f>O31-N31</f>
        <v/>
      </c>
      <c r="Q31" s="84" t="n"/>
      <c r="R31" s="42">
        <f>R30</f>
        <v/>
      </c>
      <c r="S31" s="24" t="inlineStr">
        <is>
          <t>NIGHT</t>
        </is>
      </c>
      <c r="T31" s="14">
        <f>U30</f>
        <v/>
      </c>
      <c r="U31" s="14" t="n">
        <v>4275</v>
      </c>
      <c r="V31" s="14">
        <f>U31-T31</f>
        <v/>
      </c>
      <c r="W31" s="3" t="n"/>
      <c r="X31" s="3" t="n"/>
      <c r="Y31" s="3" t="n"/>
      <c r="Z31" s="4" t="n"/>
      <c r="AA31" s="35" t="n"/>
      <c r="AB31" s="15" t="n"/>
      <c r="AC31" s="15" t="n"/>
      <c r="AD31" s="36" t="n"/>
      <c r="AE31" s="85">
        <f>AF30</f>
        <v/>
      </c>
      <c r="AF31" s="14" t="n">
        <v>68151</v>
      </c>
      <c r="AG31" s="151">
        <f>AF31-AE31</f>
        <v/>
      </c>
    </row>
    <row r="32">
      <c r="A32" s="42">
        <f>A30+1</f>
        <v/>
      </c>
      <c r="B32" s="24" t="inlineStr">
        <is>
          <t>DAY</t>
        </is>
      </c>
      <c r="C32" s="14">
        <f>D31</f>
        <v/>
      </c>
      <c r="D32" s="14" t="n">
        <v>6091</v>
      </c>
      <c r="E32" s="14">
        <f>D32-C32</f>
        <v/>
      </c>
      <c r="F32" s="3" t="n"/>
      <c r="G32" s="3" t="n"/>
      <c r="H32" s="3" t="n"/>
      <c r="I32" s="34" t="n"/>
      <c r="J32" s="70" t="n">
        <v>0.375</v>
      </c>
      <c r="K32" s="44" t="n">
        <v>0.6527777777777778</v>
      </c>
      <c r="L32" s="71">
        <f>K32-J32</f>
        <v/>
      </c>
      <c r="M32" s="36" t="inlineStr">
        <is>
          <t>Oil Change</t>
        </is>
      </c>
      <c r="N32" s="14">
        <f>O31</f>
        <v/>
      </c>
      <c r="O32" s="14" t="n">
        <v>85861</v>
      </c>
      <c r="P32" s="151">
        <f>O32-N32</f>
        <v/>
      </c>
      <c r="Q32" s="84" t="n"/>
      <c r="R32" s="42">
        <f>R30+1</f>
        <v/>
      </c>
      <c r="S32" s="24" t="inlineStr">
        <is>
          <t>DAY</t>
        </is>
      </c>
      <c r="T32" s="14">
        <f>U31</f>
        <v/>
      </c>
      <c r="U32" s="14" t="n">
        <v>4282</v>
      </c>
      <c r="V32" s="14">
        <f>U32-T32</f>
        <v/>
      </c>
      <c r="W32" s="3" t="n"/>
      <c r="X32" s="3" t="n"/>
      <c r="Y32" s="3" t="n"/>
      <c r="Z32" s="4" t="n"/>
      <c r="AA32" s="35" t="n"/>
      <c r="AB32" s="15" t="n"/>
      <c r="AC32" s="15" t="n"/>
      <c r="AD32" s="36" t="n"/>
      <c r="AE32" s="85">
        <f>AF31</f>
        <v/>
      </c>
      <c r="AF32" s="14" t="n">
        <v>68250</v>
      </c>
      <c r="AG32" s="151">
        <f>AF32-AE32</f>
        <v/>
      </c>
    </row>
    <row r="33">
      <c r="A33" s="42">
        <f>A32</f>
        <v/>
      </c>
      <c r="B33" s="24" t="inlineStr">
        <is>
          <t>NIGHT</t>
        </is>
      </c>
      <c r="C33" s="14">
        <f>D32</f>
        <v/>
      </c>
      <c r="D33" s="14" t="n">
        <v>6096</v>
      </c>
      <c r="E33" s="14">
        <f>D33-C33</f>
        <v/>
      </c>
      <c r="F33" s="3" t="n"/>
      <c r="G33" s="3" t="n"/>
      <c r="H33" s="3" t="n"/>
      <c r="I33" s="34" t="n"/>
      <c r="J33" s="70" t="n"/>
      <c r="K33" s="44" t="n"/>
      <c r="L33" s="71" t="n"/>
      <c r="M33" s="36" t="n"/>
      <c r="N33" s="14">
        <f>O32</f>
        <v/>
      </c>
      <c r="O33" s="14" t="n">
        <v>85955</v>
      </c>
      <c r="P33" s="151">
        <f>O33-N33</f>
        <v/>
      </c>
      <c r="Q33" s="84" t="n"/>
      <c r="R33" s="42">
        <f>R32</f>
        <v/>
      </c>
      <c r="S33" s="24" t="inlineStr">
        <is>
          <t>NIGHT</t>
        </is>
      </c>
      <c r="T33" s="14">
        <f>U32</f>
        <v/>
      </c>
      <c r="U33" s="14" t="n">
        <v>4290</v>
      </c>
      <c r="V33" s="14">
        <f>U33-T33</f>
        <v/>
      </c>
      <c r="W33" s="3" t="n"/>
      <c r="X33" s="3" t="n"/>
      <c r="Y33" s="3" t="n"/>
      <c r="Z33" s="4" t="n"/>
      <c r="AA33" s="43" t="n"/>
      <c r="AB33" s="44" t="n"/>
      <c r="AC33" s="44" t="n"/>
      <c r="AD33" s="36" t="n"/>
      <c r="AE33" s="85">
        <f>AF32</f>
        <v/>
      </c>
      <c r="AF33" s="14" t="n">
        <v>68417</v>
      </c>
      <c r="AG33" s="151">
        <f>AF33-AE33</f>
        <v/>
      </c>
    </row>
    <row r="34">
      <c r="A34" s="42">
        <f>A32+1</f>
        <v/>
      </c>
      <c r="B34" s="24" t="inlineStr">
        <is>
          <t>DAY</t>
        </is>
      </c>
      <c r="C34" s="14">
        <f>D33</f>
        <v/>
      </c>
      <c r="D34" s="14" t="n">
        <v>6101</v>
      </c>
      <c r="E34" s="14">
        <f>D34-C34</f>
        <v/>
      </c>
      <c r="F34" s="3" t="n">
        <v>445</v>
      </c>
      <c r="G34" s="3" t="n">
        <v>6101</v>
      </c>
      <c r="H34" s="3">
        <f>G34-G28</f>
        <v/>
      </c>
      <c r="I34" s="34">
        <f>F34/H34</f>
        <v/>
      </c>
      <c r="J34" s="70" t="n"/>
      <c r="K34" s="44" t="n"/>
      <c r="L34" s="71" t="n"/>
      <c r="M34" s="36" t="n"/>
      <c r="N34" s="14">
        <f>O33</f>
        <v/>
      </c>
      <c r="O34" s="14" t="n">
        <v>86033</v>
      </c>
      <c r="P34" s="151">
        <f>O34-N34</f>
        <v/>
      </c>
      <c r="Q34" s="84" t="n"/>
      <c r="R34" s="42">
        <f>R32+1</f>
        <v/>
      </c>
      <c r="S34" s="24" t="inlineStr">
        <is>
          <t>DAY</t>
        </is>
      </c>
      <c r="T34" s="14">
        <f>U33</f>
        <v/>
      </c>
      <c r="U34" s="14" t="n">
        <v>4298</v>
      </c>
      <c r="V34" s="14">
        <f>U34-T34</f>
        <v/>
      </c>
      <c r="W34" s="101" t="n">
        <v>752</v>
      </c>
      <c r="X34" s="3" t="n">
        <v>4294</v>
      </c>
      <c r="Y34" s="3">
        <f>X34-X28</f>
        <v/>
      </c>
      <c r="Z34" s="4">
        <f>W34/Y34</f>
        <v/>
      </c>
      <c r="AA34" s="43" t="n"/>
      <c r="AB34" s="44" t="n"/>
      <c r="AC34" s="44" t="n"/>
      <c r="AD34" s="36" t="n"/>
      <c r="AE34" s="85">
        <f>AF33</f>
        <v/>
      </c>
      <c r="AF34" s="14" t="n">
        <v>68580</v>
      </c>
      <c r="AG34" s="151">
        <f>AF34-AE34</f>
        <v/>
      </c>
    </row>
    <row r="35">
      <c r="A35" s="42">
        <f>A34</f>
        <v/>
      </c>
      <c r="B35" s="24" t="inlineStr">
        <is>
          <t>NIGHT</t>
        </is>
      </c>
      <c r="C35" s="14">
        <f>D34</f>
        <v/>
      </c>
      <c r="D35" s="14" t="n">
        <v>6104</v>
      </c>
      <c r="E35" s="14">
        <f>D35-C35</f>
        <v/>
      </c>
      <c r="F35" s="3" t="n"/>
      <c r="G35" s="3" t="n"/>
      <c r="H35" s="3" t="n"/>
      <c r="I35" s="34" t="n"/>
      <c r="J35" s="35" t="n"/>
      <c r="K35" s="15" t="n"/>
      <c r="L35" s="15" t="n"/>
      <c r="M35" s="36" t="n"/>
      <c r="N35" s="14">
        <f>O34</f>
        <v/>
      </c>
      <c r="O35" s="14" t="n">
        <v>86092</v>
      </c>
      <c r="P35" s="151">
        <f>O35-N35</f>
        <v/>
      </c>
      <c r="Q35" s="84" t="n"/>
      <c r="R35" s="42">
        <f>R34</f>
        <v/>
      </c>
      <c r="S35" s="24" t="inlineStr">
        <is>
          <t>NIGHT</t>
        </is>
      </c>
      <c r="T35" s="14">
        <f>U34</f>
        <v/>
      </c>
      <c r="U35" s="14" t="n">
        <v>4301</v>
      </c>
      <c r="V35" s="14">
        <f>U35-T35</f>
        <v/>
      </c>
      <c r="W35" s="3" t="n"/>
      <c r="X35" s="3" t="n"/>
      <c r="Y35" s="3" t="n"/>
      <c r="Z35" s="4" t="n"/>
      <c r="AA35" s="35" t="n"/>
      <c r="AB35" s="15" t="n"/>
      <c r="AC35" s="15" t="n"/>
      <c r="AD35" s="36" t="n"/>
      <c r="AE35" s="85">
        <f>AF34</f>
        <v/>
      </c>
      <c r="AF35" s="14" t="n">
        <v>68639</v>
      </c>
      <c r="AG35" s="151">
        <f>AF35-AE35</f>
        <v/>
      </c>
    </row>
    <row r="36">
      <c r="A36" s="42">
        <f>A34+1</f>
        <v/>
      </c>
      <c r="B36" s="24" t="inlineStr">
        <is>
          <t>DAY</t>
        </is>
      </c>
      <c r="C36" s="14">
        <f>D35</f>
        <v/>
      </c>
      <c r="D36" s="14" t="n">
        <v>6106</v>
      </c>
      <c r="E36" s="14">
        <f>D36-C36</f>
        <v/>
      </c>
      <c r="F36" s="3" t="n"/>
      <c r="G36" s="3" t="n"/>
      <c r="H36" s="3" t="n"/>
      <c r="I36" s="34" t="n"/>
      <c r="J36" s="35" t="n"/>
      <c r="K36" s="15" t="n"/>
      <c r="L36" s="15" t="n"/>
      <c r="M36" s="36" t="n"/>
      <c r="N36" s="14">
        <f>O35</f>
        <v/>
      </c>
      <c r="O36" s="14" t="n">
        <v>86124</v>
      </c>
      <c r="P36" s="151">
        <f>O36-N36</f>
        <v/>
      </c>
      <c r="Q36" s="84" t="n"/>
      <c r="R36" s="42">
        <f>R34+1</f>
        <v/>
      </c>
      <c r="S36" s="24" t="inlineStr">
        <is>
          <t>DAY</t>
        </is>
      </c>
      <c r="T36" s="14">
        <f>U35</f>
        <v/>
      </c>
      <c r="U36" s="14" t="n">
        <v>4303</v>
      </c>
      <c r="V36" s="14">
        <f>U36-T36</f>
        <v/>
      </c>
      <c r="W36" s="3" t="n"/>
      <c r="X36" s="3" t="n"/>
      <c r="Y36" s="3" t="n"/>
      <c r="Z36" s="4" t="n"/>
      <c r="AA36" s="35" t="n"/>
      <c r="AB36" s="15" t="n"/>
      <c r="AC36" s="15" t="n"/>
      <c r="AD36" s="36" t="n"/>
      <c r="AE36" s="85">
        <f>AF35</f>
        <v/>
      </c>
      <c r="AF36" s="14" t="n">
        <v>68675</v>
      </c>
      <c r="AG36" s="151">
        <f>AF36-AE36</f>
        <v/>
      </c>
    </row>
    <row r="37">
      <c r="A37" s="42">
        <f>A36</f>
        <v/>
      </c>
      <c r="B37" s="24" t="inlineStr">
        <is>
          <t>NIGHT</t>
        </is>
      </c>
      <c r="C37" s="14">
        <f>D36</f>
        <v/>
      </c>
      <c r="D37" s="14" t="n">
        <v>6109</v>
      </c>
      <c r="E37" s="14">
        <f>D37-C37</f>
        <v/>
      </c>
      <c r="F37" s="3" t="n"/>
      <c r="G37" s="3" t="n"/>
      <c r="H37" s="3" t="n"/>
      <c r="I37" s="34" t="n"/>
      <c r="J37" s="35" t="n"/>
      <c r="K37" s="15" t="n"/>
      <c r="L37" s="15" t="n"/>
      <c r="M37" s="36" t="n"/>
      <c r="N37" s="14">
        <f>O36</f>
        <v/>
      </c>
      <c r="O37" s="14" t="n">
        <v>86203</v>
      </c>
      <c r="P37" s="151">
        <f>O37-N37</f>
        <v/>
      </c>
      <c r="Q37" s="84" t="n"/>
      <c r="R37" s="42">
        <f>R36</f>
        <v/>
      </c>
      <c r="S37" s="24" t="inlineStr">
        <is>
          <t>NIGHT</t>
        </is>
      </c>
      <c r="T37" s="14">
        <f>U36</f>
        <v/>
      </c>
      <c r="U37" s="14" t="n">
        <v>4309</v>
      </c>
      <c r="V37" s="14">
        <f>U37-T37</f>
        <v/>
      </c>
      <c r="W37" s="3" t="n"/>
      <c r="X37" s="3" t="n"/>
      <c r="Y37" s="3" t="n"/>
      <c r="Z37" s="4" t="n"/>
      <c r="AA37" s="35" t="n"/>
      <c r="AB37" s="15" t="n"/>
      <c r="AC37" s="15" t="n"/>
      <c r="AD37" s="36" t="n"/>
      <c r="AE37" s="85">
        <f>AF36</f>
        <v/>
      </c>
      <c r="AF37" s="14" t="n">
        <v>68771</v>
      </c>
      <c r="AG37" s="151">
        <f>AF37-AE37</f>
        <v/>
      </c>
    </row>
    <row r="38">
      <c r="A38" s="42">
        <f>A36+1</f>
        <v/>
      </c>
      <c r="B38" s="24" t="inlineStr">
        <is>
          <t>DAY</t>
        </is>
      </c>
      <c r="C38" s="14">
        <f>D37</f>
        <v/>
      </c>
      <c r="D38" s="14" t="n">
        <v>6115</v>
      </c>
      <c r="E38" s="14">
        <f>D38-C38</f>
        <v/>
      </c>
      <c r="F38" s="3" t="n">
        <v>151</v>
      </c>
      <c r="G38" s="3" t="n">
        <v>6109</v>
      </c>
      <c r="H38" s="3">
        <f>G38-G34</f>
        <v/>
      </c>
      <c r="I38" s="34">
        <f>F38/H38</f>
        <v/>
      </c>
      <c r="J38" s="35" t="n"/>
      <c r="K38" s="15" t="n"/>
      <c r="L38" s="15" t="n"/>
      <c r="M38" s="36" t="n"/>
      <c r="N38" s="14">
        <f>O37</f>
        <v/>
      </c>
      <c r="O38" s="14" t="n">
        <v>86292</v>
      </c>
      <c r="P38" s="151">
        <f>O38-N38</f>
        <v/>
      </c>
      <c r="Q38" s="84" t="n"/>
      <c r="R38" s="42">
        <f>R36+1</f>
        <v/>
      </c>
      <c r="S38" s="24" t="inlineStr">
        <is>
          <t>DAY</t>
        </is>
      </c>
      <c r="T38" s="14">
        <f>U37</f>
        <v/>
      </c>
      <c r="U38" s="14" t="n">
        <v>4314</v>
      </c>
      <c r="V38" s="14">
        <f>U38-T38</f>
        <v/>
      </c>
      <c r="W38" s="3" t="n">
        <v>200</v>
      </c>
      <c r="X38" s="3" t="n">
        <v>4311</v>
      </c>
      <c r="Y38" s="3">
        <f>X38-X34</f>
        <v/>
      </c>
      <c r="Z38" s="4">
        <f>W38/Y38</f>
        <v/>
      </c>
      <c r="AA38" s="35" t="n"/>
      <c r="AB38" s="15" t="n"/>
      <c r="AC38" s="15" t="n"/>
      <c r="AD38" s="36" t="n"/>
      <c r="AE38" s="85">
        <f>AF37</f>
        <v/>
      </c>
      <c r="AF38" s="14" t="n">
        <v>68844</v>
      </c>
      <c r="AG38" s="151">
        <f>AF38-AE38</f>
        <v/>
      </c>
    </row>
    <row r="39">
      <c r="A39" s="42">
        <f>A38</f>
        <v/>
      </c>
      <c r="B39" s="24" t="inlineStr">
        <is>
          <t>NIGHT</t>
        </is>
      </c>
      <c r="C39" s="14">
        <f>D38</f>
        <v/>
      </c>
      <c r="D39" s="14" t="n">
        <v>6123</v>
      </c>
      <c r="E39" s="14">
        <f>D39-C39</f>
        <v/>
      </c>
      <c r="F39" s="3" t="n"/>
      <c r="G39" s="3" t="n"/>
      <c r="H39" s="3" t="n"/>
      <c r="I39" s="34" t="n"/>
      <c r="J39" s="35" t="n"/>
      <c r="K39" s="15" t="n"/>
      <c r="L39" s="15" t="n"/>
      <c r="M39" s="36" t="n"/>
      <c r="N39" s="14">
        <f>O38</f>
        <v/>
      </c>
      <c r="O39" s="14" t="n">
        <v>86464</v>
      </c>
      <c r="P39" s="151">
        <f>O39-N39</f>
        <v/>
      </c>
      <c r="Q39" s="84" t="n"/>
      <c r="R39" s="42">
        <f>R38</f>
        <v/>
      </c>
      <c r="S39" s="24" t="inlineStr">
        <is>
          <t>NIGHT</t>
        </is>
      </c>
      <c r="T39" s="14">
        <f>U38</f>
        <v/>
      </c>
      <c r="U39" s="14" t="n">
        <v>4317</v>
      </c>
      <c r="V39" s="14">
        <f>U39-T39</f>
        <v/>
      </c>
      <c r="W39" s="3" t="n"/>
      <c r="X39" s="3" t="n"/>
      <c r="Y39" s="3" t="n"/>
      <c r="Z39" s="4" t="n"/>
      <c r="AA39" s="35" t="n"/>
      <c r="AB39" s="15" t="n"/>
      <c r="AC39" s="15" t="n"/>
      <c r="AD39" s="36" t="n"/>
      <c r="AE39" s="85">
        <f>AF38</f>
        <v/>
      </c>
      <c r="AF39" s="14" t="n">
        <v>68873</v>
      </c>
      <c r="AG39" s="151">
        <f>AF39-AE39</f>
        <v/>
      </c>
    </row>
    <row r="40">
      <c r="A40" s="42">
        <f>A38+1</f>
        <v/>
      </c>
      <c r="B40" s="24" t="inlineStr">
        <is>
          <t>DAY</t>
        </is>
      </c>
      <c r="C40" s="14">
        <f>D39</f>
        <v/>
      </c>
      <c r="D40" s="14" t="n">
        <v>6134</v>
      </c>
      <c r="E40" s="14">
        <f>D40-C40</f>
        <v/>
      </c>
      <c r="F40" s="3" t="n"/>
      <c r="G40" s="3" t="n"/>
      <c r="H40" s="3" t="n"/>
      <c r="I40" s="34" t="n"/>
      <c r="J40" s="61" t="n"/>
      <c r="K40" s="61" t="n"/>
      <c r="L40" s="62" t="n"/>
      <c r="M40" s="36" t="n"/>
      <c r="N40" s="14">
        <f>O39</f>
        <v/>
      </c>
      <c r="O40" s="87" t="n">
        <v>86678</v>
      </c>
      <c r="P40" s="151">
        <f>O40-N40</f>
        <v/>
      </c>
      <c r="Q40" s="84" t="n"/>
      <c r="R40" s="42">
        <f>R38+1</f>
        <v/>
      </c>
      <c r="S40" s="24" t="inlineStr">
        <is>
          <t>DAY</t>
        </is>
      </c>
      <c r="T40" s="14">
        <f>U39</f>
        <v/>
      </c>
      <c r="U40" s="14" t="n">
        <v>4323</v>
      </c>
      <c r="V40" s="14">
        <f>U40-T40</f>
        <v/>
      </c>
      <c r="W40" s="3" t="n"/>
      <c r="X40" s="3" t="n"/>
      <c r="Y40" s="3" t="n"/>
      <c r="Z40" s="4" t="n"/>
      <c r="AA40" s="35" t="n"/>
      <c r="AB40" s="15" t="n"/>
      <c r="AC40" s="15" t="n"/>
      <c r="AD40" s="36" t="n"/>
      <c r="AE40" s="85">
        <f>AF39</f>
        <v/>
      </c>
      <c r="AF40" s="14" t="n">
        <v>68995</v>
      </c>
      <c r="AG40" s="151">
        <f>AF40-AE40</f>
        <v/>
      </c>
    </row>
    <row r="41">
      <c r="A41" s="42">
        <f>A40</f>
        <v/>
      </c>
      <c r="B41" s="24" t="inlineStr">
        <is>
          <t>NIGHT</t>
        </is>
      </c>
      <c r="C41" s="14">
        <f>D40</f>
        <v/>
      </c>
      <c r="D41" s="14" t="n">
        <v>6144</v>
      </c>
      <c r="E41" s="14">
        <f>D41-C41</f>
        <v/>
      </c>
      <c r="F41" s="3" t="n"/>
      <c r="G41" s="3" t="n"/>
      <c r="H41" s="3" t="n"/>
      <c r="I41" s="34" t="n"/>
      <c r="J41" s="61" t="n"/>
      <c r="K41" s="61" t="n"/>
      <c r="L41" s="62" t="n"/>
      <c r="M41" s="36" t="n"/>
      <c r="N41" s="14">
        <f>O40</f>
        <v/>
      </c>
      <c r="O41" s="14" t="n">
        <v>86823</v>
      </c>
      <c r="P41" s="151">
        <f>O41-N41</f>
        <v/>
      </c>
      <c r="Q41" s="84" t="n"/>
      <c r="R41" s="42">
        <f>R40</f>
        <v/>
      </c>
      <c r="S41" s="24" t="inlineStr">
        <is>
          <t>NIGHT</t>
        </is>
      </c>
      <c r="T41" s="14">
        <f>U40</f>
        <v/>
      </c>
      <c r="U41" s="14" t="n">
        <v>4330</v>
      </c>
      <c r="V41" s="14">
        <f>U41-T41</f>
        <v/>
      </c>
      <c r="W41" s="3" t="n"/>
      <c r="X41" s="3" t="n"/>
      <c r="Y41" s="3" t="n"/>
      <c r="Z41" s="4" t="n"/>
      <c r="AA41" s="35" t="n"/>
      <c r="AB41" s="15" t="n"/>
      <c r="AC41" s="15" t="n"/>
      <c r="AD41" s="36" t="n"/>
      <c r="AE41" s="85">
        <f>AF40</f>
        <v/>
      </c>
      <c r="AF41" s="14" t="n">
        <v>69123</v>
      </c>
      <c r="AG41" s="151">
        <f>AF41-AE41</f>
        <v/>
      </c>
    </row>
    <row r="42">
      <c r="A42" s="42">
        <f>A40+1</f>
        <v/>
      </c>
      <c r="B42" s="24" t="inlineStr">
        <is>
          <t>DAY</t>
        </is>
      </c>
      <c r="C42" s="14">
        <f>D41</f>
        <v/>
      </c>
      <c r="D42" s="14" t="n">
        <v>6154</v>
      </c>
      <c r="E42" s="14">
        <f>D42-C42</f>
        <v/>
      </c>
      <c r="F42" s="3" t="n">
        <v>496</v>
      </c>
      <c r="G42" s="3" t="n">
        <v>6152</v>
      </c>
      <c r="H42" s="3">
        <f>G42-G38</f>
        <v/>
      </c>
      <c r="I42" s="34">
        <f>F42/H42</f>
        <v/>
      </c>
      <c r="J42" s="61" t="n"/>
      <c r="K42" s="61" t="n"/>
      <c r="L42" s="62" t="n"/>
      <c r="M42" s="36" t="n"/>
      <c r="N42" s="14">
        <f>O41</f>
        <v/>
      </c>
      <c r="O42" s="14" t="n">
        <v>86976</v>
      </c>
      <c r="P42" s="151">
        <f>O42-N42</f>
        <v/>
      </c>
      <c r="Q42" s="84" t="n"/>
      <c r="R42" s="42">
        <f>R40+1</f>
        <v/>
      </c>
      <c r="S42" s="24" t="inlineStr">
        <is>
          <t>DAY</t>
        </is>
      </c>
      <c r="T42" s="14">
        <f>U41</f>
        <v/>
      </c>
      <c r="U42" s="14" t="n">
        <v>4335</v>
      </c>
      <c r="V42" s="14">
        <f>U42-T42</f>
        <v/>
      </c>
      <c r="W42" s="3" t="n"/>
      <c r="X42" s="3" t="n"/>
      <c r="Y42" s="3" t="n"/>
      <c r="Z42" s="4" t="n"/>
      <c r="AA42" s="33" t="n"/>
      <c r="AB42" s="4" t="n"/>
      <c r="AC42" s="4" t="n"/>
      <c r="AD42" s="34" t="n"/>
      <c r="AE42" s="85">
        <f>AF41</f>
        <v/>
      </c>
      <c r="AF42" s="14" t="n">
        <v>69174</v>
      </c>
      <c r="AG42" s="151">
        <f>AF42-AE42</f>
        <v/>
      </c>
    </row>
    <row r="43">
      <c r="A43" s="42">
        <f>A42</f>
        <v/>
      </c>
      <c r="B43" s="24" t="inlineStr">
        <is>
          <t>NIGHT</t>
        </is>
      </c>
      <c r="C43" s="14">
        <f>D42</f>
        <v/>
      </c>
      <c r="D43" s="14" t="n">
        <v>6160</v>
      </c>
      <c r="E43" s="14">
        <f>D43-C43</f>
        <v/>
      </c>
      <c r="F43" s="3" t="n"/>
      <c r="G43" s="3" t="n"/>
      <c r="H43" s="3" t="n"/>
      <c r="I43" s="34" t="n"/>
      <c r="J43" s="61" t="n"/>
      <c r="K43" s="61" t="n"/>
      <c r="L43" s="62" t="n"/>
      <c r="M43" s="36" t="n"/>
      <c r="N43" s="14">
        <f>O42</f>
        <v/>
      </c>
      <c r="O43" s="14" t="n">
        <v>87056</v>
      </c>
      <c r="P43" s="151">
        <f>O43-N43</f>
        <v/>
      </c>
      <c r="Q43" s="84" t="n"/>
      <c r="R43" s="42">
        <f>R42</f>
        <v/>
      </c>
      <c r="S43" s="24" t="inlineStr">
        <is>
          <t>NIGHT</t>
        </is>
      </c>
      <c r="T43" s="14">
        <f>U42</f>
        <v/>
      </c>
      <c r="U43" s="14" t="n">
        <v>4342</v>
      </c>
      <c r="V43" s="14">
        <f>U43-T43</f>
        <v/>
      </c>
      <c r="W43" s="3" t="n"/>
      <c r="X43" s="3" t="n"/>
      <c r="Y43" s="3" t="n"/>
      <c r="Z43" s="4" t="n"/>
      <c r="AA43" s="35" t="n"/>
      <c r="AB43" s="15" t="n"/>
      <c r="AC43" s="15" t="n"/>
      <c r="AD43" s="36" t="n"/>
      <c r="AE43" s="85">
        <f>AF42</f>
        <v/>
      </c>
      <c r="AF43" s="14" t="n">
        <v>69313</v>
      </c>
      <c r="AG43" s="151">
        <f>AF43-AE43</f>
        <v/>
      </c>
    </row>
    <row r="44">
      <c r="A44" s="42">
        <f>A42+1</f>
        <v/>
      </c>
      <c r="B44" s="24" t="inlineStr">
        <is>
          <t>DAY</t>
        </is>
      </c>
      <c r="C44" s="14">
        <f>D43</f>
        <v/>
      </c>
      <c r="D44" s="14" t="n">
        <v>6172</v>
      </c>
      <c r="E44" s="14">
        <f>D44-C44</f>
        <v/>
      </c>
      <c r="F44" s="3" t="n"/>
      <c r="G44" s="3" t="n"/>
      <c r="H44" s="3" t="n"/>
      <c r="I44" s="34" t="n"/>
      <c r="J44" s="61" t="n"/>
      <c r="K44" s="61" t="n"/>
      <c r="L44" s="62" t="n"/>
      <c r="M44" s="36" t="n"/>
      <c r="N44" s="14">
        <f>O43</f>
        <v/>
      </c>
      <c r="O44" s="14" t="n">
        <v>87260</v>
      </c>
      <c r="P44" s="151">
        <f>O44-N44</f>
        <v/>
      </c>
      <c r="Q44" s="84" t="n"/>
      <c r="R44" s="42">
        <f>R42+1</f>
        <v/>
      </c>
      <c r="S44" s="24" t="inlineStr">
        <is>
          <t>DAY</t>
        </is>
      </c>
      <c r="T44" s="14">
        <f>U43</f>
        <v/>
      </c>
      <c r="U44" s="14" t="n">
        <v>4348</v>
      </c>
      <c r="V44" s="14">
        <f>U44-T44</f>
        <v/>
      </c>
      <c r="W44" s="3" t="n"/>
      <c r="X44" s="3" t="n"/>
      <c r="Y44" s="3" t="n"/>
      <c r="Z44" s="4" t="n"/>
      <c r="AA44" s="35" t="n"/>
      <c r="AB44" s="15" t="n"/>
      <c r="AC44" s="15" t="n"/>
      <c r="AD44" s="36" t="n"/>
      <c r="AE44" s="85">
        <f>AF43</f>
        <v/>
      </c>
      <c r="AF44" s="14" t="n">
        <v>69347</v>
      </c>
      <c r="AG44" s="151">
        <f>AF44-AE44</f>
        <v/>
      </c>
    </row>
    <row r="45">
      <c r="A45" s="42">
        <f>A44</f>
        <v/>
      </c>
      <c r="B45" s="24" t="inlineStr">
        <is>
          <t>NIGHT</t>
        </is>
      </c>
      <c r="C45" s="14">
        <f>D44</f>
        <v/>
      </c>
      <c r="D45" s="14" t="n">
        <v>6182</v>
      </c>
      <c r="E45" s="14">
        <f>D45-C45</f>
        <v/>
      </c>
      <c r="F45" s="3" t="n"/>
      <c r="G45" s="3" t="n"/>
      <c r="H45" s="3" t="n"/>
      <c r="I45" s="34" t="n"/>
      <c r="J45" s="61" t="n"/>
      <c r="K45" s="61" t="n"/>
      <c r="L45" s="62" t="n"/>
      <c r="M45" s="36" t="n"/>
      <c r="N45" s="14">
        <f>O44</f>
        <v/>
      </c>
      <c r="O45" s="14" t="n">
        <v>87437</v>
      </c>
      <c r="P45" s="151">
        <f>O45-N45</f>
        <v/>
      </c>
      <c r="Q45" s="84" t="n"/>
      <c r="R45" s="42">
        <f>R44</f>
        <v/>
      </c>
      <c r="S45" s="24" t="inlineStr">
        <is>
          <t>NIGHT</t>
        </is>
      </c>
      <c r="T45" s="14">
        <f>U44</f>
        <v/>
      </c>
      <c r="U45" s="14" t="n">
        <v>4352</v>
      </c>
      <c r="V45" s="14">
        <f>U45-T45</f>
        <v/>
      </c>
      <c r="W45" s="3" t="n"/>
      <c r="X45" s="3" t="n"/>
      <c r="Y45" s="3" t="n"/>
      <c r="Z45" s="4" t="n"/>
      <c r="AA45" s="35" t="n"/>
      <c r="AB45" s="15" t="n"/>
      <c r="AC45" s="15" t="n"/>
      <c r="AD45" s="36" t="n"/>
      <c r="AE45" s="85">
        <f>AF44</f>
        <v/>
      </c>
      <c r="AF45" s="14" t="n">
        <v>69383</v>
      </c>
      <c r="AG45" s="151">
        <f>AF45-AE45</f>
        <v/>
      </c>
    </row>
    <row r="46">
      <c r="A46" s="42">
        <f>A44+1</f>
        <v/>
      </c>
      <c r="B46" s="24" t="inlineStr">
        <is>
          <t>DAY</t>
        </is>
      </c>
      <c r="C46" s="14">
        <f>D45</f>
        <v/>
      </c>
      <c r="D46" s="14" t="n">
        <v>6192</v>
      </c>
      <c r="E46" s="14">
        <f>D46-C46</f>
        <v/>
      </c>
      <c r="F46" s="3" t="n">
        <v>483</v>
      </c>
      <c r="G46" s="3" t="n">
        <v>6189</v>
      </c>
      <c r="H46" s="3">
        <f>G46-G42</f>
        <v/>
      </c>
      <c r="I46" s="34">
        <f>F46/H46</f>
        <v/>
      </c>
      <c r="J46" s="61" t="n"/>
      <c r="K46" s="61" t="n"/>
      <c r="L46" s="62" t="n"/>
      <c r="M46" s="36" t="n"/>
      <c r="N46" s="14">
        <f>O45</f>
        <v/>
      </c>
      <c r="O46" s="14" t="n">
        <v>87558</v>
      </c>
      <c r="P46" s="151">
        <f>O46-N46</f>
        <v/>
      </c>
      <c r="Q46" s="84" t="n"/>
      <c r="R46" s="42">
        <f>R44+1</f>
        <v/>
      </c>
      <c r="S46" s="24" t="inlineStr">
        <is>
          <t>DAY</t>
        </is>
      </c>
      <c r="T46" s="14">
        <f>U45</f>
        <v/>
      </c>
      <c r="U46" s="14" t="n">
        <v>4356</v>
      </c>
      <c r="V46" s="14">
        <f>U46-T46</f>
        <v/>
      </c>
      <c r="W46" s="86" t="n">
        <v>740</v>
      </c>
      <c r="X46" s="3" t="n">
        <v>4356</v>
      </c>
      <c r="Y46" s="3">
        <f>X46-X38</f>
        <v/>
      </c>
      <c r="Z46" s="4">
        <f>W46/Y46</f>
        <v/>
      </c>
      <c r="AA46" s="81" t="n"/>
      <c r="AB46" s="15" t="n"/>
      <c r="AC46" s="15" t="n"/>
      <c r="AD46" s="36" t="n"/>
      <c r="AE46" s="85">
        <f>AF45</f>
        <v/>
      </c>
      <c r="AF46" s="14" t="n">
        <v>69487</v>
      </c>
      <c r="AG46" s="151">
        <f>AF46-AE46</f>
        <v/>
      </c>
    </row>
    <row r="47">
      <c r="A47" s="42">
        <f>A46</f>
        <v/>
      </c>
      <c r="B47" s="24" t="inlineStr">
        <is>
          <t>NIGHT</t>
        </is>
      </c>
      <c r="C47" s="14">
        <f>D46</f>
        <v/>
      </c>
      <c r="D47" s="14" t="n">
        <v>6199</v>
      </c>
      <c r="E47" s="14">
        <f>D47-C47</f>
        <v/>
      </c>
      <c r="F47" s="3" t="n"/>
      <c r="G47" s="3" t="n"/>
      <c r="H47" s="3" t="n"/>
      <c r="I47" s="34" t="n"/>
      <c r="J47" s="33" t="n"/>
      <c r="K47" s="4" t="n"/>
      <c r="L47" s="4" t="n"/>
      <c r="M47" s="34" t="n"/>
      <c r="N47" s="14">
        <f>O46</f>
        <v/>
      </c>
      <c r="O47" s="14" t="n">
        <v>87669</v>
      </c>
      <c r="P47" s="151">
        <f>O47-N47</f>
        <v/>
      </c>
      <c r="Q47" s="84" t="n"/>
      <c r="R47" s="100">
        <f>R46</f>
        <v/>
      </c>
      <c r="S47" s="7" t="inlineStr">
        <is>
          <t>NIGHT</t>
        </is>
      </c>
      <c r="T47" s="14">
        <f>U46</f>
        <v/>
      </c>
      <c r="U47" s="1" t="n">
        <v>4369</v>
      </c>
      <c r="V47" s="1">
        <f>U47-T47</f>
        <v/>
      </c>
      <c r="W47" s="101" t="n"/>
      <c r="X47" s="101" t="n"/>
      <c r="Y47" s="101" t="n"/>
      <c r="Z47" s="102" t="n"/>
      <c r="AA47" s="103" t="n"/>
      <c r="AB47" s="103" t="n"/>
      <c r="AC47" s="104" t="n"/>
      <c r="AD47" s="105" t="n"/>
      <c r="AE47" s="85">
        <f>AF46</f>
        <v/>
      </c>
      <c r="AF47" s="1" t="n">
        <v>69608</v>
      </c>
      <c r="AG47" s="9">
        <f>AF47-AE47</f>
        <v/>
      </c>
    </row>
    <row r="48">
      <c r="A48" s="42">
        <f>A46+1</f>
        <v/>
      </c>
      <c r="B48" s="24" t="inlineStr">
        <is>
          <t>DAY</t>
        </is>
      </c>
      <c r="C48" s="14">
        <f>D47</f>
        <v/>
      </c>
      <c r="D48" s="14" t="n">
        <v>6206</v>
      </c>
      <c r="E48" s="14">
        <f>D48-C48</f>
        <v/>
      </c>
      <c r="F48" s="3" t="n"/>
      <c r="G48" s="3" t="n"/>
      <c r="H48" s="3" t="n"/>
      <c r="I48" s="34" t="n"/>
      <c r="J48" s="35" t="n"/>
      <c r="K48" s="15" t="n"/>
      <c r="L48" s="15" t="n"/>
      <c r="M48" s="36" t="n"/>
      <c r="N48" s="14">
        <f>O47</f>
        <v/>
      </c>
      <c r="O48" s="14" t="n">
        <v>87725</v>
      </c>
      <c r="P48" s="151">
        <f>O48-N48</f>
        <v/>
      </c>
      <c r="Q48" s="84" t="n"/>
      <c r="R48" s="42">
        <f>R46+1</f>
        <v/>
      </c>
      <c r="S48" s="24" t="inlineStr">
        <is>
          <t>DAY</t>
        </is>
      </c>
      <c r="T48" s="14">
        <f>U47</f>
        <v/>
      </c>
      <c r="U48" s="14" t="n">
        <v>4374</v>
      </c>
      <c r="V48" s="14">
        <f>U48-T48</f>
        <v/>
      </c>
      <c r="W48" s="3" t="n"/>
      <c r="X48" s="3" t="n"/>
      <c r="Y48" s="3" t="n"/>
      <c r="Z48" s="4" t="n"/>
      <c r="AA48" s="81" t="n"/>
      <c r="AB48" s="81" t="n"/>
      <c r="AC48" s="62" t="n"/>
      <c r="AD48" s="36" t="n"/>
      <c r="AE48" s="85">
        <f>AF47</f>
        <v/>
      </c>
      <c r="AF48" s="14" t="n">
        <v>69712</v>
      </c>
      <c r="AG48" s="151">
        <f>AF48-AE48</f>
        <v/>
      </c>
    </row>
    <row r="49">
      <c r="A49" s="42">
        <f>A48</f>
        <v/>
      </c>
      <c r="B49" s="24" t="inlineStr">
        <is>
          <t>NIGHT</t>
        </is>
      </c>
      <c r="C49" s="14">
        <f>D48</f>
        <v/>
      </c>
      <c r="D49" s="14" t="n">
        <v>6210</v>
      </c>
      <c r="E49" s="14">
        <f>D49-C49</f>
        <v/>
      </c>
      <c r="F49" s="3" t="n"/>
      <c r="G49" s="3" t="n"/>
      <c r="H49" s="3" t="n"/>
      <c r="I49" s="34" t="n"/>
      <c r="J49" s="35" t="n"/>
      <c r="K49" s="15" t="n"/>
      <c r="L49" s="15" t="n"/>
      <c r="M49" s="36" t="n"/>
      <c r="N49" s="14">
        <f>O48</f>
        <v/>
      </c>
      <c r="O49" s="14" t="n">
        <v>87782</v>
      </c>
      <c r="P49" s="151">
        <f>O49-N49</f>
        <v/>
      </c>
      <c r="Q49" s="84" t="n"/>
      <c r="R49" s="42">
        <f>R48</f>
        <v/>
      </c>
      <c r="S49" s="24" t="inlineStr">
        <is>
          <t>NIGHT</t>
        </is>
      </c>
      <c r="T49" s="14">
        <f>U48</f>
        <v/>
      </c>
      <c r="U49" s="14" t="n">
        <v>4382</v>
      </c>
      <c r="V49" s="14">
        <f>U49-T49</f>
        <v/>
      </c>
      <c r="W49" s="3" t="n"/>
      <c r="X49" s="3" t="n"/>
      <c r="Y49" s="3" t="n"/>
      <c r="Z49" s="4" t="n"/>
      <c r="AA49" s="35" t="n"/>
      <c r="AB49" s="15" t="n"/>
      <c r="AC49" s="15" t="n"/>
      <c r="AD49" s="36" t="n"/>
      <c r="AE49" s="85">
        <f>AF48</f>
        <v/>
      </c>
      <c r="AF49" s="14" t="n">
        <v>69785</v>
      </c>
      <c r="AG49" s="151">
        <f>AF49-AE49</f>
        <v/>
      </c>
    </row>
    <row r="50">
      <c r="A50" s="42">
        <f>A48+1</f>
        <v/>
      </c>
      <c r="B50" s="24" t="inlineStr">
        <is>
          <t>DAY</t>
        </is>
      </c>
      <c r="C50" s="14">
        <f>D49</f>
        <v/>
      </c>
      <c r="D50" s="14" t="n">
        <v>6220</v>
      </c>
      <c r="E50" s="14">
        <f>D50-C50</f>
        <v/>
      </c>
      <c r="F50" s="3" t="n"/>
      <c r="G50" s="3" t="n"/>
      <c r="H50" s="3" t="n"/>
      <c r="I50" s="34" t="n"/>
      <c r="J50" s="35" t="n"/>
      <c r="K50" s="15" t="n"/>
      <c r="L50" s="15" t="n"/>
      <c r="M50" s="36" t="n"/>
      <c r="N50" s="14">
        <f>O49</f>
        <v/>
      </c>
      <c r="O50" s="14" t="n">
        <v>87940</v>
      </c>
      <c r="P50" s="151">
        <f>O50-N50</f>
        <v/>
      </c>
      <c r="Q50" s="84" t="n"/>
      <c r="R50" s="42">
        <f>R48+1</f>
        <v/>
      </c>
      <c r="S50" s="24" t="inlineStr">
        <is>
          <t>DAY</t>
        </is>
      </c>
      <c r="T50" s="14">
        <f>U49</f>
        <v/>
      </c>
      <c r="U50" s="14" t="n">
        <v>4386</v>
      </c>
      <c r="V50" s="14">
        <f>U50-T50</f>
        <v/>
      </c>
      <c r="W50" s="3" t="n"/>
      <c r="X50" s="3" t="n"/>
      <c r="Y50" s="3" t="n"/>
      <c r="Z50" s="4" t="n"/>
      <c r="AA50" s="35" t="n"/>
      <c r="AB50" s="15" t="n"/>
      <c r="AC50" s="15" t="n"/>
      <c r="AD50" s="36" t="n"/>
      <c r="AE50" s="85">
        <f>AF49</f>
        <v/>
      </c>
      <c r="AF50" s="14" t="n">
        <v>69853</v>
      </c>
      <c r="AG50" s="151">
        <f>AF50-AE50</f>
        <v/>
      </c>
    </row>
    <row r="51">
      <c r="A51" s="42">
        <f>A50</f>
        <v/>
      </c>
      <c r="B51" s="24" t="inlineStr">
        <is>
          <t>NIGHT</t>
        </is>
      </c>
      <c r="C51" s="14">
        <f>D50</f>
        <v/>
      </c>
      <c r="D51" s="14" t="n">
        <v>6228</v>
      </c>
      <c r="E51" s="14">
        <f>D51-C51</f>
        <v/>
      </c>
      <c r="F51" s="3" t="n"/>
      <c r="G51" s="3" t="n"/>
      <c r="H51" s="3" t="n"/>
      <c r="I51" s="34" t="n"/>
      <c r="J51" s="35" t="n"/>
      <c r="K51" s="15" t="n"/>
      <c r="L51" s="15" t="n"/>
      <c r="M51" s="36" t="n"/>
      <c r="N51" s="14">
        <f>O50</f>
        <v/>
      </c>
      <c r="O51" s="14" t="n">
        <v>88073</v>
      </c>
      <c r="P51" s="151">
        <f>O51-N51</f>
        <v/>
      </c>
      <c r="Q51" s="84" t="n"/>
      <c r="R51" s="42">
        <f>R50</f>
        <v/>
      </c>
      <c r="S51" s="24" t="inlineStr">
        <is>
          <t>NIGHT</t>
        </is>
      </c>
      <c r="T51" s="14">
        <f>U50</f>
        <v/>
      </c>
      <c r="U51" s="14" t="n">
        <v>4386</v>
      </c>
      <c r="V51" s="14">
        <f>U51-T51</f>
        <v/>
      </c>
      <c r="W51" s="3" t="n"/>
      <c r="X51" s="3" t="n"/>
      <c r="Y51" s="3" t="n"/>
      <c r="Z51" s="4" t="n"/>
      <c r="AA51" s="35" t="n"/>
      <c r="AB51" s="15" t="n"/>
      <c r="AC51" s="15" t="n"/>
      <c r="AD51" s="36" t="n"/>
      <c r="AE51" s="85">
        <f>AF50</f>
        <v/>
      </c>
      <c r="AF51" s="14" t="n">
        <v>69853</v>
      </c>
      <c r="AG51" s="151">
        <f>AF51-AE51</f>
        <v/>
      </c>
    </row>
    <row r="52">
      <c r="A52" s="42">
        <f>A50+1</f>
        <v/>
      </c>
      <c r="B52" s="24" t="inlineStr">
        <is>
          <t>DAY</t>
        </is>
      </c>
      <c r="C52" s="14">
        <f>D51</f>
        <v/>
      </c>
      <c r="D52" s="14" t="n">
        <v>6237</v>
      </c>
      <c r="E52" s="14">
        <f>D52-C52</f>
        <v/>
      </c>
      <c r="F52" s="3" t="n">
        <v>532</v>
      </c>
      <c r="G52" s="3" t="n">
        <v>6229</v>
      </c>
      <c r="H52" s="3">
        <f>G52-G46</f>
        <v/>
      </c>
      <c r="I52" s="34">
        <f>F52/H52</f>
        <v/>
      </c>
      <c r="J52" s="35" t="n"/>
      <c r="K52" s="15" t="n"/>
      <c r="L52" s="15" t="n"/>
      <c r="M52" s="36" t="n"/>
      <c r="N52" s="14">
        <f>O51</f>
        <v/>
      </c>
      <c r="O52" s="14" t="n">
        <v>88236</v>
      </c>
      <c r="P52" s="151">
        <f>O52-N52</f>
        <v/>
      </c>
      <c r="Q52" s="84" t="n"/>
      <c r="R52" s="42">
        <f>R50+1</f>
        <v/>
      </c>
      <c r="S52" s="24" t="inlineStr">
        <is>
          <t>DAY</t>
        </is>
      </c>
      <c r="T52" s="14">
        <f>U51</f>
        <v/>
      </c>
      <c r="U52" s="14" t="n">
        <v>4389</v>
      </c>
      <c r="V52" s="14">
        <f>U52-T52</f>
        <v/>
      </c>
      <c r="W52" s="3" t="n">
        <v>400</v>
      </c>
      <c r="X52" s="3" t="n">
        <v>4386</v>
      </c>
      <c r="Y52" s="3">
        <f>X52-X38</f>
        <v/>
      </c>
      <c r="Z52" s="4">
        <f>W52/Y52</f>
        <v/>
      </c>
      <c r="AA52" s="35" t="n"/>
      <c r="AB52" s="15" t="n"/>
      <c r="AC52" s="15" t="n"/>
      <c r="AD52" s="36" t="n"/>
      <c r="AE52" s="85">
        <f>AF51</f>
        <v/>
      </c>
      <c r="AF52" s="14" t="n">
        <v>69901</v>
      </c>
      <c r="AG52" s="151">
        <f>AF52-AE52</f>
        <v/>
      </c>
    </row>
    <row r="53">
      <c r="A53" s="42">
        <f>A52</f>
        <v/>
      </c>
      <c r="B53" s="24" t="inlineStr">
        <is>
          <t>NIGHT</t>
        </is>
      </c>
      <c r="C53" s="14">
        <f>D52</f>
        <v/>
      </c>
      <c r="D53" s="14" t="n">
        <v>6243</v>
      </c>
      <c r="E53" s="14">
        <f>D53-C53</f>
        <v/>
      </c>
      <c r="F53" s="3" t="n"/>
      <c r="G53" s="3" t="n"/>
      <c r="H53" s="3" t="n"/>
      <c r="I53" s="34" t="n"/>
      <c r="J53" s="35" t="n"/>
      <c r="K53" s="15" t="n"/>
      <c r="L53" s="15" t="n"/>
      <c r="M53" s="36" t="n"/>
      <c r="N53" s="14">
        <f>O52</f>
        <v/>
      </c>
      <c r="O53" s="14" t="n">
        <v>88351</v>
      </c>
      <c r="P53" s="151">
        <f>O53-N53</f>
        <v/>
      </c>
      <c r="Q53" s="84" t="n"/>
      <c r="R53" s="42">
        <f>R52</f>
        <v/>
      </c>
      <c r="S53" s="24" t="inlineStr">
        <is>
          <t>NIGHT</t>
        </is>
      </c>
      <c r="T53" s="14">
        <f>U52</f>
        <v/>
      </c>
      <c r="U53" s="14" t="n">
        <v>4400</v>
      </c>
      <c r="V53" s="14">
        <f>U53-T53</f>
        <v/>
      </c>
      <c r="W53" s="3" t="n"/>
      <c r="X53" s="3" t="n"/>
      <c r="Y53" s="3" t="n"/>
      <c r="Z53" s="4" t="n"/>
      <c r="AA53" s="35" t="n"/>
      <c r="AB53" s="15" t="n"/>
      <c r="AC53" s="15" t="n"/>
      <c r="AD53" s="36" t="n"/>
      <c r="AE53" s="85">
        <f>AF52</f>
        <v/>
      </c>
      <c r="AF53" s="14" t="n">
        <v>70095</v>
      </c>
      <c r="AG53" s="151">
        <f>AF53-AE53</f>
        <v/>
      </c>
    </row>
    <row r="54">
      <c r="A54" s="42">
        <f>A52+1</f>
        <v/>
      </c>
      <c r="B54" s="24" t="inlineStr">
        <is>
          <t>DAY</t>
        </is>
      </c>
      <c r="C54" s="14">
        <f>D53</f>
        <v/>
      </c>
      <c r="D54" s="14" t="n">
        <v>6253</v>
      </c>
      <c r="E54" s="14">
        <f>D54-C54</f>
        <v/>
      </c>
      <c r="F54" s="3" t="n"/>
      <c r="G54" s="3" t="n"/>
      <c r="H54" s="3" t="n"/>
      <c r="I54" s="34" t="n"/>
      <c r="J54" s="35" t="n"/>
      <c r="K54" s="15" t="n"/>
      <c r="L54" s="15" t="n"/>
      <c r="M54" s="36" t="n"/>
      <c r="N54" s="14">
        <f>O53</f>
        <v/>
      </c>
      <c r="O54" s="86" t="n">
        <v>88499</v>
      </c>
      <c r="P54" s="151">
        <f>O54-N54</f>
        <v/>
      </c>
      <c r="Q54" s="84" t="n"/>
      <c r="R54" s="42">
        <f>R52+1</f>
        <v/>
      </c>
      <c r="S54" s="24" t="inlineStr">
        <is>
          <t>DAY</t>
        </is>
      </c>
      <c r="T54" s="14">
        <f>U53</f>
        <v/>
      </c>
      <c r="U54" s="14" t="n">
        <v>4409</v>
      </c>
      <c r="V54" s="14">
        <f>U54-T54</f>
        <v/>
      </c>
      <c r="W54" s="3" t="n"/>
      <c r="X54" s="3" t="n"/>
      <c r="Y54" s="3" t="n"/>
      <c r="Z54" s="4" t="n"/>
      <c r="AA54" s="35" t="n"/>
      <c r="AB54" s="15" t="n"/>
      <c r="AC54" s="15" t="n"/>
      <c r="AD54" s="36" t="n"/>
      <c r="AE54" s="85">
        <f>AF53</f>
        <v/>
      </c>
      <c r="AF54" s="14" t="n">
        <v>70241</v>
      </c>
      <c r="AG54" s="151">
        <f>AF54-AE54</f>
        <v/>
      </c>
    </row>
    <row r="55">
      <c r="A55" s="42">
        <f>A54</f>
        <v/>
      </c>
      <c r="B55" s="24" t="inlineStr">
        <is>
          <t>NIGHT</t>
        </is>
      </c>
      <c r="C55" s="14">
        <f>D54</f>
        <v/>
      </c>
      <c r="D55" s="14" t="n">
        <v>6262</v>
      </c>
      <c r="E55" s="14">
        <f>D55-C55</f>
        <v/>
      </c>
      <c r="F55" s="3" t="n"/>
      <c r="G55" s="3" t="n"/>
      <c r="H55" s="3" t="n"/>
      <c r="I55" s="34" t="n"/>
      <c r="J55" s="35" t="n"/>
      <c r="K55" s="15" t="n"/>
      <c r="L55" s="15" t="n"/>
      <c r="M55" s="36" t="n"/>
      <c r="N55" s="14">
        <f>O54</f>
        <v/>
      </c>
      <c r="O55" s="14" t="n">
        <v>88644</v>
      </c>
      <c r="P55" s="151">
        <f>O55-N55</f>
        <v/>
      </c>
      <c r="Q55" s="84" t="n"/>
      <c r="R55" s="42">
        <f>R54</f>
        <v/>
      </c>
      <c r="S55" s="24" t="inlineStr">
        <is>
          <t>NIGHT</t>
        </is>
      </c>
      <c r="T55" s="14">
        <f>U54</f>
        <v/>
      </c>
      <c r="U55" s="14" t="n">
        <v>4415</v>
      </c>
      <c r="V55" s="14">
        <f>U55-T55</f>
        <v/>
      </c>
      <c r="W55" s="3" t="n"/>
      <c r="X55" s="3" t="n"/>
      <c r="Y55" s="3" t="n"/>
      <c r="Z55" s="4" t="n"/>
      <c r="AA55" s="35" t="n"/>
      <c r="AB55" s="15" t="n"/>
      <c r="AC55" s="15" t="n"/>
      <c r="AD55" s="36" t="n"/>
      <c r="AE55" s="85">
        <f>AF54</f>
        <v/>
      </c>
      <c r="AF55" s="86" t="n">
        <v>70293</v>
      </c>
      <c r="AG55" s="151">
        <f>AF55-AE55</f>
        <v/>
      </c>
    </row>
    <row r="56">
      <c r="A56" s="42">
        <f>A54+1</f>
        <v/>
      </c>
      <c r="B56" s="24" t="inlineStr">
        <is>
          <t>DAY</t>
        </is>
      </c>
      <c r="C56" s="14">
        <f>D55</f>
        <v/>
      </c>
      <c r="D56" s="14" t="n">
        <v>6271</v>
      </c>
      <c r="E56" s="14">
        <f>D56-C56</f>
        <v/>
      </c>
      <c r="F56" s="3" t="n">
        <v>406</v>
      </c>
      <c r="G56" s="3" t="n">
        <v>6265</v>
      </c>
      <c r="H56" s="3">
        <f>G56-G52</f>
        <v/>
      </c>
      <c r="I56" s="34">
        <f>F56/H56</f>
        <v/>
      </c>
      <c r="J56" s="50" t="n"/>
      <c r="K56" s="14" t="n"/>
      <c r="L56" s="14" t="n"/>
      <c r="M56" s="151" t="n"/>
      <c r="N56" s="14">
        <f>O55</f>
        <v/>
      </c>
      <c r="O56" s="14" t="n">
        <v>88784</v>
      </c>
      <c r="P56" s="151">
        <f>O56-N56</f>
        <v/>
      </c>
      <c r="Q56" s="84" t="n"/>
      <c r="R56" s="42">
        <f>R54+1</f>
        <v/>
      </c>
      <c r="S56" s="24" t="inlineStr">
        <is>
          <t>DAY</t>
        </is>
      </c>
      <c r="T56" s="14">
        <f>U55</f>
        <v/>
      </c>
      <c r="U56" s="14" t="n">
        <v>4423</v>
      </c>
      <c r="V56" s="14">
        <f>U56-T56</f>
        <v/>
      </c>
      <c r="W56" s="3" t="n">
        <v>504</v>
      </c>
      <c r="X56" s="3" t="n">
        <v>4418</v>
      </c>
      <c r="Y56" s="3">
        <f>X56-X52</f>
        <v/>
      </c>
      <c r="Z56" s="4">
        <f>W56/Y56</f>
        <v/>
      </c>
      <c r="AA56" s="61" t="n"/>
      <c r="AB56" s="62" t="n"/>
      <c r="AC56" s="62" t="n"/>
      <c r="AD56" s="151" t="n"/>
      <c r="AE56" s="85">
        <f>AF55</f>
        <v/>
      </c>
      <c r="AF56" s="14" t="n">
        <v>70349</v>
      </c>
      <c r="AG56" s="151">
        <f>AF56-AE56</f>
        <v/>
      </c>
    </row>
    <row r="57">
      <c r="A57" s="42">
        <f>A56</f>
        <v/>
      </c>
      <c r="B57" s="24" t="inlineStr">
        <is>
          <t>NIGHT</t>
        </is>
      </c>
      <c r="C57" s="14">
        <f>D56</f>
        <v/>
      </c>
      <c r="D57" s="14" t="n">
        <v>6277</v>
      </c>
      <c r="E57" s="14">
        <f>D57-C57</f>
        <v/>
      </c>
      <c r="F57" s="3" t="n"/>
      <c r="G57" s="3" t="n"/>
      <c r="H57" s="3" t="n"/>
      <c r="I57" s="34" t="n"/>
      <c r="J57" s="50" t="n"/>
      <c r="K57" s="14" t="n"/>
      <c r="L57" s="14" t="n"/>
      <c r="M57" s="151" t="n"/>
      <c r="N57" s="14">
        <f>O56</f>
        <v/>
      </c>
      <c r="O57" s="14" t="n">
        <v>88845</v>
      </c>
      <c r="P57" s="151">
        <f>O57-N57</f>
        <v/>
      </c>
      <c r="Q57" s="84" t="n"/>
      <c r="R57" s="42">
        <f>R56</f>
        <v/>
      </c>
      <c r="S57" s="24" t="inlineStr">
        <is>
          <t>NIGHT</t>
        </is>
      </c>
      <c r="T57" s="14">
        <f>U56</f>
        <v/>
      </c>
      <c r="U57" s="14" t="n">
        <v>4433</v>
      </c>
      <c r="V57" s="14">
        <f>U57-T57</f>
        <v/>
      </c>
      <c r="W57" s="3" t="n"/>
      <c r="X57" s="3" t="n"/>
      <c r="Y57" s="3" t="n"/>
      <c r="Z57" s="4" t="n"/>
      <c r="AA57" s="50" t="n"/>
      <c r="AB57" s="14" t="n"/>
      <c r="AC57" s="14" t="n"/>
      <c r="AD57" s="151" t="n"/>
      <c r="AE57" s="85">
        <f>AF56</f>
        <v/>
      </c>
      <c r="AF57" s="14" t="n">
        <v>70554</v>
      </c>
      <c r="AG57" s="151">
        <f>AF57-AE57</f>
        <v/>
      </c>
    </row>
    <row r="58">
      <c r="A58" s="42">
        <f>A56+1</f>
        <v/>
      </c>
      <c r="B58" s="24" t="inlineStr">
        <is>
          <t>DAY</t>
        </is>
      </c>
      <c r="C58" s="14">
        <f>D57</f>
        <v/>
      </c>
      <c r="D58" s="14" t="n">
        <v>6280</v>
      </c>
      <c r="E58" s="14">
        <f>D58-C58</f>
        <v/>
      </c>
      <c r="F58" s="3" t="n"/>
      <c r="G58" s="3" t="n"/>
      <c r="H58" s="3" t="n"/>
      <c r="I58" s="34" t="n"/>
      <c r="J58" s="61" t="n">
        <v>0.5833333333333334</v>
      </c>
      <c r="K58" s="62" t="n">
        <v>0.8333333333333334</v>
      </c>
      <c r="L58" s="62">
        <f>K58-J58</f>
        <v/>
      </c>
      <c r="M58" s="151" t="inlineStr">
        <is>
          <t>Tyre work</t>
        </is>
      </c>
      <c r="N58" s="14">
        <f>O57</f>
        <v/>
      </c>
      <c r="O58" s="14" t="n">
        <v>88880</v>
      </c>
      <c r="P58" s="151">
        <f>O58-N58</f>
        <v/>
      </c>
      <c r="Q58" s="84" t="n"/>
      <c r="R58" s="42">
        <f>R56+1</f>
        <v/>
      </c>
      <c r="S58" s="24" t="inlineStr">
        <is>
          <t>DAY</t>
        </is>
      </c>
      <c r="T58" s="14">
        <f>U57</f>
        <v/>
      </c>
      <c r="U58" s="14" t="n">
        <v>4441</v>
      </c>
      <c r="V58" s="14">
        <f>U58-T58</f>
        <v/>
      </c>
      <c r="W58" s="3" t="n"/>
      <c r="X58" s="3" t="n"/>
      <c r="Y58" s="3" t="n"/>
      <c r="Z58" s="4" t="n"/>
      <c r="AA58" s="50" t="n"/>
      <c r="AB58" s="14" t="n"/>
      <c r="AC58" s="14" t="n"/>
      <c r="AD58" s="151" t="n"/>
      <c r="AE58" s="85">
        <f>AF57</f>
        <v/>
      </c>
      <c r="AF58" s="14" t="n">
        <v>70725</v>
      </c>
      <c r="AG58" s="151">
        <f>AF58-AE58</f>
        <v/>
      </c>
    </row>
    <row r="59">
      <c r="A59" s="42">
        <f>A58</f>
        <v/>
      </c>
      <c r="B59" s="24" t="inlineStr">
        <is>
          <t>NIGHT</t>
        </is>
      </c>
      <c r="C59" s="14">
        <f>D58</f>
        <v/>
      </c>
      <c r="D59" s="14" t="n">
        <v>6286</v>
      </c>
      <c r="E59" s="14">
        <f>D59-C59</f>
        <v/>
      </c>
      <c r="F59" s="3" t="n"/>
      <c r="G59" s="3" t="n"/>
      <c r="H59" s="3" t="n"/>
      <c r="I59" s="34" t="n"/>
      <c r="J59" s="50" t="n"/>
      <c r="K59" s="14" t="n"/>
      <c r="L59" s="14" t="n"/>
      <c r="M59" s="151" t="n"/>
      <c r="N59" s="14">
        <f>O58</f>
        <v/>
      </c>
      <c r="O59" s="14" t="n">
        <v>88958</v>
      </c>
      <c r="P59" s="151">
        <f>O59-N59</f>
        <v/>
      </c>
      <c r="Q59" s="84" t="n"/>
      <c r="R59" s="42">
        <f>R58</f>
        <v/>
      </c>
      <c r="S59" s="24" t="inlineStr">
        <is>
          <t>NIGHT</t>
        </is>
      </c>
      <c r="T59" s="14">
        <f>U58</f>
        <v/>
      </c>
      <c r="U59" s="14" t="n">
        <v>4447</v>
      </c>
      <c r="V59" s="14">
        <f>U59-T59</f>
        <v/>
      </c>
      <c r="W59" s="3" t="n"/>
      <c r="X59" s="3" t="n"/>
      <c r="Y59" s="3" t="n"/>
      <c r="Z59" s="4" t="n"/>
      <c r="AA59" s="50" t="n"/>
      <c r="AB59" s="14" t="n"/>
      <c r="AC59" s="14" t="n"/>
      <c r="AD59" s="151" t="n"/>
      <c r="AE59" s="85">
        <f>AF58</f>
        <v/>
      </c>
      <c r="AF59" s="14" t="n">
        <v>70875</v>
      </c>
      <c r="AG59" s="151">
        <f>AF59-AE59</f>
        <v/>
      </c>
    </row>
    <row r="60">
      <c r="A60" s="42">
        <f>A58+1</f>
        <v/>
      </c>
      <c r="B60" s="24" t="inlineStr">
        <is>
          <t>DAY</t>
        </is>
      </c>
      <c r="C60" s="14">
        <f>D59</f>
        <v/>
      </c>
      <c r="D60" s="88" t="n">
        <v>6293</v>
      </c>
      <c r="E60" s="88">
        <f>D60-C60</f>
        <v/>
      </c>
      <c r="F60" s="89" t="n">
        <v>378</v>
      </c>
      <c r="G60" s="89" t="n">
        <v>6292</v>
      </c>
      <c r="H60" s="3">
        <f>G60-G56</f>
        <v/>
      </c>
      <c r="I60" s="34">
        <f>F60/H60</f>
        <v/>
      </c>
      <c r="J60" s="107" t="n">
        <v>0.6666666666666666</v>
      </c>
      <c r="K60" s="108" t="n">
        <v>0.8333333333333334</v>
      </c>
      <c r="L60" s="62">
        <f>K60-J60</f>
        <v/>
      </c>
      <c r="M60" s="151" t="inlineStr">
        <is>
          <t>Tyre work</t>
        </is>
      </c>
      <c r="N60" s="14">
        <f>O59</f>
        <v/>
      </c>
      <c r="O60" s="88" t="n">
        <v>89094</v>
      </c>
      <c r="P60" s="151">
        <f>O60-N60</f>
        <v/>
      </c>
      <c r="Q60" s="84" t="n"/>
      <c r="R60" s="42">
        <f>R58+1</f>
        <v/>
      </c>
      <c r="S60" s="24" t="inlineStr">
        <is>
          <t>DAY</t>
        </is>
      </c>
      <c r="T60" s="14">
        <f>U59</f>
        <v/>
      </c>
      <c r="U60" s="88" t="n">
        <v>4452</v>
      </c>
      <c r="V60" s="88">
        <f>U60-T60</f>
        <v/>
      </c>
      <c r="W60" s="89" t="n">
        <v>539</v>
      </c>
      <c r="X60" s="89" t="n">
        <v>4449</v>
      </c>
      <c r="Y60" s="3">
        <f>X60-X56</f>
        <v/>
      </c>
      <c r="Z60" s="4">
        <f>W60/Y60</f>
        <v/>
      </c>
      <c r="AA60" s="91" t="n"/>
      <c r="AB60" s="88" t="n"/>
      <c r="AC60" s="88" t="n"/>
      <c r="AD60" s="92" t="n"/>
      <c r="AE60" s="85">
        <f>AF59</f>
        <v/>
      </c>
      <c r="AF60" s="14" t="n">
        <v>70926</v>
      </c>
      <c r="AG60" s="151">
        <f>AF60-AE60</f>
        <v/>
      </c>
    </row>
    <row r="61">
      <c r="A61" s="42">
        <f>A60</f>
        <v/>
      </c>
      <c r="B61" s="24" t="inlineStr">
        <is>
          <t>NIGHT</t>
        </is>
      </c>
      <c r="C61" s="14">
        <f>D60</f>
        <v/>
      </c>
      <c r="D61" s="88" t="n">
        <v>6303</v>
      </c>
      <c r="E61" s="88">
        <f>D61-C61</f>
        <v/>
      </c>
      <c r="F61" s="89" t="n"/>
      <c r="G61" s="89" t="n"/>
      <c r="H61" s="89" t="n"/>
      <c r="I61" s="90" t="n"/>
      <c r="J61" s="91" t="n"/>
      <c r="K61" s="88" t="n"/>
      <c r="L61" s="88" t="n"/>
      <c r="M61" s="92" t="n"/>
      <c r="N61" s="14">
        <f>O60</f>
        <v/>
      </c>
      <c r="O61" s="88" t="n">
        <v>89261</v>
      </c>
      <c r="P61" s="151">
        <f>O61-N61</f>
        <v/>
      </c>
      <c r="Q61" s="84" t="n"/>
      <c r="R61" s="42">
        <f>R60</f>
        <v/>
      </c>
      <c r="S61" s="24" t="inlineStr">
        <is>
          <t>NIGHT</t>
        </is>
      </c>
      <c r="T61" s="14">
        <f>U60</f>
        <v/>
      </c>
      <c r="U61" s="88" t="n">
        <v>4457</v>
      </c>
      <c r="V61" s="88">
        <f>U61-T61</f>
        <v/>
      </c>
      <c r="W61" s="89" t="n"/>
      <c r="X61" s="89" t="n"/>
      <c r="Y61" s="89" t="n"/>
      <c r="Z61" s="90" t="n"/>
      <c r="AA61" s="91" t="n"/>
      <c r="AB61" s="88" t="n"/>
      <c r="AC61" s="88" t="n"/>
      <c r="AD61" s="92" t="n"/>
      <c r="AE61" s="85">
        <f>AF60</f>
        <v/>
      </c>
      <c r="AF61" s="14" t="n">
        <v>70950</v>
      </c>
      <c r="AG61" s="151">
        <f>AF61-AE61</f>
        <v/>
      </c>
    </row>
    <row r="62">
      <c r="A62" s="42">
        <f>A60+1</f>
        <v/>
      </c>
      <c r="B62" s="24" t="inlineStr">
        <is>
          <t>DAY</t>
        </is>
      </c>
      <c r="C62" s="14">
        <f>D61</f>
        <v/>
      </c>
      <c r="D62" s="88" t="n">
        <v>6313</v>
      </c>
      <c r="E62" s="88">
        <f>D62-C62</f>
        <v/>
      </c>
      <c r="F62" s="89" t="n"/>
      <c r="G62" s="89" t="n"/>
      <c r="H62" s="89" t="n"/>
      <c r="I62" s="90" t="n"/>
      <c r="J62" s="91" t="n"/>
      <c r="K62" s="88" t="n"/>
      <c r="L62" s="88" t="n"/>
      <c r="M62" s="92" t="n"/>
      <c r="N62" s="14">
        <f>O61</f>
        <v/>
      </c>
      <c r="O62" s="88" t="n">
        <v>89379</v>
      </c>
      <c r="P62" s="151">
        <f>O62-N62</f>
        <v/>
      </c>
      <c r="Q62" s="84" t="n"/>
      <c r="R62" s="42">
        <f>R60+1</f>
        <v/>
      </c>
      <c r="S62" s="24" t="inlineStr">
        <is>
          <t>DAY</t>
        </is>
      </c>
      <c r="T62" s="14">
        <f>U61</f>
        <v/>
      </c>
      <c r="U62" s="88" t="n">
        <v>4465</v>
      </c>
      <c r="V62" s="88">
        <f>U62-T62</f>
        <v/>
      </c>
      <c r="W62" s="89" t="n"/>
      <c r="X62" s="89" t="n"/>
      <c r="Y62" s="89" t="n"/>
      <c r="Z62" s="90" t="n"/>
      <c r="AA62" s="91" t="n"/>
      <c r="AB62" s="88" t="n"/>
      <c r="AC62" s="88" t="n"/>
      <c r="AD62" s="92" t="n"/>
      <c r="AE62" s="85">
        <f>AF61</f>
        <v/>
      </c>
      <c r="AF62" s="14" t="n">
        <v>71095</v>
      </c>
      <c r="AG62" s="151">
        <f>AF62-AE62</f>
        <v/>
      </c>
    </row>
    <row r="63">
      <c r="A63" s="42">
        <f>A62</f>
        <v/>
      </c>
      <c r="B63" s="24" t="inlineStr">
        <is>
          <t>NIGHT</t>
        </is>
      </c>
      <c r="C63" s="14">
        <f>D62</f>
        <v/>
      </c>
      <c r="D63" s="88" t="n">
        <v>6317</v>
      </c>
      <c r="E63" s="88">
        <f>D63-C63</f>
        <v/>
      </c>
      <c r="F63" s="89" t="n"/>
      <c r="G63" s="89" t="n"/>
      <c r="H63" s="89" t="n"/>
      <c r="I63" s="90" t="n"/>
      <c r="J63" s="91" t="n"/>
      <c r="K63" s="88" t="n"/>
      <c r="L63" s="88" t="n"/>
      <c r="M63" s="92" t="n"/>
      <c r="N63" s="14">
        <f>O62</f>
        <v/>
      </c>
      <c r="O63" s="88" t="n">
        <v>89423</v>
      </c>
      <c r="P63" s="151">
        <f>O63-N63</f>
        <v/>
      </c>
      <c r="Q63" s="84" t="n"/>
      <c r="R63" s="42">
        <f>R62</f>
        <v/>
      </c>
      <c r="S63" s="24" t="inlineStr">
        <is>
          <t>NIGHT</t>
        </is>
      </c>
      <c r="T63" s="14">
        <f>U62</f>
        <v/>
      </c>
      <c r="U63" s="88" t="n">
        <v>4471</v>
      </c>
      <c r="V63" s="88">
        <f>U63-T63</f>
        <v/>
      </c>
      <c r="W63" s="89" t="n"/>
      <c r="X63" s="89" t="n"/>
      <c r="Y63" s="89" t="n"/>
      <c r="Z63" s="90" t="n"/>
      <c r="AA63" s="91" t="n"/>
      <c r="AB63" s="88" t="n"/>
      <c r="AC63" s="88" t="n"/>
      <c r="AD63" s="92" t="n"/>
      <c r="AE63" s="85">
        <f>AF62</f>
        <v/>
      </c>
      <c r="AF63" s="14" t="n">
        <v>71143</v>
      </c>
      <c r="AG63" s="151">
        <f>AF63-AE63</f>
        <v/>
      </c>
    </row>
    <row r="64">
      <c r="A64" s="42">
        <f>A62+1</f>
        <v/>
      </c>
      <c r="B64" s="24" t="inlineStr">
        <is>
          <t>DAY</t>
        </is>
      </c>
      <c r="C64" s="14">
        <f>D63</f>
        <v/>
      </c>
      <c r="D64" s="88" t="n">
        <v>6320</v>
      </c>
      <c r="E64" s="88">
        <f>D64-C64</f>
        <v/>
      </c>
      <c r="F64" s="89" t="n"/>
      <c r="G64" s="89" t="n"/>
      <c r="H64" s="89" t="n"/>
      <c r="I64" s="90" t="n"/>
      <c r="J64" s="91" t="n"/>
      <c r="K64" s="88" t="n"/>
      <c r="L64" s="88" t="n"/>
      <c r="M64" s="92" t="n"/>
      <c r="N64" s="14">
        <f>O63</f>
        <v/>
      </c>
      <c r="O64" s="88" t="n">
        <v>89437</v>
      </c>
      <c r="P64" s="151">
        <f>O64-N64</f>
        <v/>
      </c>
      <c r="Q64" s="84" t="n"/>
      <c r="R64" s="42">
        <f>R62+1</f>
        <v/>
      </c>
      <c r="S64" s="24" t="inlineStr">
        <is>
          <t>DAY</t>
        </is>
      </c>
      <c r="T64" s="14">
        <f>U63</f>
        <v/>
      </c>
      <c r="U64" s="88" t="n">
        <v>4477</v>
      </c>
      <c r="V64" s="88">
        <f>U64-T64</f>
        <v/>
      </c>
      <c r="W64" s="89" t="n"/>
      <c r="X64" s="89" t="n"/>
      <c r="Y64" s="89" t="n"/>
      <c r="Z64" s="90" t="n"/>
      <c r="AA64" s="91" t="n"/>
      <c r="AB64" s="88" t="n"/>
      <c r="AC64" s="88" t="n"/>
      <c r="AD64" s="92" t="n"/>
      <c r="AE64" s="85">
        <f>AF63</f>
        <v/>
      </c>
      <c r="AF64" s="14" t="n">
        <v>71258</v>
      </c>
      <c r="AG64" s="151">
        <f>AF64-AE64</f>
        <v/>
      </c>
    </row>
    <row r="65" ht="15.75" customHeight="1" thickBot="1">
      <c r="A65" s="42">
        <f>A64</f>
        <v/>
      </c>
      <c r="B65" s="24" t="inlineStr">
        <is>
          <t>NIGHT</t>
        </is>
      </c>
      <c r="C65" s="14">
        <f>D64</f>
        <v/>
      </c>
      <c r="D65" s="88" t="n">
        <v>6322</v>
      </c>
      <c r="E65" s="88">
        <f>D65-C65</f>
        <v/>
      </c>
      <c r="F65" s="89" t="n"/>
      <c r="G65" s="89" t="n"/>
      <c r="H65" s="89" t="n"/>
      <c r="I65" s="90" t="n"/>
      <c r="J65" s="91" t="n"/>
      <c r="K65" s="88" t="n"/>
      <c r="L65" s="88" t="n"/>
      <c r="M65" s="92" t="n"/>
      <c r="N65" s="14">
        <f>O64</f>
        <v/>
      </c>
      <c r="O65" s="88" t="n">
        <v>89466</v>
      </c>
      <c r="P65" s="151">
        <f>O65-N65</f>
        <v/>
      </c>
      <c r="Q65" s="84" t="n"/>
      <c r="R65" s="42">
        <f>R64</f>
        <v/>
      </c>
      <c r="S65" s="24" t="inlineStr">
        <is>
          <t>NIGHT</t>
        </is>
      </c>
      <c r="T65" s="14">
        <f>U64</f>
        <v/>
      </c>
      <c r="U65" s="88" t="n">
        <v>4482</v>
      </c>
      <c r="V65" s="88">
        <f>U65-T65</f>
        <v/>
      </c>
      <c r="W65" s="89" t="n"/>
      <c r="X65" s="89" t="n"/>
      <c r="Y65" s="89" t="n"/>
      <c r="Z65" s="90" t="n"/>
      <c r="AA65" s="91" t="n"/>
      <c r="AB65" s="88" t="n"/>
      <c r="AC65" s="88" t="n"/>
      <c r="AD65" s="92" t="n"/>
      <c r="AE65" s="85">
        <f>AF64</f>
        <v/>
      </c>
      <c r="AF65" s="14" t="n">
        <v>71331</v>
      </c>
      <c r="AG65" s="151">
        <f>AF65-AE65</f>
        <v/>
      </c>
    </row>
    <row r="66">
      <c r="A66" s="153" t="inlineStr">
        <is>
          <t>TOTAL HMR</t>
        </is>
      </c>
      <c r="B66" s="154" t="n"/>
      <c r="C66" s="154" t="n"/>
      <c r="D66" s="155" t="n"/>
      <c r="E66" s="74">
        <f>SUBTOTAL(9,E4:E65)</f>
        <v/>
      </c>
      <c r="F66" s="74">
        <f>SUBTOTAL(9,F4:F65)</f>
        <v/>
      </c>
      <c r="G66" s="74" t="n"/>
      <c r="H66" s="74">
        <f>SUBTOTAL(9,H4:H65)</f>
        <v/>
      </c>
      <c r="I66" s="59">
        <f>F66/H66</f>
        <v/>
      </c>
      <c r="J66" s="56" t="n"/>
      <c r="K66" s="57" t="n"/>
      <c r="L66" s="78">
        <f>SUM(L4:L65)</f>
        <v/>
      </c>
      <c r="M66" s="58" t="n"/>
      <c r="N66" s="63" t="n"/>
      <c r="O66" s="60" t="n"/>
      <c r="P66" s="74">
        <f>SUBTOTAL(9,P4:P65)</f>
        <v/>
      </c>
      <c r="R66" s="153" t="inlineStr">
        <is>
          <t>TOTAL HMR</t>
        </is>
      </c>
      <c r="S66" s="154" t="n"/>
      <c r="T66" s="154" t="n"/>
      <c r="U66" s="155" t="n"/>
      <c r="V66" s="74">
        <f>SUBTOTAL(9,V4:V65)</f>
        <v/>
      </c>
      <c r="W66" s="74">
        <f>SUBTOTAL(9,W4:W65)</f>
        <v/>
      </c>
      <c r="X66" s="74" t="n"/>
      <c r="Y66" s="74">
        <f>SUBTOTAL(9,Y4:Y65)</f>
        <v/>
      </c>
      <c r="Z66" s="59">
        <f>W66/Y66</f>
        <v/>
      </c>
      <c r="AA66" s="56" t="n"/>
      <c r="AB66" s="57" t="n"/>
      <c r="AC66" s="78">
        <f>SUM(AC4:AC65)</f>
        <v/>
      </c>
      <c r="AD66" s="58" t="n"/>
      <c r="AE66" s="63" t="n"/>
      <c r="AF66" s="1" t="n"/>
      <c r="AG66" s="74">
        <f>SUBTOTAL(9,AG4:AG65)</f>
        <v/>
      </c>
    </row>
    <row r="67">
      <c r="A67" s="144" t="inlineStr">
        <is>
          <t>FIX HMR INVOICE NO….........................</t>
        </is>
      </c>
      <c r="B67" s="145" t="n"/>
      <c r="C67" s="145" t="n"/>
      <c r="D67" s="146" t="n"/>
      <c r="E67" s="73" t="n">
        <v>520</v>
      </c>
      <c r="F67" s="22" t="n"/>
      <c r="G67" s="22" t="n"/>
      <c r="H67" s="22" t="n"/>
      <c r="I67" s="23">
        <f>F66/E66</f>
        <v/>
      </c>
      <c r="J67" s="38" t="n"/>
      <c r="K67" s="23" t="n"/>
      <c r="L67" s="23" t="n"/>
      <c r="M67" s="39" t="n"/>
      <c r="N67" s="64" t="n"/>
      <c r="O67" s="23" t="n"/>
      <c r="P67" s="39" t="n"/>
      <c r="R67" s="144" t="inlineStr">
        <is>
          <t>FIX HMR INVOICE NO….........................</t>
        </is>
      </c>
      <c r="S67" s="145" t="n"/>
      <c r="T67" s="145" t="n"/>
      <c r="U67" s="146" t="n"/>
      <c r="V67" s="73" t="n">
        <v>520</v>
      </c>
      <c r="W67" s="22" t="n"/>
      <c r="X67" s="22" t="n"/>
      <c r="Y67" s="22" t="n"/>
      <c r="Z67" s="23">
        <f>W66/V66</f>
        <v/>
      </c>
      <c r="AA67" s="38" t="n"/>
      <c r="AB67" s="23" t="n"/>
      <c r="AC67" s="23" t="n"/>
      <c r="AD67" s="39" t="n"/>
      <c r="AE67" s="64" t="n"/>
      <c r="AF67" s="64" t="n"/>
      <c r="AG67" s="39" t="n"/>
    </row>
    <row r="68" ht="15.75" customHeight="1" thickBot="1">
      <c r="A68" s="141" t="inlineStr">
        <is>
          <t>EXTRA HMR INVOICE NO. …..................</t>
        </is>
      </c>
      <c r="B68" s="142" t="n"/>
      <c r="C68" s="142" t="n"/>
      <c r="D68" s="143" t="n"/>
      <c r="E68" s="27">
        <f>IF(E66-E67&lt;0,0,E66-E67)</f>
        <v/>
      </c>
      <c r="F68" s="27" t="n"/>
      <c r="G68" s="27" t="n"/>
      <c r="H68" s="27" t="n"/>
      <c r="I68" s="45" t="n"/>
      <c r="J68" s="141" t="n"/>
      <c r="K68" s="27" t="n"/>
      <c r="L68" s="27" t="n"/>
      <c r="M68" s="21" t="n"/>
      <c r="N68" s="65" t="n"/>
      <c r="O68" s="27" t="n"/>
      <c r="P68" s="21" t="n"/>
      <c r="R68" s="141" t="inlineStr">
        <is>
          <t>EXTRA HMR INVOICE NO. …..................</t>
        </is>
      </c>
      <c r="S68" s="142" t="n"/>
      <c r="T68" s="142" t="n"/>
      <c r="U68" s="143" t="n"/>
      <c r="V68" s="27">
        <f>IF(V66-V67&lt;0,0,V66-V67)</f>
        <v/>
      </c>
      <c r="W68" s="27" t="n"/>
      <c r="X68" s="27" t="n"/>
      <c r="Y68" s="27" t="n"/>
      <c r="Z68" s="27" t="n"/>
      <c r="AA68" s="141" t="n"/>
      <c r="AB68" s="27" t="n"/>
      <c r="AC68" s="27" t="n"/>
      <c r="AD68" s="21" t="n"/>
      <c r="AE68" s="65" t="n"/>
      <c r="AF68" s="65" t="n"/>
      <c r="AG68" s="21" t="n"/>
    </row>
  </sheetData>
  <mergeCells count="8">
    <mergeCell ref="R66:U66"/>
    <mergeCell ref="A67:D67"/>
    <mergeCell ref="A1:M1"/>
    <mergeCell ref="R1:AD1"/>
    <mergeCell ref="R67:U67"/>
    <mergeCell ref="R68:U68"/>
    <mergeCell ref="A68:D68"/>
    <mergeCell ref="A66:D66"/>
  </mergeCells>
  <pageMargins left="0.7" right="0.7" top="0.75" bottom="0.75" header="0.3" footer="0.3"/>
</worksheet>
</file>

<file path=xl/worksheets/sheet9.xml><?xml version="1.0" encoding="utf-8"?>
<worksheet xmlns="http://schemas.openxmlformats.org/spreadsheetml/2006/main">
  <sheetPr>
    <outlinePr summaryBelow="1" summaryRight="1"/>
    <pageSetUpPr fitToPage="1"/>
  </sheetPr>
  <dimension ref="A1:AG68"/>
  <sheetViews>
    <sheetView topLeftCell="I39" zoomScale="85" zoomScaleNormal="85" workbookViewId="0">
      <selection activeCell="Z66" sqref="Z66"/>
    </sheetView>
  </sheetViews>
  <sheetFormatPr baseColWidth="8" defaultRowHeight="15"/>
  <cols>
    <col width="6" bestFit="1" customWidth="1" min="7" max="7"/>
    <col width="7.140625" bestFit="1" customWidth="1" min="8" max="8"/>
    <col width="9" bestFit="1" customWidth="1" min="9" max="9"/>
    <col width="8.140625" bestFit="1" customWidth="1" min="12" max="12"/>
    <col width="20" bestFit="1" customWidth="1" min="13" max="13"/>
    <col width="9" bestFit="1" customWidth="1" min="28" max="28"/>
    <col width="8.140625" customWidth="1" min="29" max="29"/>
    <col width="10.42578125" customWidth="1" min="30" max="30"/>
  </cols>
  <sheetData>
    <row r="1" ht="24" customHeight="1" thickBot="1">
      <c r="A1" s="147" t="inlineStr">
        <is>
          <t>Ennore-SANY-2025 (RS-02)</t>
        </is>
      </c>
      <c r="B1" s="148" t="n"/>
      <c r="C1" s="148" t="n"/>
      <c r="D1" s="148" t="n"/>
      <c r="E1" s="148" t="n"/>
      <c r="F1" s="148" t="n"/>
      <c r="G1" s="148" t="n"/>
      <c r="H1" s="148" t="n"/>
      <c r="I1" s="148" t="n"/>
      <c r="J1" s="148" t="n"/>
      <c r="K1" s="148" t="n"/>
      <c r="L1" s="148" t="n"/>
      <c r="M1" s="148" t="n"/>
      <c r="N1" s="25" t="n"/>
      <c r="O1" s="25" t="n"/>
      <c r="P1" s="25" t="n"/>
      <c r="R1" s="147" t="inlineStr">
        <is>
          <t>Ennore-Hyster-2025 (RS-03)</t>
        </is>
      </c>
      <c r="S1" s="148" t="n"/>
      <c r="T1" s="148" t="n"/>
      <c r="U1" s="148" t="n"/>
      <c r="V1" s="148" t="n"/>
      <c r="W1" s="148" t="n"/>
      <c r="X1" s="148" t="n"/>
      <c r="Y1" s="148" t="n"/>
      <c r="Z1" s="148" t="n"/>
      <c r="AA1" s="148" t="n"/>
      <c r="AB1" s="148" t="n"/>
      <c r="AC1" s="148" t="n"/>
      <c r="AD1" s="148" t="n"/>
    </row>
    <row r="2" ht="63.75" customHeight="1" thickBot="1">
      <c r="A2" s="28" t="inlineStr">
        <is>
          <t>DATE</t>
        </is>
      </c>
      <c r="B2" s="40" t="inlineStr">
        <is>
          <t>SHIFT</t>
        </is>
      </c>
      <c r="C2" s="29" t="inlineStr">
        <is>
          <t>START HMR</t>
        </is>
      </c>
      <c r="D2" s="29" t="inlineStr">
        <is>
          <t>END HMR</t>
        </is>
      </c>
      <c r="E2" s="29" t="inlineStr">
        <is>
          <t>WORKING HMR</t>
        </is>
      </c>
      <c r="F2" s="29" t="inlineStr">
        <is>
          <t>DIESEL RECEIVED</t>
        </is>
      </c>
      <c r="G2" s="29" t="inlineStr">
        <is>
          <t>HMR</t>
        </is>
      </c>
      <c r="H2" s="29" t="inlineStr">
        <is>
          <t>Diesel filling Hours</t>
        </is>
      </c>
      <c r="I2" s="30" t="inlineStr">
        <is>
          <t>Average</t>
        </is>
      </c>
      <c r="J2" s="28" t="inlineStr">
        <is>
          <t>B/D Start Time</t>
        </is>
      </c>
      <c r="K2" s="29" t="inlineStr">
        <is>
          <t>B/D End Time</t>
        </is>
      </c>
      <c r="L2" s="29" t="inlineStr">
        <is>
          <t>Total B/D Hours</t>
        </is>
      </c>
      <c r="M2" s="30" t="inlineStr">
        <is>
          <t>B/D Reason</t>
        </is>
      </c>
      <c r="N2" s="46" t="inlineStr">
        <is>
          <t>Start Conatiner</t>
        </is>
      </c>
      <c r="O2" s="47" t="inlineStr">
        <is>
          <t>End Conatiner</t>
        </is>
      </c>
      <c r="P2" s="48" t="inlineStr">
        <is>
          <t>Per Day Container Count</t>
        </is>
      </c>
      <c r="R2" s="28" t="inlineStr">
        <is>
          <t>DATE</t>
        </is>
      </c>
      <c r="S2" s="40" t="inlineStr">
        <is>
          <t>SHIFT</t>
        </is>
      </c>
      <c r="T2" s="29" t="inlineStr">
        <is>
          <t>START HMR</t>
        </is>
      </c>
      <c r="U2" s="29" t="inlineStr">
        <is>
          <t>END HMR</t>
        </is>
      </c>
      <c r="V2" s="29" t="inlineStr">
        <is>
          <t>WORKING HMR</t>
        </is>
      </c>
      <c r="W2" s="29" t="inlineStr">
        <is>
          <t>DIESEL RECEIVED</t>
        </is>
      </c>
      <c r="X2" s="29" t="inlineStr">
        <is>
          <t>HMR</t>
        </is>
      </c>
      <c r="Y2" s="29" t="inlineStr">
        <is>
          <t>Diesel filling Hours</t>
        </is>
      </c>
      <c r="Z2" s="29" t="inlineStr">
        <is>
          <t>Average</t>
        </is>
      </c>
      <c r="AA2" s="28" t="inlineStr">
        <is>
          <t>B/D Start Time</t>
        </is>
      </c>
      <c r="AB2" s="29" t="inlineStr">
        <is>
          <t>B/D End Time</t>
        </is>
      </c>
      <c r="AC2" s="29" t="inlineStr">
        <is>
          <t>Total B/D Hours</t>
        </is>
      </c>
      <c r="AD2" s="30" t="inlineStr">
        <is>
          <t>B/D Reason</t>
        </is>
      </c>
      <c r="AE2" s="46" t="inlineStr">
        <is>
          <t>Start Conatiner</t>
        </is>
      </c>
      <c r="AF2" s="47" t="inlineStr">
        <is>
          <t>End Conatiner</t>
        </is>
      </c>
      <c r="AG2" s="48" t="inlineStr">
        <is>
          <t>Per Day Container Count</t>
        </is>
      </c>
    </row>
    <row r="3" ht="15.75" customHeight="1">
      <c r="A3" s="17" t="inlineStr">
        <is>
          <t>Prev</t>
        </is>
      </c>
      <c r="B3" s="8" t="n"/>
      <c r="C3" s="2" t="n"/>
      <c r="D3" s="2" t="n"/>
      <c r="E3" s="2" t="n"/>
      <c r="F3" s="6" t="n"/>
      <c r="G3" s="6" t="n">
        <v>6292</v>
      </c>
      <c r="H3" s="6" t="n"/>
      <c r="I3" s="18" t="n"/>
      <c r="J3" s="31" t="n"/>
      <c r="K3" s="6" t="n"/>
      <c r="L3" s="6" t="n"/>
      <c r="M3" s="18" t="n"/>
      <c r="N3" s="31" t="n"/>
      <c r="O3" s="6" t="n"/>
      <c r="P3" s="18" t="n"/>
      <c r="Q3" s="13" t="n"/>
      <c r="R3" s="17" t="inlineStr">
        <is>
          <t>Prev</t>
        </is>
      </c>
      <c r="S3" s="8" t="n"/>
      <c r="T3" s="2" t="n"/>
      <c r="U3" s="2" t="n"/>
      <c r="V3" s="2" t="n"/>
      <c r="W3" s="6" t="n"/>
      <c r="X3" s="6" t="n">
        <v>4449</v>
      </c>
      <c r="Y3" s="6" t="n"/>
      <c r="Z3" s="6" t="n"/>
      <c r="AA3" s="31" t="n"/>
      <c r="AB3" s="6" t="n"/>
      <c r="AC3" s="6" t="n"/>
      <c r="AD3" s="18" t="n"/>
      <c r="AE3" s="31" t="n"/>
      <c r="AF3" s="6" t="n"/>
      <c r="AG3" s="18" t="n"/>
    </row>
    <row r="4">
      <c r="A4" s="42" t="n">
        <v>46235</v>
      </c>
      <c r="B4" s="24" t="inlineStr">
        <is>
          <t>DAY</t>
        </is>
      </c>
      <c r="C4" s="88" t="n">
        <v>6322</v>
      </c>
      <c r="D4" s="14" t="n">
        <v>6329</v>
      </c>
      <c r="E4" s="14">
        <f>D4-C4</f>
        <v/>
      </c>
      <c r="F4" s="3" t="n">
        <v>392</v>
      </c>
      <c r="G4" s="3" t="n">
        <v>6324</v>
      </c>
      <c r="H4" s="3">
        <f>G4-G3</f>
        <v/>
      </c>
      <c r="I4" s="34">
        <f>F4/H4</f>
        <v/>
      </c>
      <c r="J4" s="32" t="n"/>
      <c r="K4" s="3" t="n"/>
      <c r="L4" s="113" t="n"/>
      <c r="M4" s="19" t="n"/>
      <c r="N4" s="88" t="n">
        <v>89466</v>
      </c>
      <c r="O4" s="14" t="n">
        <v>89492</v>
      </c>
      <c r="P4" s="151">
        <f>O4-N4</f>
        <v/>
      </c>
      <c r="Q4" s="84" t="n"/>
      <c r="R4" s="42" t="n">
        <v>46235</v>
      </c>
      <c r="S4" s="24" t="inlineStr">
        <is>
          <t>DAY</t>
        </is>
      </c>
      <c r="T4" s="88" t="n">
        <v>4482</v>
      </c>
      <c r="U4" s="14" t="n">
        <v>4490</v>
      </c>
      <c r="V4" s="14">
        <f>U4-T4</f>
        <v/>
      </c>
      <c r="W4" s="3" t="n">
        <v>517</v>
      </c>
      <c r="X4" s="3" t="n">
        <v>4485</v>
      </c>
      <c r="Y4" s="3">
        <f>X4-X3</f>
        <v/>
      </c>
      <c r="Z4" s="4">
        <f>W4/Y4</f>
        <v/>
      </c>
      <c r="AA4" s="115" t="n"/>
      <c r="AB4" s="113" t="n"/>
      <c r="AC4" s="113" t="n"/>
      <c r="AD4" s="19" t="n"/>
      <c r="AE4" s="14" t="n">
        <v>71331</v>
      </c>
      <c r="AF4" s="14" t="n">
        <v>71458</v>
      </c>
      <c r="AG4" s="151">
        <f>AF4-AE4</f>
        <v/>
      </c>
    </row>
    <row r="5">
      <c r="A5" s="42">
        <f>A4</f>
        <v/>
      </c>
      <c r="B5" s="24" t="inlineStr">
        <is>
          <t>NIGHT</t>
        </is>
      </c>
      <c r="C5" s="14">
        <f>D4</f>
        <v/>
      </c>
      <c r="D5" s="14" t="n">
        <v>6337</v>
      </c>
      <c r="E5" s="14">
        <f>D5-C5</f>
        <v/>
      </c>
      <c r="F5" s="3" t="n"/>
      <c r="G5" s="3" t="n"/>
      <c r="H5" s="3" t="n"/>
      <c r="I5" s="34" t="n"/>
      <c r="J5" s="32" t="n"/>
      <c r="K5" s="3" t="n"/>
      <c r="L5" s="113" t="n"/>
      <c r="M5" s="19" t="n"/>
      <c r="N5" s="14">
        <f>O4</f>
        <v/>
      </c>
      <c r="O5" s="14" t="n">
        <v>89591</v>
      </c>
      <c r="P5" s="151">
        <f>O5-N5</f>
        <v/>
      </c>
      <c r="Q5" s="84" t="n"/>
      <c r="R5" s="42">
        <f>R4</f>
        <v/>
      </c>
      <c r="S5" s="24" t="inlineStr">
        <is>
          <t>NIGHT</t>
        </is>
      </c>
      <c r="T5" s="14">
        <f>U4</f>
        <v/>
      </c>
      <c r="U5" s="14" t="n">
        <v>4495</v>
      </c>
      <c r="V5" s="14">
        <f>U5-T5</f>
        <v/>
      </c>
      <c r="W5" s="3" t="n"/>
      <c r="X5" s="3" t="n"/>
      <c r="Y5" s="3" t="n"/>
      <c r="Z5" s="4" t="n"/>
      <c r="AA5" s="115" t="n"/>
      <c r="AB5" s="113" t="n"/>
      <c r="AC5" s="113" t="n"/>
      <c r="AD5" s="19" t="n"/>
      <c r="AE5" s="85">
        <f>AF4</f>
        <v/>
      </c>
      <c r="AF5" s="14" t="n">
        <v>71543</v>
      </c>
      <c r="AG5" s="151">
        <f>AF5-AE5</f>
        <v/>
      </c>
    </row>
    <row r="6">
      <c r="A6" s="42">
        <f>A4+1</f>
        <v/>
      </c>
      <c r="B6" s="24" t="inlineStr">
        <is>
          <t>DAY</t>
        </is>
      </c>
      <c r="C6" s="14">
        <f>D5</f>
        <v/>
      </c>
      <c r="D6" s="14" t="n">
        <v>6345</v>
      </c>
      <c r="E6" s="14">
        <f>D6-C6</f>
        <v/>
      </c>
      <c r="F6" s="3" t="n"/>
      <c r="G6" s="3" t="n"/>
      <c r="H6" s="3" t="n"/>
      <c r="I6" s="34" t="n"/>
      <c r="J6" s="33" t="n"/>
      <c r="K6" s="4" t="n"/>
      <c r="L6" s="113" t="n"/>
      <c r="M6" s="34" t="n"/>
      <c r="N6" s="14">
        <f>O5</f>
        <v/>
      </c>
      <c r="O6" s="14" t="n">
        <v>89677</v>
      </c>
      <c r="P6" s="151">
        <f>O6-N6</f>
        <v/>
      </c>
      <c r="Q6" s="84" t="n"/>
      <c r="R6" s="42">
        <f>R4+1</f>
        <v/>
      </c>
      <c r="S6" s="24" t="inlineStr">
        <is>
          <t>DAY</t>
        </is>
      </c>
      <c r="T6" s="14">
        <f>U5</f>
        <v/>
      </c>
      <c r="U6" s="14" t="n">
        <v>4499</v>
      </c>
      <c r="V6" s="14">
        <f>U6-T6</f>
        <v/>
      </c>
      <c r="W6" s="3" t="n"/>
      <c r="X6" s="3" t="n"/>
      <c r="Y6" s="3" t="n"/>
      <c r="Z6" s="4" t="n"/>
      <c r="AA6" s="115" t="n"/>
      <c r="AB6" s="113" t="n"/>
      <c r="AC6" s="113" t="n"/>
      <c r="AD6" s="34" t="n"/>
      <c r="AE6" s="85">
        <f>AF5</f>
        <v/>
      </c>
      <c r="AF6" s="14" t="n">
        <v>71560</v>
      </c>
      <c r="AG6" s="151">
        <f>AF6-AE6</f>
        <v/>
      </c>
    </row>
    <row r="7">
      <c r="A7" s="42">
        <f>A6</f>
        <v/>
      </c>
      <c r="B7" s="24" t="inlineStr">
        <is>
          <t>NIGHT</t>
        </is>
      </c>
      <c r="C7" s="14">
        <f>D6</f>
        <v/>
      </c>
      <c r="D7" s="14" t="n">
        <v>6353</v>
      </c>
      <c r="E7" s="14">
        <f>D7-C7</f>
        <v/>
      </c>
      <c r="F7" s="3" t="n"/>
      <c r="G7" s="3" t="n"/>
      <c r="H7" s="3" t="n"/>
      <c r="I7" s="34" t="n"/>
      <c r="J7" s="33" t="n"/>
      <c r="K7" s="4" t="n"/>
      <c r="L7" s="113" t="n"/>
      <c r="M7" s="34" t="n"/>
      <c r="N7" s="14">
        <f>O6</f>
        <v/>
      </c>
      <c r="O7" s="14" t="n">
        <v>89829</v>
      </c>
      <c r="P7" s="151">
        <f>O7-N7</f>
        <v/>
      </c>
      <c r="Q7" s="84" t="n"/>
      <c r="R7" s="42">
        <f>R6</f>
        <v/>
      </c>
      <c r="S7" s="24" t="inlineStr">
        <is>
          <t>NIGHT</t>
        </is>
      </c>
      <c r="T7" s="14">
        <f>U6</f>
        <v/>
      </c>
      <c r="U7" s="14" t="n">
        <v>4507</v>
      </c>
      <c r="V7" s="14">
        <f>U7-T7</f>
        <v/>
      </c>
      <c r="W7" s="3" t="n"/>
      <c r="X7" s="3" t="n"/>
      <c r="Y7" s="3" t="n"/>
      <c r="Z7" s="4" t="n"/>
      <c r="AA7" s="115" t="n"/>
      <c r="AB7" s="113" t="n"/>
      <c r="AC7" s="113" t="n"/>
      <c r="AD7" s="34" t="n"/>
      <c r="AE7" s="85">
        <f>AF6</f>
        <v/>
      </c>
      <c r="AF7" s="14" t="n">
        <v>71717</v>
      </c>
      <c r="AG7" s="151">
        <f>AF7-AE7</f>
        <v/>
      </c>
    </row>
    <row r="8">
      <c r="A8" s="42">
        <f>A6+1</f>
        <v/>
      </c>
      <c r="B8" s="24" t="inlineStr">
        <is>
          <t>DAY</t>
        </is>
      </c>
      <c r="C8" s="14">
        <f>D7</f>
        <v/>
      </c>
      <c r="D8" s="14" t="n">
        <v>6362</v>
      </c>
      <c r="E8" s="14">
        <f>D8-C8</f>
        <v/>
      </c>
      <c r="F8" s="3" t="n">
        <v>315</v>
      </c>
      <c r="G8" s="3" t="n">
        <v>6357</v>
      </c>
      <c r="H8" s="3">
        <f>G8-G4</f>
        <v/>
      </c>
      <c r="I8" s="34">
        <f>F8/H8</f>
        <v/>
      </c>
      <c r="J8" s="35" t="n"/>
      <c r="K8" s="15" t="n"/>
      <c r="L8" s="114" t="n"/>
      <c r="M8" s="36" t="n"/>
      <c r="N8" s="14">
        <f>O7</f>
        <v/>
      </c>
      <c r="O8" s="14" t="n">
        <v>89959</v>
      </c>
      <c r="P8" s="151">
        <f>O8-N8</f>
        <v/>
      </c>
      <c r="Q8" s="84" t="n"/>
      <c r="R8" s="42">
        <f>R6+1</f>
        <v/>
      </c>
      <c r="S8" s="24" t="inlineStr">
        <is>
          <t>DAY</t>
        </is>
      </c>
      <c r="T8" s="14">
        <f>U7</f>
        <v/>
      </c>
      <c r="U8" s="14" t="n">
        <v>4513</v>
      </c>
      <c r="V8" s="14">
        <f>U8-T8</f>
        <v/>
      </c>
      <c r="W8" s="3" t="n">
        <v>248</v>
      </c>
      <c r="X8" s="3" t="n">
        <v>4510</v>
      </c>
      <c r="Y8" s="3">
        <f>X8-X4</f>
        <v/>
      </c>
      <c r="Z8" s="4">
        <f>W8/Y8</f>
        <v/>
      </c>
      <c r="AA8" s="119" t="n"/>
      <c r="AB8" s="114" t="n"/>
      <c r="AC8" s="114" t="n"/>
      <c r="AD8" s="36" t="n"/>
      <c r="AE8" s="85">
        <f>AF7</f>
        <v/>
      </c>
      <c r="AF8" s="85" t="n">
        <v>71792</v>
      </c>
      <c r="AG8" s="151">
        <f>AF8-AE8</f>
        <v/>
      </c>
    </row>
    <row r="9">
      <c r="A9" s="42">
        <f>A8</f>
        <v/>
      </c>
      <c r="B9" s="24" t="inlineStr">
        <is>
          <t>NIGHT</t>
        </is>
      </c>
      <c r="C9" s="14">
        <f>D8</f>
        <v/>
      </c>
      <c r="D9" s="14" t="n">
        <v>6363</v>
      </c>
      <c r="E9" s="14">
        <f>D9-C9</f>
        <v/>
      </c>
      <c r="F9" s="3" t="n"/>
      <c r="G9" s="3" t="n"/>
      <c r="H9" s="3" t="n"/>
      <c r="I9" s="34" t="n"/>
      <c r="J9" s="111" t="n">
        <v>0.7916666666666666</v>
      </c>
      <c r="K9" s="111" t="n">
        <v>0.08333333333333333</v>
      </c>
      <c r="L9" s="115" t="n">
        <v>0.2916666666666667</v>
      </c>
      <c r="M9" s="34" t="inlineStr">
        <is>
          <t>TYRE NAKLI PROBLEM</t>
        </is>
      </c>
      <c r="N9" s="14">
        <f>O8</f>
        <v/>
      </c>
      <c r="O9" s="14" t="n">
        <v>89959</v>
      </c>
      <c r="P9" s="151">
        <f>O9-N9</f>
        <v/>
      </c>
      <c r="Q9" s="84" t="n"/>
      <c r="R9" s="42">
        <f>R8</f>
        <v/>
      </c>
      <c r="S9" s="24" t="inlineStr">
        <is>
          <t>NIGHT</t>
        </is>
      </c>
      <c r="T9" s="14">
        <f>U8</f>
        <v/>
      </c>
      <c r="U9" s="14" t="n">
        <v>4520</v>
      </c>
      <c r="V9" s="14">
        <f>U9-T9</f>
        <v/>
      </c>
      <c r="W9" s="3" t="n"/>
      <c r="X9" s="3" t="n"/>
      <c r="Y9" s="3" t="n"/>
      <c r="Z9" s="4" t="n"/>
      <c r="AA9" s="115" t="n"/>
      <c r="AB9" s="113" t="n"/>
      <c r="AC9" s="113" t="n"/>
      <c r="AD9" s="34" t="n"/>
      <c r="AE9" s="85">
        <f>AF8</f>
        <v/>
      </c>
      <c r="AF9" s="85" t="n">
        <v>71920</v>
      </c>
      <c r="AG9" s="151">
        <f>AF9-AE9</f>
        <v/>
      </c>
    </row>
    <row r="10">
      <c r="A10" s="42">
        <f>A8+1</f>
        <v/>
      </c>
      <c r="B10" s="24" t="inlineStr">
        <is>
          <t>DAY</t>
        </is>
      </c>
      <c r="C10" s="14">
        <f>D9</f>
        <v/>
      </c>
      <c r="D10" s="14" t="n">
        <v>6369</v>
      </c>
      <c r="E10" s="14">
        <f>D10-C10</f>
        <v/>
      </c>
      <c r="F10" s="3" t="n"/>
      <c r="G10" s="3" t="n"/>
      <c r="H10" s="3" t="n"/>
      <c r="I10" s="34" t="n"/>
      <c r="J10" s="32" t="n"/>
      <c r="K10" s="3" t="n"/>
      <c r="L10" s="115" t="n"/>
      <c r="M10" s="19" t="n"/>
      <c r="N10" s="14">
        <f>O9</f>
        <v/>
      </c>
      <c r="O10" s="14" t="n">
        <v>90011</v>
      </c>
      <c r="P10" s="151">
        <f>O10-N10</f>
        <v/>
      </c>
      <c r="Q10" s="84" t="n"/>
      <c r="R10" s="42">
        <f>R8+1</f>
        <v/>
      </c>
      <c r="S10" s="24" t="inlineStr">
        <is>
          <t>DAY</t>
        </is>
      </c>
      <c r="T10" s="14">
        <f>U9</f>
        <v/>
      </c>
      <c r="U10" s="14" t="n">
        <v>4523</v>
      </c>
      <c r="V10" s="14">
        <f>U10-T10</f>
        <v/>
      </c>
      <c r="W10" s="3" t="n"/>
      <c r="X10" s="3" t="n"/>
      <c r="Y10" s="3" t="n"/>
      <c r="Z10" s="4" t="n"/>
      <c r="AA10" s="115" t="n"/>
      <c r="AB10" s="113" t="n"/>
      <c r="AC10" s="113" t="n"/>
      <c r="AD10" s="19" t="n"/>
      <c r="AE10" s="85">
        <f>AF9</f>
        <v/>
      </c>
      <c r="AF10" s="85" t="n">
        <v>71972</v>
      </c>
      <c r="AG10" s="151">
        <f>AF10-AE10</f>
        <v/>
      </c>
    </row>
    <row r="11">
      <c r="A11" s="42">
        <f>A10</f>
        <v/>
      </c>
      <c r="B11" s="24" t="inlineStr">
        <is>
          <t>NIGHT</t>
        </is>
      </c>
      <c r="C11" s="14">
        <f>D10</f>
        <v/>
      </c>
      <c r="D11" s="14" t="n">
        <v>6370</v>
      </c>
      <c r="E11" s="14">
        <f>D11-C11</f>
        <v/>
      </c>
      <c r="F11" s="3" t="n"/>
      <c r="G11" s="3" t="n"/>
      <c r="H11" s="3" t="n"/>
      <c r="I11" s="34" t="n"/>
      <c r="J11" s="81" t="n">
        <v>0.7333333333333333</v>
      </c>
      <c r="K11" s="82" t="n">
        <v>0.4034722222222222</v>
      </c>
      <c r="L11" s="115" t="n">
        <v>0.6701388888888888</v>
      </c>
      <c r="M11" s="19" t="inlineStr">
        <is>
          <t>ELECTRIC FALT</t>
        </is>
      </c>
      <c r="N11" s="14">
        <f>O10</f>
        <v/>
      </c>
      <c r="O11" s="14" t="n">
        <v>90011</v>
      </c>
      <c r="P11" s="151">
        <f>O11-N11</f>
        <v/>
      </c>
      <c r="Q11" s="84" t="n"/>
      <c r="R11" s="42">
        <f>R10</f>
        <v/>
      </c>
      <c r="S11" s="24" t="inlineStr">
        <is>
          <t>NIGHT</t>
        </is>
      </c>
      <c r="T11" s="14">
        <f>U10</f>
        <v/>
      </c>
      <c r="U11" s="14" t="n">
        <v>4531</v>
      </c>
      <c r="V11" s="14">
        <f>U11-T11</f>
        <v/>
      </c>
      <c r="W11" s="3" t="n"/>
      <c r="X11" s="3" t="n"/>
      <c r="Y11" s="3" t="n"/>
      <c r="Z11" s="4" t="n"/>
      <c r="AA11" s="115" t="n"/>
      <c r="AB11" s="113" t="n"/>
      <c r="AC11" s="113" t="n"/>
      <c r="AD11" s="19" t="n"/>
      <c r="AE11" s="85">
        <f>AF10</f>
        <v/>
      </c>
      <c r="AF11" s="85" t="n">
        <v>72118</v>
      </c>
      <c r="AG11" s="151">
        <f>AF11-AE11</f>
        <v/>
      </c>
    </row>
    <row r="12">
      <c r="A12" s="42">
        <f>A10+1</f>
        <v/>
      </c>
      <c r="B12" s="24" t="inlineStr">
        <is>
          <t>DAY</t>
        </is>
      </c>
      <c r="C12" s="14">
        <f>D11</f>
        <v/>
      </c>
      <c r="D12" s="14" t="n">
        <v>6374</v>
      </c>
      <c r="E12" s="14">
        <f>D12-C12</f>
        <v/>
      </c>
      <c r="F12" s="3" t="n"/>
      <c r="G12" s="3" t="n"/>
      <c r="H12" s="3" t="n"/>
      <c r="I12" s="34" t="n"/>
      <c r="J12" s="81" t="n"/>
      <c r="K12" s="82" t="n"/>
      <c r="L12" s="113" t="n"/>
      <c r="M12" s="19" t="n"/>
      <c r="N12" s="14">
        <f>O11</f>
        <v/>
      </c>
      <c r="O12" s="14" t="n">
        <v>90034</v>
      </c>
      <c r="P12" s="151">
        <f>O12-N12</f>
        <v/>
      </c>
      <c r="Q12" s="84" t="n"/>
      <c r="R12" s="42">
        <f>R10+1</f>
        <v/>
      </c>
      <c r="S12" s="24" t="inlineStr">
        <is>
          <t>DAY</t>
        </is>
      </c>
      <c r="T12" s="14">
        <f>U11</f>
        <v/>
      </c>
      <c r="U12" s="14" t="n">
        <v>4536</v>
      </c>
      <c r="V12" s="14">
        <f>U12-T12</f>
        <v/>
      </c>
      <c r="W12" s="3" t="n"/>
      <c r="X12" s="3" t="n"/>
      <c r="Y12" s="3" t="n"/>
      <c r="Z12" s="4" t="n"/>
      <c r="AA12" s="115" t="n"/>
      <c r="AB12" s="113" t="n"/>
      <c r="AC12" s="113" t="n"/>
      <c r="AD12" s="19" t="n"/>
      <c r="AE12" s="85">
        <f>AF11</f>
        <v/>
      </c>
      <c r="AF12" s="85" t="n">
        <v>72195</v>
      </c>
      <c r="AG12" s="151">
        <f>AF12-AE12</f>
        <v/>
      </c>
    </row>
    <row r="13">
      <c r="A13" s="42">
        <f>A12</f>
        <v/>
      </c>
      <c r="B13" s="24" t="inlineStr">
        <is>
          <t>NIGHT</t>
        </is>
      </c>
      <c r="C13" s="14">
        <f>D12</f>
        <v/>
      </c>
      <c r="D13" s="14" t="n">
        <v>6377</v>
      </c>
      <c r="E13" s="14">
        <f>D13-C13</f>
        <v/>
      </c>
      <c r="F13" s="3" t="n"/>
      <c r="G13" s="3" t="n"/>
      <c r="H13" s="3" t="n"/>
      <c r="I13" s="34" t="n"/>
      <c r="J13" s="81" t="n"/>
      <c r="K13" s="82" t="n"/>
      <c r="L13" s="113" t="n"/>
      <c r="M13" s="34" t="n"/>
      <c r="N13" s="14">
        <f>O12</f>
        <v/>
      </c>
      <c r="O13" s="14" t="n">
        <v>90048</v>
      </c>
      <c r="P13" s="151">
        <f>O13-N13</f>
        <v/>
      </c>
      <c r="Q13" s="84" t="n"/>
      <c r="R13" s="42">
        <f>R12</f>
        <v/>
      </c>
      <c r="S13" s="24" t="inlineStr">
        <is>
          <t>NIGHT</t>
        </is>
      </c>
      <c r="T13" s="14">
        <f>U12</f>
        <v/>
      </c>
      <c r="U13" s="14" t="n">
        <v>4543</v>
      </c>
      <c r="V13" s="14">
        <f>U13-T13</f>
        <v/>
      </c>
      <c r="W13" s="3" t="n"/>
      <c r="X13" s="3" t="n"/>
      <c r="Y13" s="3" t="n"/>
      <c r="Z13" s="4" t="n"/>
      <c r="AA13" s="115" t="n"/>
      <c r="AB13" s="113" t="n"/>
      <c r="AC13" s="113" t="n"/>
      <c r="AD13" s="34" t="n"/>
      <c r="AE13" s="85">
        <f>AF12</f>
        <v/>
      </c>
      <c r="AF13" s="85" t="n">
        <v>72304</v>
      </c>
      <c r="AG13" s="151">
        <f>AF13-AE13</f>
        <v/>
      </c>
    </row>
    <row r="14">
      <c r="A14" s="42">
        <f>A12+1</f>
        <v/>
      </c>
      <c r="B14" s="24" t="inlineStr">
        <is>
          <t>DAY</t>
        </is>
      </c>
      <c r="C14" s="14">
        <f>D13</f>
        <v/>
      </c>
      <c r="D14" s="14" t="n">
        <v>6379</v>
      </c>
      <c r="E14" s="14">
        <f>D14-C14</f>
        <v/>
      </c>
      <c r="F14" s="3" t="n"/>
      <c r="G14" s="3" t="n"/>
      <c r="H14" s="3" t="n"/>
      <c r="I14" s="34" t="n"/>
      <c r="J14" s="35" t="n"/>
      <c r="K14" s="15" t="n"/>
      <c r="L14" s="114" t="n"/>
      <c r="M14" s="36" t="n"/>
      <c r="N14" s="14">
        <f>O13</f>
        <v/>
      </c>
      <c r="O14" s="14" t="n">
        <v>90059</v>
      </c>
      <c r="P14" s="151">
        <f>O14-N14</f>
        <v/>
      </c>
      <c r="Q14" s="84" t="n"/>
      <c r="R14" s="42">
        <f>R12+1</f>
        <v/>
      </c>
      <c r="S14" s="24" t="inlineStr">
        <is>
          <t>DAY</t>
        </is>
      </c>
      <c r="T14" s="14">
        <f>U13</f>
        <v/>
      </c>
      <c r="U14" s="14" t="n">
        <v>4547</v>
      </c>
      <c r="V14" s="14">
        <f>U14-T14</f>
        <v/>
      </c>
      <c r="W14" s="3" t="n">
        <v>784</v>
      </c>
      <c r="X14" s="3" t="n">
        <v>4546</v>
      </c>
      <c r="Y14" s="3">
        <f>X14-X8</f>
        <v/>
      </c>
      <c r="Z14" s="4">
        <f>W14/Y14</f>
        <v/>
      </c>
      <c r="AA14" s="119" t="n"/>
      <c r="AB14" s="114" t="n"/>
      <c r="AC14" s="114" t="n"/>
      <c r="AD14" s="36" t="n"/>
      <c r="AE14" s="85">
        <f>AF13</f>
        <v/>
      </c>
      <c r="AF14" s="85" t="n">
        <v>72364</v>
      </c>
      <c r="AG14" s="151">
        <f>AF14-AE14</f>
        <v/>
      </c>
    </row>
    <row r="15">
      <c r="A15" s="42">
        <f>A14</f>
        <v/>
      </c>
      <c r="B15" s="24" t="inlineStr">
        <is>
          <t>NIGHT</t>
        </is>
      </c>
      <c r="C15" s="14">
        <f>D14</f>
        <v/>
      </c>
      <c r="D15" s="14" t="n">
        <v>6382</v>
      </c>
      <c r="E15" s="14">
        <f>D15-C15</f>
        <v/>
      </c>
      <c r="F15" s="3" t="n"/>
      <c r="G15" s="3" t="n"/>
      <c r="H15" s="3" t="n"/>
      <c r="I15" s="34" t="n"/>
      <c r="J15" s="32" t="n"/>
      <c r="K15" s="3" t="n"/>
      <c r="L15" s="113" t="n"/>
      <c r="M15" s="19" t="n"/>
      <c r="N15" s="14">
        <f>O14</f>
        <v/>
      </c>
      <c r="O15" s="14" t="n">
        <v>90087</v>
      </c>
      <c r="P15" s="151">
        <f>O15-N15</f>
        <v/>
      </c>
      <c r="Q15" s="84" t="n"/>
      <c r="R15" s="42">
        <f>R14</f>
        <v/>
      </c>
      <c r="S15" s="24" t="inlineStr">
        <is>
          <t>NIGHT</t>
        </is>
      </c>
      <c r="T15" s="14">
        <f>U14</f>
        <v/>
      </c>
      <c r="U15" s="14" t="n">
        <v>4553</v>
      </c>
      <c r="V15" s="14">
        <f>U15-T15</f>
        <v/>
      </c>
      <c r="W15" s="3" t="n"/>
      <c r="X15" s="3" t="n"/>
      <c r="Y15" s="3" t="n"/>
      <c r="Z15" s="4" t="n"/>
      <c r="AA15" s="115" t="n"/>
      <c r="AB15" s="113" t="n"/>
      <c r="AC15" s="113" t="n"/>
      <c r="AD15" s="19" t="n"/>
      <c r="AE15" s="85">
        <f>AF14</f>
        <v/>
      </c>
      <c r="AF15" s="85" t="n">
        <v>72447</v>
      </c>
      <c r="AG15" s="151">
        <f>AF15-AE15</f>
        <v/>
      </c>
    </row>
    <row r="16">
      <c r="A16" s="42">
        <f>A14+1</f>
        <v/>
      </c>
      <c r="B16" s="24" t="inlineStr">
        <is>
          <t>DAY</t>
        </is>
      </c>
      <c r="C16" s="14">
        <f>D15</f>
        <v/>
      </c>
      <c r="D16" s="14" t="n">
        <v>6384</v>
      </c>
      <c r="E16" s="14">
        <f>D16-C16</f>
        <v/>
      </c>
      <c r="F16" s="3" t="n"/>
      <c r="G16" s="3" t="n"/>
      <c r="H16" s="3" t="n"/>
      <c r="I16" s="34" t="n"/>
      <c r="J16" s="32" t="n"/>
      <c r="K16" s="3" t="n"/>
      <c r="L16" s="113" t="n"/>
      <c r="M16" s="19" t="n"/>
      <c r="N16" s="14">
        <f>O15</f>
        <v/>
      </c>
      <c r="O16" s="14" t="n">
        <v>90111</v>
      </c>
      <c r="P16" s="151">
        <f>O16-N16</f>
        <v/>
      </c>
      <c r="Q16" s="84" t="n"/>
      <c r="R16" s="42">
        <f>R14+1</f>
        <v/>
      </c>
      <c r="S16" s="24" t="inlineStr">
        <is>
          <t>DAY</t>
        </is>
      </c>
      <c r="T16" s="14">
        <f>U15</f>
        <v/>
      </c>
      <c r="U16" s="14" t="n">
        <v>4560</v>
      </c>
      <c r="V16" s="14">
        <f>U16-T16</f>
        <v/>
      </c>
      <c r="W16" s="3" t="n"/>
      <c r="X16" s="3" t="n"/>
      <c r="Y16" s="3" t="n"/>
      <c r="Z16" s="4" t="n"/>
      <c r="AA16" s="115" t="n"/>
      <c r="AB16" s="113" t="n"/>
      <c r="AC16" s="113" t="n"/>
      <c r="AD16" s="19" t="n"/>
      <c r="AE16" s="85">
        <f>AF15</f>
        <v/>
      </c>
      <c r="AF16" s="85" t="n">
        <v>72577</v>
      </c>
      <c r="AG16" s="151">
        <f>AF16-AE16</f>
        <v/>
      </c>
    </row>
    <row r="17">
      <c r="A17" s="42">
        <f>A16</f>
        <v/>
      </c>
      <c r="B17" s="24" t="inlineStr">
        <is>
          <t>NIGHT</t>
        </is>
      </c>
      <c r="C17" s="14">
        <f>D16</f>
        <v/>
      </c>
      <c r="D17" s="14" t="n">
        <v>6388</v>
      </c>
      <c r="E17" s="14">
        <f>D17-C17</f>
        <v/>
      </c>
      <c r="F17" s="3" t="n"/>
      <c r="G17" s="3" t="n"/>
      <c r="H17" s="3" t="n"/>
      <c r="I17" s="34" t="n"/>
      <c r="J17" s="32" t="n"/>
      <c r="K17" s="3" t="n"/>
      <c r="L17" s="113" t="n"/>
      <c r="M17" s="19" t="n"/>
      <c r="N17" s="14">
        <f>O16</f>
        <v/>
      </c>
      <c r="O17" s="14" t="n">
        <v>90139</v>
      </c>
      <c r="P17" s="151">
        <f>O17-N17</f>
        <v/>
      </c>
      <c r="Q17" s="84" t="n"/>
      <c r="R17" s="42">
        <f>R16</f>
        <v/>
      </c>
      <c r="S17" s="24" t="inlineStr">
        <is>
          <t>NIGHT</t>
        </is>
      </c>
      <c r="T17" s="14">
        <f>U16</f>
        <v/>
      </c>
      <c r="U17" s="14" t="n">
        <v>4567</v>
      </c>
      <c r="V17" s="14">
        <f>U17-T17</f>
        <v/>
      </c>
      <c r="W17" s="3" t="n"/>
      <c r="X17" s="3" t="n"/>
      <c r="Y17" s="3" t="n"/>
      <c r="Z17" s="4" t="n"/>
      <c r="AA17" s="115" t="n"/>
      <c r="AB17" s="113" t="n"/>
      <c r="AC17" s="113" t="n"/>
      <c r="AD17" s="34" t="n"/>
      <c r="AE17" s="85">
        <f>AF16</f>
        <v/>
      </c>
      <c r="AF17" s="85" t="n">
        <v>72740</v>
      </c>
      <c r="AG17" s="151">
        <f>AF17-AE17</f>
        <v/>
      </c>
    </row>
    <row r="18">
      <c r="A18" s="42">
        <f>A16+1</f>
        <v/>
      </c>
      <c r="B18" s="24" t="inlineStr">
        <is>
          <t>DAY</t>
        </is>
      </c>
      <c r="C18" s="14">
        <f>D17</f>
        <v/>
      </c>
      <c r="D18" s="14" t="n">
        <v>6396</v>
      </c>
      <c r="E18" s="14">
        <f>D18-C18</f>
        <v/>
      </c>
      <c r="F18" s="3" t="n">
        <v>432</v>
      </c>
      <c r="G18" s="3" t="n">
        <v>6392</v>
      </c>
      <c r="H18" s="3">
        <f>G18-G8</f>
        <v/>
      </c>
      <c r="I18" s="34">
        <f>F18/H18</f>
        <v/>
      </c>
      <c r="J18" s="32" t="n"/>
      <c r="K18" s="3" t="n"/>
      <c r="L18" s="113" t="n"/>
      <c r="M18" s="19" t="n"/>
      <c r="N18" s="14">
        <f>O17</f>
        <v/>
      </c>
      <c r="O18" s="14" t="n">
        <v>90240</v>
      </c>
      <c r="P18" s="151">
        <f>O18-N18</f>
        <v/>
      </c>
      <c r="Q18" s="84" t="n"/>
      <c r="R18" s="42">
        <f>R16+1</f>
        <v/>
      </c>
      <c r="S18" s="24" t="inlineStr">
        <is>
          <t>DAY</t>
        </is>
      </c>
      <c r="T18" s="14">
        <f>U17</f>
        <v/>
      </c>
      <c r="U18" s="14" t="n">
        <v>4574</v>
      </c>
      <c r="V18" s="14">
        <f>U18-T18</f>
        <v/>
      </c>
      <c r="W18" s="3" t="n">
        <v>427</v>
      </c>
      <c r="X18" s="3" t="n">
        <v>4572</v>
      </c>
      <c r="Y18" s="3">
        <f>X18-X14</f>
        <v/>
      </c>
      <c r="Z18" s="4">
        <f>W18/Y18</f>
        <v/>
      </c>
      <c r="AA18" s="119" t="n"/>
      <c r="AB18" s="114" t="n"/>
      <c r="AC18" s="114" t="n"/>
      <c r="AD18" s="151" t="n"/>
      <c r="AE18" s="85">
        <f>AF17</f>
        <v/>
      </c>
      <c r="AF18" s="85" t="n">
        <v>72897</v>
      </c>
      <c r="AG18" s="151">
        <f>AF18-AE18</f>
        <v/>
      </c>
    </row>
    <row r="19">
      <c r="A19" s="42">
        <f>A18</f>
        <v/>
      </c>
      <c r="B19" s="24" t="inlineStr">
        <is>
          <t>NIGHT</t>
        </is>
      </c>
      <c r="C19" s="14">
        <f>D18</f>
        <v/>
      </c>
      <c r="D19" s="14" t="n">
        <v>6397</v>
      </c>
      <c r="E19" s="14">
        <f>D19-C19</f>
        <v/>
      </c>
      <c r="F19" s="3" t="n"/>
      <c r="G19" s="3" t="n"/>
      <c r="H19" s="3" t="n"/>
      <c r="I19" s="34" t="n"/>
      <c r="J19" s="81" t="n">
        <v>0.8541666666666666</v>
      </c>
      <c r="K19" s="112" t="n">
        <v>0.5</v>
      </c>
      <c r="L19" s="115" t="n">
        <v>0.1458333333333333</v>
      </c>
      <c r="M19" s="149" t="inlineStr">
        <is>
          <t>ELECTRIC FALT</t>
        </is>
      </c>
      <c r="N19" s="14">
        <f>O18</f>
        <v/>
      </c>
      <c r="O19" s="14" t="n">
        <v>90240</v>
      </c>
      <c r="P19" s="151">
        <f>O19-N19</f>
        <v/>
      </c>
      <c r="Q19" s="84" t="n"/>
      <c r="R19" s="42">
        <f>R18</f>
        <v/>
      </c>
      <c r="S19" s="24" t="inlineStr">
        <is>
          <t>NIGHT</t>
        </is>
      </c>
      <c r="T19" s="14">
        <f>U18</f>
        <v/>
      </c>
      <c r="U19" s="14" t="n">
        <v>4581</v>
      </c>
      <c r="V19" s="14">
        <f>U19-T19</f>
        <v/>
      </c>
      <c r="W19" s="3" t="n"/>
      <c r="X19" s="3" t="n"/>
      <c r="Y19" s="3" t="n"/>
      <c r="Z19" s="4" t="n"/>
      <c r="AA19" s="119" t="n"/>
      <c r="AB19" s="114" t="n"/>
      <c r="AC19" s="114" t="n"/>
      <c r="AD19" s="151" t="n"/>
      <c r="AE19" s="85">
        <f>AF18</f>
        <v/>
      </c>
      <c r="AF19" s="85" t="n">
        <v>73026</v>
      </c>
      <c r="AG19" s="151">
        <f>AF19-AE19</f>
        <v/>
      </c>
    </row>
    <row r="20">
      <c r="A20" s="42">
        <f>A18+1</f>
        <v/>
      </c>
      <c r="B20" s="24" t="inlineStr">
        <is>
          <t>DAY</t>
        </is>
      </c>
      <c r="C20" s="14">
        <f>D19</f>
        <v/>
      </c>
      <c r="D20" s="14" t="n">
        <v>6399</v>
      </c>
      <c r="E20" s="14">
        <f>D20-C20</f>
        <v/>
      </c>
      <c r="F20" s="3" t="n"/>
      <c r="G20" s="3" t="n"/>
      <c r="H20" s="3" t="n"/>
      <c r="I20" s="34" t="n"/>
      <c r="J20" s="61" t="n">
        <v>0.5</v>
      </c>
      <c r="K20" s="62" t="n">
        <v>0.7083333333333334</v>
      </c>
      <c r="L20" s="115" t="n">
        <v>0.7083333333333334</v>
      </c>
      <c r="M20" s="150" t="n"/>
      <c r="N20" s="14">
        <f>O19</f>
        <v/>
      </c>
      <c r="O20" s="14" t="n">
        <v>90244</v>
      </c>
      <c r="P20" s="151">
        <f>O20-N20</f>
        <v/>
      </c>
      <c r="Q20" s="84" t="n"/>
      <c r="R20" s="42">
        <f>R18+1</f>
        <v/>
      </c>
      <c r="S20" s="24" t="inlineStr">
        <is>
          <t>DAY</t>
        </is>
      </c>
      <c r="T20" s="14">
        <f>U19</f>
        <v/>
      </c>
      <c r="U20" s="14" t="n">
        <v>4591</v>
      </c>
      <c r="V20" s="14">
        <f>U20-T20</f>
        <v/>
      </c>
      <c r="W20" s="3" t="n"/>
      <c r="X20" s="3" t="n"/>
      <c r="Y20" s="3" t="n"/>
      <c r="Z20" s="4" t="n"/>
      <c r="AA20" s="115" t="n"/>
      <c r="AB20" s="113" t="n"/>
      <c r="AC20" s="113" t="n"/>
      <c r="AD20" s="34" t="n"/>
      <c r="AE20" s="85">
        <f>AF19</f>
        <v/>
      </c>
      <c r="AF20" s="85" t="n">
        <v>73224</v>
      </c>
      <c r="AG20" s="151">
        <f>AF20-AE20</f>
        <v/>
      </c>
    </row>
    <row r="21">
      <c r="A21" s="42">
        <f>A20</f>
        <v/>
      </c>
      <c r="B21" s="24" t="inlineStr">
        <is>
          <t>NIGHT</t>
        </is>
      </c>
      <c r="C21" s="14">
        <f>D20</f>
        <v/>
      </c>
      <c r="D21" s="14" t="n">
        <v>6405</v>
      </c>
      <c r="E21" s="14">
        <f>D21-C21</f>
        <v/>
      </c>
      <c r="F21" s="3" t="n"/>
      <c r="G21" s="3" t="n"/>
      <c r="H21" s="3" t="n"/>
      <c r="I21" s="34" t="n"/>
      <c r="J21" s="32" t="n"/>
      <c r="K21" s="3" t="n"/>
      <c r="L21" s="113" t="n"/>
      <c r="M21" s="19" t="n"/>
      <c r="N21" s="14">
        <f>O20</f>
        <v/>
      </c>
      <c r="O21" s="14" t="n">
        <v>90311</v>
      </c>
      <c r="P21" s="151">
        <f>O21-N21</f>
        <v/>
      </c>
      <c r="Q21" s="84" t="n"/>
      <c r="R21" s="42">
        <f>R20</f>
        <v/>
      </c>
      <c r="S21" s="24" t="inlineStr">
        <is>
          <t>NIGHT</t>
        </is>
      </c>
      <c r="T21" s="14">
        <f>U20</f>
        <v/>
      </c>
      <c r="U21" s="14" t="n">
        <v>4593</v>
      </c>
      <c r="V21" s="14">
        <f>U21-T21</f>
        <v/>
      </c>
      <c r="W21" s="3" t="n"/>
      <c r="X21" s="3" t="n"/>
      <c r="Y21" s="3" t="n"/>
      <c r="Z21" s="15" t="n"/>
      <c r="AA21" s="119" t="n"/>
      <c r="AB21" s="114" t="n"/>
      <c r="AC21" s="114" t="n"/>
      <c r="AD21" s="151" t="n"/>
      <c r="AE21" s="85">
        <f>AF20</f>
        <v/>
      </c>
      <c r="AF21" s="85" t="n">
        <v>73244</v>
      </c>
      <c r="AG21" s="151">
        <f>AF21-AE21</f>
        <v/>
      </c>
    </row>
    <row r="22">
      <c r="A22" s="42">
        <f>A20+1</f>
        <v/>
      </c>
      <c r="B22" s="24" t="inlineStr">
        <is>
          <t>DAY</t>
        </is>
      </c>
      <c r="C22" s="14">
        <f>D21</f>
        <v/>
      </c>
      <c r="D22" s="14" t="n">
        <v>6416</v>
      </c>
      <c r="E22" s="14">
        <f>D22-C22</f>
        <v/>
      </c>
      <c r="F22" s="14" t="n">
        <v>150</v>
      </c>
      <c r="G22" s="86" t="n">
        <v>6409</v>
      </c>
      <c r="H22" s="3">
        <f>G22-G18</f>
        <v/>
      </c>
      <c r="I22" s="34">
        <f>F22/H22</f>
        <v/>
      </c>
      <c r="J22" s="32" t="n"/>
      <c r="K22" s="3" t="n"/>
      <c r="L22" s="113" t="n"/>
      <c r="M22" s="19" t="n"/>
      <c r="N22" s="14">
        <f>O21</f>
        <v/>
      </c>
      <c r="O22" s="14" t="n">
        <v>90470</v>
      </c>
      <c r="P22" s="151">
        <f>O22-N22</f>
        <v/>
      </c>
      <c r="Q22" s="84" t="n"/>
      <c r="R22" s="42">
        <f>R20+1</f>
        <v/>
      </c>
      <c r="S22" s="24" t="inlineStr">
        <is>
          <t>DAY</t>
        </is>
      </c>
      <c r="T22" s="14">
        <f>U21</f>
        <v/>
      </c>
      <c r="U22" s="14" t="n">
        <v>4598</v>
      </c>
      <c r="V22" s="14">
        <f>U22-T22</f>
        <v/>
      </c>
      <c r="W22" s="3" t="n"/>
      <c r="X22" s="3" t="n"/>
      <c r="Y22" s="3" t="n"/>
      <c r="Z22" s="4" t="n"/>
      <c r="AA22" s="119" t="n"/>
      <c r="AB22" s="114" t="n"/>
      <c r="AC22" s="114" t="n"/>
      <c r="AD22" s="36" t="n"/>
      <c r="AE22" s="85">
        <f>AF21</f>
        <v/>
      </c>
      <c r="AF22" s="85" t="n">
        <v>73342</v>
      </c>
      <c r="AG22" s="151">
        <f>AF22-AE22</f>
        <v/>
      </c>
    </row>
    <row r="23">
      <c r="A23" s="42">
        <f>A22</f>
        <v/>
      </c>
      <c r="B23" s="24" t="inlineStr">
        <is>
          <t>NIGHT</t>
        </is>
      </c>
      <c r="C23" s="14">
        <f>D22</f>
        <v/>
      </c>
      <c r="D23" s="14" t="n">
        <v>6422</v>
      </c>
      <c r="E23" s="14">
        <f>D23-C23</f>
        <v/>
      </c>
      <c r="F23" s="3" t="n"/>
      <c r="G23" s="3" t="n"/>
      <c r="H23" s="3" t="n"/>
      <c r="I23" s="34" t="n"/>
      <c r="J23" s="50" t="n"/>
      <c r="K23" s="14" t="n"/>
      <c r="L23" s="114" t="n"/>
      <c r="M23" s="151" t="n"/>
      <c r="N23" s="14">
        <f>O22</f>
        <v/>
      </c>
      <c r="O23" s="14" t="n">
        <v>90564</v>
      </c>
      <c r="P23" s="151">
        <f>O23-N23</f>
        <v/>
      </c>
      <c r="Q23" s="84" t="n"/>
      <c r="R23" s="42">
        <f>R22</f>
        <v/>
      </c>
      <c r="S23" s="24" t="inlineStr">
        <is>
          <t>NIGHT</t>
        </is>
      </c>
      <c r="T23" s="14">
        <f>U22</f>
        <v/>
      </c>
      <c r="U23" s="14" t="n">
        <v>4603</v>
      </c>
      <c r="V23" s="14">
        <f>U23-T23</f>
        <v/>
      </c>
      <c r="W23" s="3" t="n"/>
      <c r="X23" s="3" t="n"/>
      <c r="Y23" s="3" t="n"/>
      <c r="Z23" s="4" t="n"/>
      <c r="AA23" s="119" t="n"/>
      <c r="AB23" s="114" t="n"/>
      <c r="AC23" s="114" t="n"/>
      <c r="AD23" s="151" t="n"/>
      <c r="AE23" s="85">
        <f>AF22</f>
        <v/>
      </c>
      <c r="AF23" s="85" t="n">
        <v>73419</v>
      </c>
      <c r="AG23" s="151">
        <f>AF23-AE23</f>
        <v/>
      </c>
    </row>
    <row r="24">
      <c r="A24" s="42">
        <f>A22+1</f>
        <v/>
      </c>
      <c r="B24" s="24" t="inlineStr">
        <is>
          <t>DAY</t>
        </is>
      </c>
      <c r="C24" s="14">
        <f>D23</f>
        <v/>
      </c>
      <c r="D24" s="14" t="n">
        <v>6431</v>
      </c>
      <c r="E24" s="14">
        <f>D24-C24</f>
        <v/>
      </c>
      <c r="F24" s="3" t="n"/>
      <c r="G24" s="3" t="n"/>
      <c r="H24" s="3" t="n"/>
      <c r="I24" s="34" t="n"/>
      <c r="J24" s="50" t="n"/>
      <c r="K24" s="14" t="n"/>
      <c r="L24" s="114" t="n"/>
      <c r="M24" s="151" t="n"/>
      <c r="N24" s="14">
        <f>O23</f>
        <v/>
      </c>
      <c r="O24" s="14" t="n">
        <v>90752</v>
      </c>
      <c r="P24" s="151">
        <f>O24-N24</f>
        <v/>
      </c>
      <c r="Q24" s="84" t="n"/>
      <c r="R24" s="42">
        <f>R22+1</f>
        <v/>
      </c>
      <c r="S24" s="24" t="inlineStr">
        <is>
          <t>DAY</t>
        </is>
      </c>
      <c r="T24" s="14">
        <f>U23</f>
        <v/>
      </c>
      <c r="U24" s="14" t="n">
        <v>4607</v>
      </c>
      <c r="V24" s="14">
        <f>U24-T24</f>
        <v/>
      </c>
      <c r="W24" s="3" t="n"/>
      <c r="X24" s="3" t="n"/>
      <c r="Y24" s="3" t="n"/>
      <c r="Z24" s="4" t="n"/>
      <c r="AA24" s="119" t="n"/>
      <c r="AB24" s="114" t="n"/>
      <c r="AC24" s="114" t="n"/>
      <c r="AD24" s="151" t="n"/>
      <c r="AE24" s="85">
        <f>AF23</f>
        <v/>
      </c>
      <c r="AF24" s="85" t="n">
        <v>73496</v>
      </c>
      <c r="AG24" s="151">
        <f>AF24-AE24</f>
        <v/>
      </c>
    </row>
    <row r="25">
      <c r="A25" s="42">
        <f>A24</f>
        <v/>
      </c>
      <c r="B25" s="24" t="inlineStr">
        <is>
          <t>NIGHT</t>
        </is>
      </c>
      <c r="C25" s="14">
        <f>D24</f>
        <v/>
      </c>
      <c r="D25" s="14" t="n">
        <v>6439</v>
      </c>
      <c r="E25" s="14">
        <f>D25-C25</f>
        <v/>
      </c>
      <c r="F25" s="3" t="n"/>
      <c r="G25" s="3" t="n"/>
      <c r="H25" s="3" t="n"/>
      <c r="I25" s="34" t="n"/>
      <c r="J25" s="50" t="n"/>
      <c r="K25" s="14" t="n"/>
      <c r="L25" s="114" t="n"/>
      <c r="M25" s="151" t="n"/>
      <c r="N25" s="14">
        <f>O24</f>
        <v/>
      </c>
      <c r="O25" s="14" t="n">
        <v>90847</v>
      </c>
      <c r="P25" s="151">
        <f>O25-N25</f>
        <v/>
      </c>
      <c r="Q25" s="84" t="n"/>
      <c r="R25" s="42">
        <f>R24</f>
        <v/>
      </c>
      <c r="S25" s="24" t="inlineStr">
        <is>
          <t>NIGHT</t>
        </is>
      </c>
      <c r="T25" s="14">
        <f>U24</f>
        <v/>
      </c>
      <c r="U25" s="14" t="n">
        <v>4613</v>
      </c>
      <c r="V25" s="14">
        <f>U25-T25</f>
        <v/>
      </c>
      <c r="W25" s="3" t="n"/>
      <c r="X25" s="3" t="n"/>
      <c r="Y25" s="3" t="n"/>
      <c r="Z25" s="4" t="n"/>
      <c r="AA25" s="119" t="n"/>
      <c r="AB25" s="114" t="n"/>
      <c r="AC25" s="114" t="n"/>
      <c r="AD25" s="151" t="n"/>
      <c r="AE25" s="85">
        <f>AF24</f>
        <v/>
      </c>
      <c r="AF25" s="85" t="n">
        <v>73567</v>
      </c>
      <c r="AG25" s="151">
        <f>AF25-AE25</f>
        <v/>
      </c>
    </row>
    <row r="26">
      <c r="A26" s="42">
        <f>A24+1</f>
        <v/>
      </c>
      <c r="B26" s="24" t="inlineStr">
        <is>
          <t>DAY</t>
        </is>
      </c>
      <c r="C26" s="14">
        <f>D25</f>
        <v/>
      </c>
      <c r="D26" s="14" t="n">
        <v>6450</v>
      </c>
      <c r="E26" s="14">
        <f>D26-C26</f>
        <v/>
      </c>
      <c r="F26" s="3" t="n">
        <v>383</v>
      </c>
      <c r="G26" s="3" t="n">
        <v>6444</v>
      </c>
      <c r="H26" s="3">
        <f>G26-G22</f>
        <v/>
      </c>
      <c r="I26" s="34">
        <f>F26/H26</f>
        <v/>
      </c>
      <c r="J26" s="35" t="n"/>
      <c r="K26" s="15" t="n"/>
      <c r="L26" s="114" t="n"/>
      <c r="M26" s="36" t="n"/>
      <c r="N26" s="14">
        <f>O25</f>
        <v/>
      </c>
      <c r="O26" s="14" t="n">
        <v>91040</v>
      </c>
      <c r="P26" s="151">
        <f>O26-N26</f>
        <v/>
      </c>
      <c r="Q26" s="84" t="n"/>
      <c r="R26" s="42">
        <f>R24+1</f>
        <v/>
      </c>
      <c r="S26" s="24" t="inlineStr">
        <is>
          <t>DAY</t>
        </is>
      </c>
      <c r="T26" s="14">
        <f>U25</f>
        <v/>
      </c>
      <c r="U26" s="14" t="n">
        <v>4615</v>
      </c>
      <c r="V26" s="14">
        <f>U26-T26</f>
        <v/>
      </c>
      <c r="W26" s="3" t="n">
        <v>741</v>
      </c>
      <c r="X26" s="3" t="n">
        <v>4614</v>
      </c>
      <c r="Y26" s="3">
        <f>X26-X18</f>
        <v/>
      </c>
      <c r="Z26" s="4">
        <f>W26/Y26</f>
        <v/>
      </c>
      <c r="AA26" s="119" t="n">
        <v>0.5152777777777777</v>
      </c>
      <c r="AB26" s="114" t="n">
        <v>0.7291666666666666</v>
      </c>
      <c r="AC26" s="114">
        <f>AB26-AA26</f>
        <v/>
      </c>
      <c r="AD26" s="36" t="inlineStr">
        <is>
          <t>pipe and change engine damage</t>
        </is>
      </c>
      <c r="AE26" s="85">
        <f>AF25</f>
        <v/>
      </c>
      <c r="AF26" s="85" t="n">
        <v>73600</v>
      </c>
      <c r="AG26" s="151">
        <f>AF26-AE26</f>
        <v/>
      </c>
    </row>
    <row r="27">
      <c r="A27" s="42">
        <f>A26</f>
        <v/>
      </c>
      <c r="B27" s="24" t="inlineStr">
        <is>
          <t>NIGHT</t>
        </is>
      </c>
      <c r="C27" s="14">
        <f>D26</f>
        <v/>
      </c>
      <c r="D27" s="14" t="n">
        <v>6456</v>
      </c>
      <c r="E27" s="14">
        <f>D27-C27</f>
        <v/>
      </c>
      <c r="F27" s="3" t="n"/>
      <c r="G27" s="3" t="n"/>
      <c r="H27" s="3" t="n"/>
      <c r="I27" s="34" t="n"/>
      <c r="J27" s="61" t="n"/>
      <c r="K27" s="62" t="n"/>
      <c r="L27" s="114" t="n"/>
      <c r="M27" s="151" t="n"/>
      <c r="N27" s="14">
        <f>O26</f>
        <v/>
      </c>
      <c r="O27" s="14" t="n">
        <v>91133</v>
      </c>
      <c r="P27" s="151">
        <f>O27-N27</f>
        <v/>
      </c>
      <c r="Q27" s="84" t="n"/>
      <c r="R27" s="42">
        <f>R26</f>
        <v/>
      </c>
      <c r="S27" s="24" t="inlineStr">
        <is>
          <t>NIGHT</t>
        </is>
      </c>
      <c r="T27" s="14">
        <f>U26</f>
        <v/>
      </c>
      <c r="U27" s="14" t="n">
        <v>4623</v>
      </c>
      <c r="V27" s="14">
        <f>U27-T27</f>
        <v/>
      </c>
      <c r="W27" s="3" t="n"/>
      <c r="X27" s="3" t="n"/>
      <c r="Y27" s="3" t="n"/>
      <c r="Z27" s="4" t="n"/>
      <c r="AA27" s="119" t="n"/>
      <c r="AB27" s="114" t="n"/>
      <c r="AC27" s="114" t="n"/>
      <c r="AD27" s="151" t="n"/>
      <c r="AE27" s="85">
        <f>AF26</f>
        <v/>
      </c>
      <c r="AF27" s="14" t="n">
        <v>73761</v>
      </c>
      <c r="AG27" s="151">
        <f>AF27-AE27</f>
        <v/>
      </c>
    </row>
    <row r="28">
      <c r="A28" s="42">
        <f>A26+1</f>
        <v/>
      </c>
      <c r="B28" s="24" t="inlineStr">
        <is>
          <t>DAY</t>
        </is>
      </c>
      <c r="C28" s="14">
        <f>D27</f>
        <v/>
      </c>
      <c r="D28" s="14" t="n">
        <v>6466</v>
      </c>
      <c r="E28" s="14">
        <f>D28-C28</f>
        <v/>
      </c>
      <c r="F28" s="3" t="n"/>
      <c r="G28" s="3" t="n"/>
      <c r="H28" s="3" t="n"/>
      <c r="I28" s="34" t="n"/>
      <c r="J28" s="61" t="n"/>
      <c r="K28" s="62" t="n"/>
      <c r="L28" s="114" t="n"/>
      <c r="M28" s="151" t="n"/>
      <c r="N28" s="14">
        <f>O27</f>
        <v/>
      </c>
      <c r="O28" s="14" t="n">
        <v>91346</v>
      </c>
      <c r="P28" s="151">
        <f>O28-N28</f>
        <v/>
      </c>
      <c r="Q28" s="84" t="n"/>
      <c r="R28" s="42">
        <f>R26+1</f>
        <v/>
      </c>
      <c r="S28" s="24" t="inlineStr">
        <is>
          <t>DAY</t>
        </is>
      </c>
      <c r="T28" s="14">
        <f>U27</f>
        <v/>
      </c>
      <c r="U28" s="14" t="n">
        <v>4629</v>
      </c>
      <c r="V28" s="14">
        <f>U28-T28</f>
        <v/>
      </c>
      <c r="W28" s="3" t="n"/>
      <c r="X28" s="3" t="n"/>
      <c r="Y28" s="3" t="n"/>
      <c r="Z28" s="4" t="n"/>
      <c r="AA28" s="119" t="n"/>
      <c r="AB28" s="114" t="n"/>
      <c r="AC28" s="114" t="n"/>
      <c r="AD28" s="151" t="n"/>
      <c r="AE28" s="85">
        <f>AF27</f>
        <v/>
      </c>
      <c r="AF28" s="14" t="n">
        <v>73877</v>
      </c>
      <c r="AG28" s="151">
        <f>AF28-AE28</f>
        <v/>
      </c>
    </row>
    <row r="29">
      <c r="A29" s="42">
        <f>A28</f>
        <v/>
      </c>
      <c r="B29" s="24" t="inlineStr">
        <is>
          <t>NIGHT</t>
        </is>
      </c>
      <c r="C29" s="14">
        <f>D28</f>
        <v/>
      </c>
      <c r="D29" s="14" t="n">
        <v>6470</v>
      </c>
      <c r="E29" s="14">
        <f>D29-C29</f>
        <v/>
      </c>
      <c r="F29" s="3" t="n"/>
      <c r="G29" s="3" t="n"/>
      <c r="H29" s="3" t="n"/>
      <c r="I29" s="34" t="n"/>
      <c r="J29" s="50" t="n"/>
      <c r="K29" s="14" t="n"/>
      <c r="L29" s="114" t="n"/>
      <c r="M29" s="151" t="n"/>
      <c r="N29" s="14">
        <f>O28</f>
        <v/>
      </c>
      <c r="O29" s="14" t="n">
        <v>91426</v>
      </c>
      <c r="P29" s="151">
        <f>O29-N29</f>
        <v/>
      </c>
      <c r="Q29" s="84" t="n"/>
      <c r="R29" s="42">
        <f>R28</f>
        <v/>
      </c>
      <c r="S29" s="24" t="inlineStr">
        <is>
          <t>NIGHT</t>
        </is>
      </c>
      <c r="T29" s="14">
        <f>U28</f>
        <v/>
      </c>
      <c r="U29" s="14" t="n">
        <v>4630</v>
      </c>
      <c r="V29" s="14">
        <f>U29-T29</f>
        <v/>
      </c>
      <c r="W29" s="3" t="n"/>
      <c r="X29" s="3" t="n"/>
      <c r="Y29" s="3" t="n"/>
      <c r="Z29" s="4" t="n"/>
      <c r="AA29" s="119" t="n">
        <v>0.8333333333333334</v>
      </c>
      <c r="AB29" s="114" t="n">
        <v>1</v>
      </c>
      <c r="AC29" s="114">
        <f>AB29-AA29</f>
        <v/>
      </c>
      <c r="AD29" s="151" t="inlineStr">
        <is>
          <t>2 TYRE WORK &amp; HYDROLICS PIPE DAMAGED</t>
        </is>
      </c>
      <c r="AE29" s="85">
        <f>AF28</f>
        <v/>
      </c>
      <c r="AF29" s="14" t="n">
        <v>73887</v>
      </c>
      <c r="AG29" s="151">
        <f>AF29-AE29</f>
        <v/>
      </c>
    </row>
    <row r="30">
      <c r="A30" s="42">
        <f>A28+1</f>
        <v/>
      </c>
      <c r="B30" s="24" t="inlineStr">
        <is>
          <t>DAY</t>
        </is>
      </c>
      <c r="C30" s="14">
        <f>D29</f>
        <v/>
      </c>
      <c r="D30" s="14" t="n">
        <v>6479</v>
      </c>
      <c r="E30" s="14">
        <f>D30-C30</f>
        <v/>
      </c>
      <c r="F30" s="3" t="n">
        <v>370</v>
      </c>
      <c r="G30" s="3" t="n">
        <v>6473</v>
      </c>
      <c r="H30" s="109">
        <f>G30-G26</f>
        <v/>
      </c>
      <c r="I30" s="110">
        <f>F30/H30</f>
        <v/>
      </c>
      <c r="J30" s="67" t="n"/>
      <c r="K30" s="4" t="n"/>
      <c r="L30" s="116" t="n"/>
      <c r="M30" s="34" t="n"/>
      <c r="N30" s="14">
        <f>O29</f>
        <v/>
      </c>
      <c r="O30" s="14" t="n">
        <v>91526</v>
      </c>
      <c r="P30" s="151">
        <f>O30-N30</f>
        <v/>
      </c>
      <c r="Q30" s="84" t="n"/>
      <c r="R30" s="42">
        <f>R28+1</f>
        <v/>
      </c>
      <c r="S30" s="24" t="inlineStr">
        <is>
          <t>DAY</t>
        </is>
      </c>
      <c r="T30" s="14">
        <f>U29</f>
        <v/>
      </c>
      <c r="U30" s="14" t="n">
        <v>4630</v>
      </c>
      <c r="V30" s="14">
        <f>U30-T30</f>
        <v/>
      </c>
      <c r="W30" s="3" t="n"/>
      <c r="X30" s="3" t="n"/>
      <c r="Y30" s="3" t="n"/>
      <c r="Z30" s="4" t="n"/>
      <c r="AA30" s="115" t="n">
        <v>1</v>
      </c>
      <c r="AB30" s="113" t="n">
        <v>1.5</v>
      </c>
      <c r="AC30" s="114">
        <f>AB30-AA30</f>
        <v/>
      </c>
      <c r="AD30" s="152" t="n"/>
      <c r="AE30" s="85">
        <f>AF29</f>
        <v/>
      </c>
      <c r="AF30" s="14" t="n">
        <v>73887</v>
      </c>
      <c r="AG30" s="151">
        <f>AF30-AE30</f>
        <v/>
      </c>
    </row>
    <row r="31">
      <c r="A31" s="42">
        <f>A30</f>
        <v/>
      </c>
      <c r="B31" s="24" t="inlineStr">
        <is>
          <t>NIGHT</t>
        </is>
      </c>
      <c r="C31" s="14">
        <f>D30</f>
        <v/>
      </c>
      <c r="D31" s="14" t="n">
        <v>6487</v>
      </c>
      <c r="E31" s="14">
        <f>D31-C31</f>
        <v/>
      </c>
      <c r="F31" s="3" t="n"/>
      <c r="G31" s="3" t="n"/>
      <c r="H31" s="3" t="n"/>
      <c r="I31" s="34" t="n"/>
      <c r="J31" s="66" t="n"/>
      <c r="K31" s="15" t="n"/>
      <c r="L31" s="117" t="n"/>
      <c r="M31" s="36" t="n"/>
      <c r="N31" s="14">
        <f>O30</f>
        <v/>
      </c>
      <c r="O31" s="14" t="n">
        <v>91647</v>
      </c>
      <c r="P31" s="151">
        <f>O31-N31</f>
        <v/>
      </c>
      <c r="Q31" s="84" t="n"/>
      <c r="R31" s="42">
        <f>R30</f>
        <v/>
      </c>
      <c r="S31" s="24" t="inlineStr">
        <is>
          <t>NIGHT</t>
        </is>
      </c>
      <c r="T31" s="14">
        <f>U30</f>
        <v/>
      </c>
      <c r="U31" s="14" t="n">
        <v>4633</v>
      </c>
      <c r="V31" s="14">
        <f>U31-T31</f>
        <v/>
      </c>
      <c r="W31" s="3" t="n"/>
      <c r="X31" s="3" t="n"/>
      <c r="Y31" s="3" t="n"/>
      <c r="Z31" s="4" t="n"/>
      <c r="AA31" s="119" t="n">
        <v>0.5</v>
      </c>
      <c r="AB31" s="114" t="n">
        <v>0.9583333333333334</v>
      </c>
      <c r="AC31" s="114">
        <f>AB31-AA31</f>
        <v/>
      </c>
      <c r="AD31" s="150" t="n"/>
      <c r="AE31" s="85">
        <f>AF30</f>
        <v/>
      </c>
      <c r="AF31" s="14" t="n">
        <v>73902</v>
      </c>
      <c r="AG31" s="151">
        <f>AF31-AE31</f>
        <v/>
      </c>
    </row>
    <row r="32">
      <c r="A32" s="42">
        <f>A30+1</f>
        <v/>
      </c>
      <c r="B32" s="24" t="inlineStr">
        <is>
          <t>DAY</t>
        </is>
      </c>
      <c r="C32" s="14">
        <f>D31</f>
        <v/>
      </c>
      <c r="D32" s="14" t="n">
        <v>6496</v>
      </c>
      <c r="E32" s="14">
        <f>D32-C32</f>
        <v/>
      </c>
      <c r="F32" s="3" t="n">
        <v>220</v>
      </c>
      <c r="G32" s="3" t="n">
        <v>6492</v>
      </c>
      <c r="H32" s="3">
        <f>G32-G30</f>
        <v/>
      </c>
      <c r="I32" s="34">
        <f>F32/H32</f>
        <v/>
      </c>
      <c r="J32" s="70" t="n"/>
      <c r="K32" s="44" t="n"/>
      <c r="L32" s="117" t="n"/>
      <c r="M32" s="36" t="n"/>
      <c r="N32" s="14">
        <f>O31</f>
        <v/>
      </c>
      <c r="O32" s="14" t="n">
        <v>91795</v>
      </c>
      <c r="P32" s="151">
        <f>O32-N32</f>
        <v/>
      </c>
      <c r="Q32" s="84" t="n"/>
      <c r="R32" s="42">
        <f>R30+1</f>
        <v/>
      </c>
      <c r="S32" s="24" t="inlineStr">
        <is>
          <t>DAY</t>
        </is>
      </c>
      <c r="T32" s="14">
        <f>U31</f>
        <v/>
      </c>
      <c r="U32" s="14" t="n">
        <v>4639</v>
      </c>
      <c r="V32" s="14">
        <f>U32-T32</f>
        <v/>
      </c>
      <c r="W32" s="3" t="n">
        <v>300</v>
      </c>
      <c r="X32" s="3" t="n">
        <v>4637</v>
      </c>
      <c r="Y32" s="3">
        <f>X32-X26</f>
        <v/>
      </c>
      <c r="Z32" s="4">
        <f>W32/Y32</f>
        <v/>
      </c>
      <c r="AA32" s="119" t="n"/>
      <c r="AB32" s="114" t="n"/>
      <c r="AC32" s="114" t="n"/>
      <c r="AD32" s="36" t="n"/>
      <c r="AE32" s="85">
        <f>AF31</f>
        <v/>
      </c>
      <c r="AF32" s="14" t="n">
        <v>73996</v>
      </c>
      <c r="AG32" s="151">
        <f>AF32-AE32</f>
        <v/>
      </c>
    </row>
    <row r="33">
      <c r="A33" s="42">
        <f>A32</f>
        <v/>
      </c>
      <c r="B33" s="24" t="inlineStr">
        <is>
          <t>NIGHT</t>
        </is>
      </c>
      <c r="C33" s="14">
        <f>D32</f>
        <v/>
      </c>
      <c r="D33" s="14" t="n">
        <v>6501</v>
      </c>
      <c r="E33" s="14">
        <f>D33-C33</f>
        <v/>
      </c>
      <c r="F33" s="3" t="n"/>
      <c r="G33" s="3" t="n"/>
      <c r="H33" s="3" t="n"/>
      <c r="I33" s="34" t="n"/>
      <c r="J33" s="70" t="n"/>
      <c r="K33" s="44" t="n"/>
      <c r="L33" s="117" t="n"/>
      <c r="M33" s="36" t="n"/>
      <c r="N33" s="14">
        <f>O32</f>
        <v/>
      </c>
      <c r="O33" s="14" t="n">
        <v>91862</v>
      </c>
      <c r="P33" s="151">
        <f>O33-N33</f>
        <v/>
      </c>
      <c r="Q33" s="84" t="n"/>
      <c r="R33" s="42">
        <f>R32</f>
        <v/>
      </c>
      <c r="S33" s="24" t="inlineStr">
        <is>
          <t>NIGHT</t>
        </is>
      </c>
      <c r="T33" s="14">
        <f>U32</f>
        <v/>
      </c>
      <c r="U33" s="14" t="n">
        <v>4640</v>
      </c>
      <c r="V33" s="14">
        <f>U33-T33</f>
        <v/>
      </c>
      <c r="W33" s="3" t="n"/>
      <c r="X33" s="3" t="n"/>
      <c r="Y33" s="3" t="n"/>
      <c r="Z33" s="4" t="n"/>
      <c r="AA33" s="119" t="n"/>
      <c r="AB33" s="114" t="n"/>
      <c r="AC33" s="114" t="n"/>
      <c r="AD33" s="36" t="n"/>
      <c r="AE33" s="85">
        <f>AF32</f>
        <v/>
      </c>
      <c r="AF33" s="14" t="n">
        <v>74024</v>
      </c>
      <c r="AG33" s="151">
        <f>AF33-AE33</f>
        <v/>
      </c>
    </row>
    <row r="34">
      <c r="A34" s="42">
        <f>A32+1</f>
        <v/>
      </c>
      <c r="B34" s="24" t="inlineStr">
        <is>
          <t>DAY</t>
        </is>
      </c>
      <c r="C34" s="14">
        <f>D33</f>
        <v/>
      </c>
      <c r="D34" s="14" t="n">
        <v>6509</v>
      </c>
      <c r="E34" s="14">
        <f>D34-C34</f>
        <v/>
      </c>
      <c r="F34" s="3" t="n"/>
      <c r="G34" s="3" t="n"/>
      <c r="H34" s="3" t="n"/>
      <c r="I34" s="34" t="n"/>
      <c r="J34" s="70" t="n"/>
      <c r="K34" s="44" t="n"/>
      <c r="L34" s="117" t="n"/>
      <c r="M34" s="36" t="n"/>
      <c r="N34" s="14">
        <f>O33</f>
        <v/>
      </c>
      <c r="O34" s="14" t="n">
        <v>91948</v>
      </c>
      <c r="P34" s="151">
        <f>O34-N34</f>
        <v/>
      </c>
      <c r="Q34" s="84" t="n"/>
      <c r="R34" s="42">
        <f>R32+1</f>
        <v/>
      </c>
      <c r="S34" s="24" t="inlineStr">
        <is>
          <t>DAY</t>
        </is>
      </c>
      <c r="T34" s="14">
        <f>U33</f>
        <v/>
      </c>
      <c r="U34" s="14" t="n">
        <v>4648</v>
      </c>
      <c r="V34" s="14">
        <f>U34-T34</f>
        <v/>
      </c>
      <c r="W34" s="101" t="n"/>
      <c r="X34" s="3" t="n"/>
      <c r="Y34" s="3" t="n"/>
      <c r="Z34" s="4" t="n"/>
      <c r="AA34" s="119" t="n"/>
      <c r="AB34" s="114" t="n"/>
      <c r="AC34" s="114" t="n"/>
      <c r="AD34" s="36" t="n"/>
      <c r="AE34" s="85">
        <f>AF33</f>
        <v/>
      </c>
      <c r="AF34" s="14" t="n">
        <v>74133</v>
      </c>
      <c r="AG34" s="151">
        <f>AF34-AE34</f>
        <v/>
      </c>
    </row>
    <row r="35">
      <c r="A35" s="42">
        <f>A34</f>
        <v/>
      </c>
      <c r="B35" s="24" t="inlineStr">
        <is>
          <t>NIGHT</t>
        </is>
      </c>
      <c r="C35" s="14">
        <f>D34</f>
        <v/>
      </c>
      <c r="D35" s="14" t="n">
        <v>6519</v>
      </c>
      <c r="E35" s="14">
        <f>D35-C35</f>
        <v/>
      </c>
      <c r="F35" s="3" t="n"/>
      <c r="G35" s="3" t="n"/>
      <c r="H35" s="3" t="n"/>
      <c r="I35" s="34" t="n"/>
      <c r="J35" s="35" t="n"/>
      <c r="K35" s="15" t="n"/>
      <c r="L35" s="114" t="n"/>
      <c r="M35" s="36" t="n"/>
      <c r="N35" s="14">
        <f>O34</f>
        <v/>
      </c>
      <c r="O35" s="14" t="n">
        <v>92100</v>
      </c>
      <c r="P35" s="151">
        <f>O35-N35</f>
        <v/>
      </c>
      <c r="Q35" s="84" t="n"/>
      <c r="R35" s="42">
        <f>R34</f>
        <v/>
      </c>
      <c r="S35" s="24" t="inlineStr">
        <is>
          <t>NIGHT</t>
        </is>
      </c>
      <c r="T35" s="14">
        <f>U34</f>
        <v/>
      </c>
      <c r="U35" s="14" t="n">
        <v>4654</v>
      </c>
      <c r="V35" s="14">
        <f>U35-T35</f>
        <v/>
      </c>
      <c r="W35" s="3" t="n"/>
      <c r="X35" s="3" t="n"/>
      <c r="Y35" s="3" t="n"/>
      <c r="Z35" s="4" t="n"/>
      <c r="AA35" s="119" t="n"/>
      <c r="AB35" s="114" t="n"/>
      <c r="AC35" s="114" t="n"/>
      <c r="AD35" s="36" t="n"/>
      <c r="AE35" s="85">
        <f>AF34</f>
        <v/>
      </c>
      <c r="AF35" s="14" t="n">
        <v>74201</v>
      </c>
      <c r="AG35" s="151">
        <f>AF35-AE35</f>
        <v/>
      </c>
    </row>
    <row r="36">
      <c r="A36" s="42">
        <f>A34+1</f>
        <v/>
      </c>
      <c r="B36" s="24" t="inlineStr">
        <is>
          <t>DAY</t>
        </is>
      </c>
      <c r="C36" s="14">
        <f>D35</f>
        <v/>
      </c>
      <c r="D36" s="14" t="n">
        <v>6528</v>
      </c>
      <c r="E36" s="14">
        <f>D36-C36</f>
        <v/>
      </c>
      <c r="F36" s="3" t="n"/>
      <c r="G36" s="3" t="n"/>
      <c r="H36" s="3" t="n"/>
      <c r="I36" s="34" t="n"/>
      <c r="J36" s="35" t="n"/>
      <c r="K36" s="15" t="n"/>
      <c r="L36" s="114" t="n"/>
      <c r="M36" s="36" t="n"/>
      <c r="N36" s="14">
        <f>O35</f>
        <v/>
      </c>
      <c r="O36" s="14" t="n">
        <v>92227</v>
      </c>
      <c r="P36" s="151">
        <f>O36-N36</f>
        <v/>
      </c>
      <c r="Q36" s="84" t="n"/>
      <c r="R36" s="42">
        <f>R34+1</f>
        <v/>
      </c>
      <c r="S36" s="24" t="inlineStr">
        <is>
          <t>DAY</t>
        </is>
      </c>
      <c r="T36" s="14">
        <f>U35</f>
        <v/>
      </c>
      <c r="U36" s="14" t="n">
        <v>4662</v>
      </c>
      <c r="V36" s="14">
        <f>U36-T36</f>
        <v/>
      </c>
      <c r="W36" s="3" t="n"/>
      <c r="X36" s="3" t="n"/>
      <c r="Y36" s="3" t="n"/>
      <c r="Z36" s="4" t="n"/>
      <c r="AA36" s="119" t="n"/>
      <c r="AB36" s="114" t="n"/>
      <c r="AC36" s="114" t="n"/>
      <c r="AD36" s="36" t="n"/>
      <c r="AE36" s="85">
        <f>AF35</f>
        <v/>
      </c>
      <c r="AF36" s="14" t="n">
        <v>74313</v>
      </c>
      <c r="AG36" s="151">
        <f>AF36-AE36</f>
        <v/>
      </c>
    </row>
    <row r="37">
      <c r="A37" s="42">
        <f>A36</f>
        <v/>
      </c>
      <c r="B37" s="24" t="inlineStr">
        <is>
          <t>NIGHT</t>
        </is>
      </c>
      <c r="C37" s="14">
        <f>D36</f>
        <v/>
      </c>
      <c r="D37" s="14" t="n">
        <v>6533</v>
      </c>
      <c r="E37" s="14">
        <f>D37-C37</f>
        <v/>
      </c>
      <c r="F37" s="3" t="n"/>
      <c r="G37" s="3" t="n"/>
      <c r="H37" s="3" t="n"/>
      <c r="I37" s="34" t="n"/>
      <c r="J37" s="35" t="n"/>
      <c r="K37" s="15" t="n"/>
      <c r="L37" s="114" t="n"/>
      <c r="M37" s="36" t="n"/>
      <c r="N37" s="14">
        <f>O36</f>
        <v/>
      </c>
      <c r="O37" s="14" t="n">
        <v>92313</v>
      </c>
      <c r="P37" s="151">
        <f>O37-N37</f>
        <v/>
      </c>
      <c r="Q37" s="84" t="n"/>
      <c r="R37" s="42">
        <f>R36</f>
        <v/>
      </c>
      <c r="S37" s="24" t="inlineStr">
        <is>
          <t>NIGHT</t>
        </is>
      </c>
      <c r="T37" s="14">
        <f>U36</f>
        <v/>
      </c>
      <c r="U37" s="14" t="n">
        <v>4669</v>
      </c>
      <c r="V37" s="14">
        <f>U37-T37</f>
        <v/>
      </c>
      <c r="W37" s="3" t="n"/>
      <c r="X37" s="3" t="n"/>
      <c r="Y37" s="3" t="n"/>
      <c r="Z37" s="4" t="n"/>
      <c r="AA37" s="119" t="n"/>
      <c r="AB37" s="114" t="n"/>
      <c r="AC37" s="114" t="n"/>
      <c r="AD37" s="36" t="n"/>
      <c r="AE37" s="85">
        <f>AF36</f>
        <v/>
      </c>
      <c r="AF37" s="14" t="n">
        <v>74497</v>
      </c>
      <c r="AG37" s="151">
        <f>AF37-AE37</f>
        <v/>
      </c>
    </row>
    <row r="38">
      <c r="A38" s="42">
        <f>A36+1</f>
        <v/>
      </c>
      <c r="B38" s="24" t="inlineStr">
        <is>
          <t>DAY</t>
        </is>
      </c>
      <c r="C38" s="14">
        <f>D37</f>
        <v/>
      </c>
      <c r="D38" s="14" t="n">
        <v>6541</v>
      </c>
      <c r="E38" s="14">
        <f>D38-C38</f>
        <v/>
      </c>
      <c r="F38" s="3" t="n">
        <v>300</v>
      </c>
      <c r="G38" s="3" t="n">
        <v>6536</v>
      </c>
      <c r="H38" s="3">
        <f>G38-G32</f>
        <v/>
      </c>
      <c r="I38" s="34">
        <f>F38/H38</f>
        <v/>
      </c>
      <c r="J38" s="35" t="n"/>
      <c r="K38" s="15" t="n"/>
      <c r="L38" s="114" t="n"/>
      <c r="M38" s="36" t="n"/>
      <c r="N38" s="14">
        <f>O37</f>
        <v/>
      </c>
      <c r="O38" s="14" t="n">
        <v>92422</v>
      </c>
      <c r="P38" s="151">
        <f>O38-N38</f>
        <v/>
      </c>
      <c r="Q38" s="84" t="n"/>
      <c r="R38" s="42">
        <f>R36+1</f>
        <v/>
      </c>
      <c r="S38" s="24" t="inlineStr">
        <is>
          <t>DAY</t>
        </is>
      </c>
      <c r="T38" s="14">
        <f>U37</f>
        <v/>
      </c>
      <c r="U38" s="14" t="n">
        <v>4674</v>
      </c>
      <c r="V38" s="14">
        <f>U38-T38</f>
        <v/>
      </c>
      <c r="W38" s="3" t="n">
        <v>300</v>
      </c>
      <c r="X38" s="3" t="inlineStr">
        <is>
          <t>n/f</t>
        </is>
      </c>
      <c r="Y38" s="3" t="n"/>
      <c r="Z38" s="4" t="n"/>
      <c r="AA38" s="119" t="n"/>
      <c r="AB38" s="114" t="n"/>
      <c r="AC38" s="114" t="n"/>
      <c r="AD38" s="36" t="n"/>
      <c r="AE38" s="85">
        <f>AF37</f>
        <v/>
      </c>
      <c r="AF38" s="14" t="n">
        <v>74577</v>
      </c>
      <c r="AG38" s="151">
        <f>AF38-AE38</f>
        <v/>
      </c>
    </row>
    <row r="39">
      <c r="A39" s="42">
        <f>A38</f>
        <v/>
      </c>
      <c r="B39" s="24" t="inlineStr">
        <is>
          <t>NIGHT</t>
        </is>
      </c>
      <c r="C39" s="14">
        <f>D38</f>
        <v/>
      </c>
      <c r="D39" s="14" t="n">
        <v>6546</v>
      </c>
      <c r="E39" s="14">
        <f>D39-C39</f>
        <v/>
      </c>
      <c r="F39" s="3" t="n"/>
      <c r="G39" s="3" t="n"/>
      <c r="H39" s="3" t="n"/>
      <c r="I39" s="34" t="n"/>
      <c r="J39" s="35" t="n"/>
      <c r="K39" s="15" t="n"/>
      <c r="L39" s="114" t="n"/>
      <c r="M39" s="36" t="n"/>
      <c r="N39" s="14">
        <f>O38</f>
        <v/>
      </c>
      <c r="O39" s="14" t="n">
        <v>92500</v>
      </c>
      <c r="P39" s="151">
        <f>O39-N39</f>
        <v/>
      </c>
      <c r="Q39" s="84" t="n"/>
      <c r="R39" s="42">
        <f>R38</f>
        <v/>
      </c>
      <c r="S39" s="24" t="inlineStr">
        <is>
          <t>NIGHT</t>
        </is>
      </c>
      <c r="T39" s="14">
        <f>U38</f>
        <v/>
      </c>
      <c r="U39" s="14" t="n">
        <v>4678</v>
      </c>
      <c r="V39" s="14">
        <f>U39-T39</f>
        <v/>
      </c>
      <c r="W39" s="3" t="n"/>
      <c r="X39" s="3" t="n"/>
      <c r="Y39" s="3" t="n"/>
      <c r="Z39" s="4" t="n"/>
      <c r="AA39" s="119" t="n"/>
      <c r="AB39" s="114" t="n"/>
      <c r="AC39" s="114" t="n"/>
      <c r="AD39" s="36" t="n"/>
      <c r="AE39" s="85">
        <f>AF38</f>
        <v/>
      </c>
      <c r="AF39" s="14" t="n">
        <v>74644</v>
      </c>
      <c r="AG39" s="151">
        <f>AF39-AE39</f>
        <v/>
      </c>
    </row>
    <row r="40">
      <c r="A40" s="42">
        <f>A38+1</f>
        <v/>
      </c>
      <c r="B40" s="24" t="inlineStr">
        <is>
          <t>DAY</t>
        </is>
      </c>
      <c r="C40" s="14">
        <f>D39</f>
        <v/>
      </c>
      <c r="D40" s="14" t="n">
        <v>6556</v>
      </c>
      <c r="E40" s="14">
        <f>D40-C40</f>
        <v/>
      </c>
      <c r="F40" s="3" t="n"/>
      <c r="G40" s="3" t="n"/>
      <c r="H40" s="3" t="n"/>
      <c r="I40" s="34" t="n"/>
      <c r="J40" s="61" t="n"/>
      <c r="K40" s="61" t="n"/>
      <c r="L40" s="114" t="n"/>
      <c r="M40" s="36" t="n"/>
      <c r="N40" s="14">
        <f>O39</f>
        <v/>
      </c>
      <c r="O40" s="87" t="n">
        <v>92617</v>
      </c>
      <c r="P40" s="151">
        <f>O40-N40</f>
        <v/>
      </c>
      <c r="Q40" s="84" t="n"/>
      <c r="R40" s="42">
        <f>R38+1</f>
        <v/>
      </c>
      <c r="S40" s="24" t="inlineStr">
        <is>
          <t>DAY</t>
        </is>
      </c>
      <c r="T40" s="14">
        <f>U39</f>
        <v/>
      </c>
      <c r="U40" s="14" t="n">
        <v>4685</v>
      </c>
      <c r="V40" s="14">
        <f>U40-T40</f>
        <v/>
      </c>
      <c r="W40" s="3" t="n"/>
      <c r="X40" s="3" t="n"/>
      <c r="Y40" s="3" t="n"/>
      <c r="Z40" s="4" t="n"/>
      <c r="AA40" s="119" t="n"/>
      <c r="AB40" s="114" t="n"/>
      <c r="AC40" s="114" t="n"/>
      <c r="AD40" s="36" t="n"/>
      <c r="AE40" s="85">
        <f>AF39</f>
        <v/>
      </c>
      <c r="AF40" s="14" t="n">
        <v>74725</v>
      </c>
      <c r="AG40" s="151">
        <f>AF40-AE40</f>
        <v/>
      </c>
    </row>
    <row r="41">
      <c r="A41" s="42">
        <f>A40</f>
        <v/>
      </c>
      <c r="B41" s="24" t="inlineStr">
        <is>
          <t>NIGHT</t>
        </is>
      </c>
      <c r="C41" s="14">
        <f>D40</f>
        <v/>
      </c>
      <c r="D41" s="14" t="n">
        <v>6560</v>
      </c>
      <c r="E41" s="14">
        <f>D41-C41</f>
        <v/>
      </c>
      <c r="F41" s="3" t="n"/>
      <c r="G41" s="3" t="n"/>
      <c r="H41" s="3" t="n"/>
      <c r="I41" s="34" t="n"/>
      <c r="J41" s="61" t="n"/>
      <c r="K41" s="61" t="n"/>
      <c r="L41" s="114" t="n"/>
      <c r="M41" s="36" t="n"/>
      <c r="N41" s="14">
        <f>O40</f>
        <v/>
      </c>
      <c r="O41" s="14" t="n">
        <v>92672</v>
      </c>
      <c r="P41" s="151">
        <f>O41-N41</f>
        <v/>
      </c>
      <c r="Q41" s="84" t="n"/>
      <c r="R41" s="42">
        <f>R40</f>
        <v/>
      </c>
      <c r="S41" s="24" t="inlineStr">
        <is>
          <t>NIGHT</t>
        </is>
      </c>
      <c r="T41" s="14">
        <f>U40</f>
        <v/>
      </c>
      <c r="U41" s="14" t="n">
        <v>4693</v>
      </c>
      <c r="V41" s="14">
        <f>U41-T41</f>
        <v/>
      </c>
      <c r="W41" s="3" t="n"/>
      <c r="X41" s="3" t="n"/>
      <c r="Y41" s="3" t="n"/>
      <c r="Z41" s="4" t="n"/>
      <c r="AA41" s="119" t="n"/>
      <c r="AB41" s="114" t="n"/>
      <c r="AC41" s="114" t="n"/>
      <c r="AD41" s="36" t="n"/>
      <c r="AE41" s="85">
        <f>AF40</f>
        <v/>
      </c>
      <c r="AF41" s="14" t="n">
        <v>74919</v>
      </c>
      <c r="AG41" s="151">
        <f>AF41-AE41</f>
        <v/>
      </c>
    </row>
    <row r="42">
      <c r="A42" s="42">
        <f>A40+1</f>
        <v/>
      </c>
      <c r="B42" s="24" t="inlineStr">
        <is>
          <t>DAY</t>
        </is>
      </c>
      <c r="C42" s="14">
        <f>D41</f>
        <v/>
      </c>
      <c r="D42" s="14" t="n">
        <v>6567</v>
      </c>
      <c r="E42" s="14">
        <f>D42-C42</f>
        <v/>
      </c>
      <c r="F42" s="3" t="n">
        <v>179</v>
      </c>
      <c r="G42" s="3" t="n">
        <v>6566</v>
      </c>
      <c r="H42" s="3">
        <f>G42-G38</f>
        <v/>
      </c>
      <c r="I42" s="34">
        <f>F42/H42</f>
        <v/>
      </c>
      <c r="J42" s="61" t="n"/>
      <c r="K42" s="61" t="n"/>
      <c r="L42" s="114" t="n"/>
      <c r="M42" s="36" t="n"/>
      <c r="N42" s="14">
        <f>O41</f>
        <v/>
      </c>
      <c r="O42" s="14" t="n">
        <v>92708</v>
      </c>
      <c r="P42" s="151">
        <f>O42-N42</f>
        <v/>
      </c>
      <c r="Q42" s="84" t="n"/>
      <c r="R42" s="42">
        <f>R40+1</f>
        <v/>
      </c>
      <c r="S42" s="24" t="inlineStr">
        <is>
          <t>DAY</t>
        </is>
      </c>
      <c r="T42" s="14">
        <f>U41</f>
        <v/>
      </c>
      <c r="U42" s="14" t="n">
        <v>4702</v>
      </c>
      <c r="V42" s="14">
        <f>U42-T42</f>
        <v/>
      </c>
      <c r="W42" s="3" t="n">
        <v>757</v>
      </c>
      <c r="X42" s="3" t="n">
        <v>4697</v>
      </c>
      <c r="Y42" s="3">
        <f>X42-X32</f>
        <v/>
      </c>
      <c r="Z42" s="4">
        <f>(W42+W38)/Y42</f>
        <v/>
      </c>
      <c r="AA42" s="115" t="n"/>
      <c r="AB42" s="113" t="n"/>
      <c r="AC42" s="113" t="n"/>
      <c r="AD42" s="34" t="n"/>
      <c r="AE42" s="85">
        <f>AF41</f>
        <v/>
      </c>
      <c r="AF42" s="14" t="n">
        <v>75116</v>
      </c>
      <c r="AG42" s="151">
        <f>AF42-AE42</f>
        <v/>
      </c>
    </row>
    <row r="43">
      <c r="A43" s="42">
        <f>A42</f>
        <v/>
      </c>
      <c r="B43" s="24" t="inlineStr">
        <is>
          <t>NIGHT</t>
        </is>
      </c>
      <c r="C43" s="14">
        <f>D42</f>
        <v/>
      </c>
      <c r="D43" s="14" t="n">
        <v>6576</v>
      </c>
      <c r="E43" s="14">
        <f>D43-C43</f>
        <v/>
      </c>
      <c r="F43" s="3" t="n"/>
      <c r="G43" s="3" t="n"/>
      <c r="H43" s="3" t="n"/>
      <c r="I43" s="34" t="n"/>
      <c r="J43" s="61" t="n"/>
      <c r="K43" s="61" t="n"/>
      <c r="L43" s="114" t="n"/>
      <c r="M43" s="36" t="n"/>
      <c r="N43" s="14">
        <f>O42</f>
        <v/>
      </c>
      <c r="O43" s="14" t="n">
        <v>92861</v>
      </c>
      <c r="P43" s="151">
        <f>O43-N43</f>
        <v/>
      </c>
      <c r="Q43" s="84" t="n"/>
      <c r="R43" s="42">
        <f>R42</f>
        <v/>
      </c>
      <c r="S43" s="24" t="inlineStr">
        <is>
          <t>NIGHT</t>
        </is>
      </c>
      <c r="T43" s="14">
        <f>U42</f>
        <v/>
      </c>
      <c r="U43" s="14" t="n">
        <v>4707</v>
      </c>
      <c r="V43" s="14">
        <f>U43-T43</f>
        <v/>
      </c>
      <c r="W43" s="3" t="n"/>
      <c r="X43" s="3" t="n"/>
      <c r="Y43" s="3" t="n"/>
      <c r="Z43" s="4" t="n"/>
      <c r="AA43" s="119" t="n"/>
      <c r="AB43" s="114" t="n"/>
      <c r="AC43" s="114" t="n"/>
      <c r="AD43" s="36" t="n"/>
      <c r="AE43" s="85">
        <f>AF42</f>
        <v/>
      </c>
      <c r="AF43" s="14" t="n">
        <v>75190</v>
      </c>
      <c r="AG43" s="151">
        <f>AF43-AE43</f>
        <v/>
      </c>
    </row>
    <row r="44">
      <c r="A44" s="42">
        <f>A42+1</f>
        <v/>
      </c>
      <c r="B44" s="24" t="inlineStr">
        <is>
          <t>DAY</t>
        </is>
      </c>
      <c r="C44" s="14">
        <f>D43</f>
        <v/>
      </c>
      <c r="D44" s="14" t="n">
        <v>6580</v>
      </c>
      <c r="E44" s="14">
        <f>D44-C44</f>
        <v/>
      </c>
      <c r="F44" s="3" t="n"/>
      <c r="G44" s="3" t="n"/>
      <c r="H44" s="3" t="n"/>
      <c r="I44" s="34" t="n"/>
      <c r="J44" s="61" t="n"/>
      <c r="K44" s="61" t="n"/>
      <c r="L44" s="114" t="n"/>
      <c r="M44" s="36" t="n"/>
      <c r="N44" s="14">
        <f>O43</f>
        <v/>
      </c>
      <c r="O44" s="14" t="n">
        <v>92884</v>
      </c>
      <c r="P44" s="151">
        <f>O44-N44</f>
        <v/>
      </c>
      <c r="Q44" s="84" t="n"/>
      <c r="R44" s="42">
        <f>R42+1</f>
        <v/>
      </c>
      <c r="S44" s="24" t="inlineStr">
        <is>
          <t>DAY</t>
        </is>
      </c>
      <c r="T44" s="14">
        <f>U43</f>
        <v/>
      </c>
      <c r="U44" s="14" t="n">
        <v>4716</v>
      </c>
      <c r="V44" s="14">
        <f>U44-T44</f>
        <v/>
      </c>
      <c r="W44" s="3" t="n"/>
      <c r="X44" s="3" t="n"/>
      <c r="Y44" s="3" t="n"/>
      <c r="Z44" s="4" t="n"/>
      <c r="AA44" s="119" t="n"/>
      <c r="AB44" s="114" t="n"/>
      <c r="AC44" s="114" t="n"/>
      <c r="AD44" s="36" t="n"/>
      <c r="AE44" s="85">
        <f>AF43</f>
        <v/>
      </c>
      <c r="AF44" s="14" t="n">
        <v>75355</v>
      </c>
      <c r="AG44" s="151">
        <f>AF44-AE44</f>
        <v/>
      </c>
    </row>
    <row r="45">
      <c r="A45" s="42">
        <f>A44</f>
        <v/>
      </c>
      <c r="B45" s="24" t="inlineStr">
        <is>
          <t>NIGHT</t>
        </is>
      </c>
      <c r="C45" s="14">
        <f>D44</f>
        <v/>
      </c>
      <c r="D45" s="14" t="n">
        <v>6584</v>
      </c>
      <c r="E45" s="14">
        <f>D45-C45</f>
        <v/>
      </c>
      <c r="F45" s="3" t="n"/>
      <c r="G45" s="3" t="n"/>
      <c r="H45" s="3" t="n"/>
      <c r="I45" s="34" t="n"/>
      <c r="J45" s="61" t="n"/>
      <c r="K45" s="61" t="n"/>
      <c r="L45" s="114" t="n"/>
      <c r="M45" s="36" t="n"/>
      <c r="N45" s="14">
        <f>O44</f>
        <v/>
      </c>
      <c r="O45" s="14" t="n">
        <v>92938</v>
      </c>
      <c r="P45" s="151">
        <f>O45-N45</f>
        <v/>
      </c>
      <c r="Q45" s="84" t="n"/>
      <c r="R45" s="42">
        <f>R44</f>
        <v/>
      </c>
      <c r="S45" s="24" t="inlineStr">
        <is>
          <t>NIGHT</t>
        </is>
      </c>
      <c r="T45" s="14">
        <f>U44</f>
        <v/>
      </c>
      <c r="U45" s="14" t="n">
        <v>4718</v>
      </c>
      <c r="V45" s="14">
        <f>U45-T45</f>
        <v/>
      </c>
      <c r="W45" s="3" t="n"/>
      <c r="X45" s="3" t="n"/>
      <c r="Y45" s="3" t="n"/>
      <c r="Z45" s="4" t="n"/>
      <c r="AA45" s="119" t="n"/>
      <c r="AB45" s="114" t="n"/>
      <c r="AC45" s="114" t="n"/>
      <c r="AD45" s="36" t="n"/>
      <c r="AE45" s="85">
        <f>AF44</f>
        <v/>
      </c>
      <c r="AF45" s="14" t="n">
        <v>75369</v>
      </c>
      <c r="AG45" s="151">
        <f>AF45-AE45</f>
        <v/>
      </c>
    </row>
    <row r="46">
      <c r="A46" s="42">
        <f>A44+1</f>
        <v/>
      </c>
      <c r="B46" s="24" t="inlineStr">
        <is>
          <t>DAY</t>
        </is>
      </c>
      <c r="C46" s="14">
        <f>D45</f>
        <v/>
      </c>
      <c r="D46" s="14" t="n">
        <v>6589</v>
      </c>
      <c r="E46" s="14">
        <f>D46-C46</f>
        <v/>
      </c>
      <c r="F46" s="3" t="n">
        <v>461</v>
      </c>
      <c r="G46" s="3" t="n">
        <v>6586</v>
      </c>
      <c r="H46" s="3">
        <f>G46-G42</f>
        <v/>
      </c>
      <c r="I46" s="34">
        <f>F46/H46</f>
        <v/>
      </c>
      <c r="J46" s="61" t="n"/>
      <c r="K46" s="61" t="n"/>
      <c r="L46" s="114" t="n"/>
      <c r="M46" s="36" t="n"/>
      <c r="N46" s="14">
        <f>O45</f>
        <v/>
      </c>
      <c r="O46" s="14" t="n">
        <v>92964</v>
      </c>
      <c r="P46" s="151">
        <f>O46-N46</f>
        <v/>
      </c>
      <c r="Q46" s="84" t="n"/>
      <c r="R46" s="42">
        <f>R44+1</f>
        <v/>
      </c>
      <c r="S46" s="24" t="inlineStr">
        <is>
          <t>DAY</t>
        </is>
      </c>
      <c r="T46" s="14">
        <f>U45</f>
        <v/>
      </c>
      <c r="U46" s="14" t="n">
        <v>4727</v>
      </c>
      <c r="V46" s="14">
        <f>U46-T46</f>
        <v/>
      </c>
      <c r="W46" s="86" t="n"/>
      <c r="X46" s="3" t="n"/>
      <c r="Y46" s="3" t="n"/>
      <c r="Z46" s="4" t="n"/>
      <c r="AA46" s="115" t="n"/>
      <c r="AB46" s="114" t="n"/>
      <c r="AC46" s="114" t="n"/>
      <c r="AD46" s="36" t="n"/>
      <c r="AE46" s="85">
        <f>AF45</f>
        <v/>
      </c>
      <c r="AF46" s="14" t="n">
        <v>75548</v>
      </c>
      <c r="AG46" s="151">
        <f>AF46-AE46</f>
        <v/>
      </c>
    </row>
    <row r="47">
      <c r="A47" s="42">
        <f>A46</f>
        <v/>
      </c>
      <c r="B47" s="24" t="inlineStr">
        <is>
          <t>NIGHT</t>
        </is>
      </c>
      <c r="C47" s="14">
        <f>D46</f>
        <v/>
      </c>
      <c r="D47" s="14" t="n">
        <v>6591</v>
      </c>
      <c r="E47" s="14">
        <f>D47-C47</f>
        <v/>
      </c>
      <c r="F47" s="3" t="n"/>
      <c r="G47" s="3" t="n"/>
      <c r="H47" s="3" t="n"/>
      <c r="I47" s="34" t="n"/>
      <c r="J47" s="33" t="n"/>
      <c r="K47" s="4" t="n"/>
      <c r="L47" s="113" t="n"/>
      <c r="M47" s="34" t="n"/>
      <c r="N47" s="14">
        <f>O46</f>
        <v/>
      </c>
      <c r="O47" s="14" t="n">
        <v>92981</v>
      </c>
      <c r="P47" s="151">
        <f>O47-N47</f>
        <v/>
      </c>
      <c r="Q47" s="84" t="n"/>
      <c r="R47" s="100">
        <f>R46</f>
        <v/>
      </c>
      <c r="S47" s="7" t="inlineStr">
        <is>
          <t>NIGHT</t>
        </is>
      </c>
      <c r="T47" s="14">
        <f>U46</f>
        <v/>
      </c>
      <c r="U47" s="1" t="n">
        <v>4734</v>
      </c>
      <c r="V47" s="1">
        <f>U47-T47</f>
        <v/>
      </c>
      <c r="W47" s="101" t="n"/>
      <c r="X47" s="101" t="n"/>
      <c r="Y47" s="101" t="n"/>
      <c r="Z47" s="102" t="n"/>
      <c r="AA47" s="120" t="n"/>
      <c r="AB47" s="120" t="n"/>
      <c r="AC47" s="121" t="n"/>
      <c r="AD47" s="105" t="n"/>
      <c r="AE47" s="85">
        <f>AF46</f>
        <v/>
      </c>
      <c r="AF47" s="1" t="n">
        <v>75621</v>
      </c>
      <c r="AG47" s="9">
        <f>AF47-AE47</f>
        <v/>
      </c>
    </row>
    <row r="48">
      <c r="A48" s="42">
        <f>A46+1</f>
        <v/>
      </c>
      <c r="B48" s="24" t="inlineStr">
        <is>
          <t>DAY</t>
        </is>
      </c>
      <c r="C48" s="14">
        <f>D47</f>
        <v/>
      </c>
      <c r="D48" s="14" t="n">
        <v>6598</v>
      </c>
      <c r="E48" s="14">
        <f>D48-C48</f>
        <v/>
      </c>
      <c r="F48" s="3" t="n"/>
      <c r="G48" s="3" t="n"/>
      <c r="H48" s="3" t="n"/>
      <c r="I48" s="34" t="n"/>
      <c r="J48" s="35" t="n"/>
      <c r="K48" s="15" t="n"/>
      <c r="L48" s="114" t="n"/>
      <c r="M48" s="36" t="n"/>
      <c r="N48" s="14">
        <f>O47</f>
        <v/>
      </c>
      <c r="O48" s="14" t="n">
        <v>93101</v>
      </c>
      <c r="P48" s="151">
        <f>O48-N48</f>
        <v/>
      </c>
      <c r="Q48" s="84" t="n"/>
      <c r="R48" s="42">
        <f>R46+1</f>
        <v/>
      </c>
      <c r="S48" s="24" t="inlineStr">
        <is>
          <t>DAY</t>
        </is>
      </c>
      <c r="T48" s="14">
        <f>U47</f>
        <v/>
      </c>
      <c r="U48" s="14" t="n">
        <v>4741</v>
      </c>
      <c r="V48" s="14">
        <f>U48-T48</f>
        <v/>
      </c>
      <c r="W48" s="3" t="n">
        <v>302</v>
      </c>
      <c r="X48" s="3" t="inlineStr">
        <is>
          <t>n/f</t>
        </is>
      </c>
      <c r="Y48" s="3" t="n"/>
      <c r="Z48" s="4" t="n"/>
      <c r="AA48" s="115" t="n"/>
      <c r="AB48" s="115" t="n"/>
      <c r="AC48" s="114" t="n"/>
      <c r="AD48" s="36" t="n"/>
      <c r="AE48" s="85">
        <f>AF47</f>
        <v/>
      </c>
      <c r="AF48" s="14" t="n">
        <v>75773</v>
      </c>
      <c r="AG48" s="151">
        <f>AF48-AE48</f>
        <v/>
      </c>
    </row>
    <row r="49">
      <c r="A49" s="42">
        <f>A48</f>
        <v/>
      </c>
      <c r="B49" s="24" t="inlineStr">
        <is>
          <t>NIGHT</t>
        </is>
      </c>
      <c r="C49" s="14">
        <f>D48</f>
        <v/>
      </c>
      <c r="D49" s="14" t="n">
        <v>6603</v>
      </c>
      <c r="E49" s="14">
        <f>D49-C49</f>
        <v/>
      </c>
      <c r="F49" s="3" t="n"/>
      <c r="G49" s="3" t="n"/>
      <c r="H49" s="3" t="n"/>
      <c r="I49" s="34" t="n"/>
      <c r="J49" s="35" t="n"/>
      <c r="K49" s="15" t="n"/>
      <c r="L49" s="114" t="n"/>
      <c r="M49" s="36" t="n"/>
      <c r="N49" s="14">
        <f>O48</f>
        <v/>
      </c>
      <c r="O49" s="14" t="n">
        <v>93201</v>
      </c>
      <c r="P49" s="151">
        <f>O49-N49</f>
        <v/>
      </c>
      <c r="Q49" s="84" t="n"/>
      <c r="R49" s="42">
        <f>R48</f>
        <v/>
      </c>
      <c r="S49" s="24" t="inlineStr">
        <is>
          <t>NIGHT</t>
        </is>
      </c>
      <c r="T49" s="14">
        <f>U48</f>
        <v/>
      </c>
      <c r="U49" s="14" t="n">
        <v>4747</v>
      </c>
      <c r="V49" s="14">
        <f>U49-T49</f>
        <v/>
      </c>
      <c r="W49" s="3" t="n"/>
      <c r="X49" s="3" t="n"/>
      <c r="Y49" s="3" t="n"/>
      <c r="Z49" s="4" t="n"/>
      <c r="AA49" s="119" t="n"/>
      <c r="AB49" s="114" t="n"/>
      <c r="AC49" s="114" t="n"/>
      <c r="AD49" s="36" t="n"/>
      <c r="AE49" s="85">
        <f>AF48</f>
        <v/>
      </c>
      <c r="AF49" s="14" t="n">
        <v>75827</v>
      </c>
      <c r="AG49" s="151">
        <f>AF49-AE49</f>
        <v/>
      </c>
    </row>
    <row r="50">
      <c r="A50" s="42">
        <f>A48+1</f>
        <v/>
      </c>
      <c r="B50" s="24" t="inlineStr">
        <is>
          <t>DAY</t>
        </is>
      </c>
      <c r="C50" s="14">
        <f>D49</f>
        <v/>
      </c>
      <c r="D50" s="14" t="n">
        <v>6613</v>
      </c>
      <c r="E50" s="14">
        <f>D50-C50</f>
        <v/>
      </c>
      <c r="F50" s="3" t="n"/>
      <c r="G50" s="3" t="n"/>
      <c r="H50" s="3" t="n"/>
      <c r="I50" s="34" t="n"/>
      <c r="J50" s="35" t="n"/>
      <c r="K50" s="15" t="n"/>
      <c r="L50" s="114" t="n"/>
      <c r="M50" s="36" t="n"/>
      <c r="N50" s="14">
        <f>O49</f>
        <v/>
      </c>
      <c r="O50" s="14" t="n">
        <v>93313</v>
      </c>
      <c r="P50" s="151">
        <f>O50-N50</f>
        <v/>
      </c>
      <c r="Q50" s="84" t="n"/>
      <c r="R50" s="42">
        <f>R48+1</f>
        <v/>
      </c>
      <c r="S50" s="24" t="inlineStr">
        <is>
          <t>DAY</t>
        </is>
      </c>
      <c r="T50" s="14">
        <f>U49</f>
        <v/>
      </c>
      <c r="U50" s="14" t="n">
        <v>4749</v>
      </c>
      <c r="V50" s="14">
        <f>U50-T50</f>
        <v/>
      </c>
      <c r="W50" s="3" t="n"/>
      <c r="X50" s="3" t="n"/>
      <c r="Y50" s="3" t="n"/>
      <c r="Z50" s="4" t="n"/>
      <c r="AA50" s="119" t="n"/>
      <c r="AB50" s="114" t="n"/>
      <c r="AC50" s="114" t="n"/>
      <c r="AD50" s="36" t="n"/>
      <c r="AE50" s="85">
        <f>AF49</f>
        <v/>
      </c>
      <c r="AF50" s="14" t="n">
        <v>75852</v>
      </c>
      <c r="AG50" s="151">
        <f>AF50-AE50</f>
        <v/>
      </c>
    </row>
    <row r="51">
      <c r="A51" s="42">
        <f>A50</f>
        <v/>
      </c>
      <c r="B51" s="24" t="inlineStr">
        <is>
          <t>NIGHT</t>
        </is>
      </c>
      <c r="C51" s="14">
        <f>D50</f>
        <v/>
      </c>
      <c r="D51" s="14" t="n">
        <v>6621</v>
      </c>
      <c r="E51" s="14">
        <f>D51-C51</f>
        <v/>
      </c>
      <c r="F51" s="3" t="n"/>
      <c r="G51" s="3" t="n"/>
      <c r="H51" s="3" t="n"/>
      <c r="I51" s="34" t="n"/>
      <c r="J51" s="35" t="n"/>
      <c r="K51" s="15" t="n"/>
      <c r="L51" s="114" t="n"/>
      <c r="M51" s="36" t="n"/>
      <c r="N51" s="14">
        <f>O50</f>
        <v/>
      </c>
      <c r="O51" s="14" t="n">
        <v>93408</v>
      </c>
      <c r="P51" s="151">
        <f>O51-N51</f>
        <v/>
      </c>
      <c r="Q51" s="84" t="n"/>
      <c r="R51" s="42">
        <f>R50</f>
        <v/>
      </c>
      <c r="S51" s="24" t="inlineStr">
        <is>
          <t>NIGHT</t>
        </is>
      </c>
      <c r="T51" s="14">
        <f>U50</f>
        <v/>
      </c>
      <c r="U51" s="14" t="n">
        <v>4752</v>
      </c>
      <c r="V51" s="14">
        <f>U51-T51</f>
        <v/>
      </c>
      <c r="W51" s="3" t="n"/>
      <c r="X51" s="3" t="n"/>
      <c r="Y51" s="3" t="n"/>
      <c r="Z51" s="4" t="n"/>
      <c r="AA51" s="119" t="n"/>
      <c r="AB51" s="114" t="n"/>
      <c r="AC51" s="114" t="n"/>
      <c r="AD51" s="36" t="n"/>
      <c r="AE51" s="85">
        <f>AF50</f>
        <v/>
      </c>
      <c r="AF51" s="14" t="n">
        <v>75872</v>
      </c>
      <c r="AG51" s="151">
        <f>AF51-AE51</f>
        <v/>
      </c>
    </row>
    <row r="52">
      <c r="A52" s="42">
        <f>A50+1</f>
        <v/>
      </c>
      <c r="B52" s="24" t="inlineStr">
        <is>
          <t>DAY</t>
        </is>
      </c>
      <c r="C52" s="14">
        <f>D51</f>
        <v/>
      </c>
      <c r="D52" s="14" t="n">
        <v>6631</v>
      </c>
      <c r="E52" s="14">
        <f>D52-C52</f>
        <v/>
      </c>
      <c r="F52" s="3" t="n">
        <v>400</v>
      </c>
      <c r="G52" s="3" t="n">
        <v>6630</v>
      </c>
      <c r="H52" s="3">
        <f>G52-G46</f>
        <v/>
      </c>
      <c r="I52" s="34">
        <f>F52/H52</f>
        <v/>
      </c>
      <c r="J52" s="35" t="n"/>
      <c r="K52" s="15" t="n"/>
      <c r="L52" s="114" t="n"/>
      <c r="M52" s="36" t="n"/>
      <c r="N52" s="14">
        <f>O51</f>
        <v/>
      </c>
      <c r="O52" s="14" t="n">
        <v>93510</v>
      </c>
      <c r="P52" s="151">
        <f>O52-N52</f>
        <v/>
      </c>
      <c r="Q52" s="84" t="n"/>
      <c r="R52" s="42">
        <f>R50+1</f>
        <v/>
      </c>
      <c r="S52" s="24" t="inlineStr">
        <is>
          <t>DAY</t>
        </is>
      </c>
      <c r="T52" s="14">
        <f>U51</f>
        <v/>
      </c>
      <c r="U52" s="14" t="n">
        <v>4758</v>
      </c>
      <c r="V52" s="14">
        <f>U52-T52</f>
        <v/>
      </c>
      <c r="W52" s="3" t="n">
        <v>586</v>
      </c>
      <c r="X52" s="101" t="n">
        <v>4755</v>
      </c>
      <c r="Y52" s="3">
        <f>X52-X42</f>
        <v/>
      </c>
      <c r="Z52" s="4">
        <f>(W52+W48)/Y52</f>
        <v/>
      </c>
      <c r="AA52" s="119" t="n"/>
      <c r="AB52" s="114" t="n"/>
      <c r="AC52" s="114" t="n"/>
      <c r="AD52" s="36" t="n"/>
      <c r="AE52" s="85">
        <f>AF51</f>
        <v/>
      </c>
      <c r="AF52" s="14" t="n">
        <v>75985</v>
      </c>
      <c r="AG52" s="151">
        <f>AF52-AE52</f>
        <v/>
      </c>
    </row>
    <row r="53">
      <c r="A53" s="42">
        <f>A52</f>
        <v/>
      </c>
      <c r="B53" s="24" t="inlineStr">
        <is>
          <t>NIGHT</t>
        </is>
      </c>
      <c r="C53" s="14">
        <f>D52</f>
        <v/>
      </c>
      <c r="D53" s="14" t="n">
        <v>6637</v>
      </c>
      <c r="E53" s="14">
        <f>D53-C53</f>
        <v/>
      </c>
      <c r="F53" s="3" t="n"/>
      <c r="G53" s="3" t="n"/>
      <c r="H53" s="3" t="n"/>
      <c r="I53" s="34" t="n"/>
      <c r="J53" s="35" t="n"/>
      <c r="K53" s="15" t="n"/>
      <c r="L53" s="114" t="n"/>
      <c r="M53" s="36" t="n"/>
      <c r="N53" s="14">
        <f>O52</f>
        <v/>
      </c>
      <c r="O53" s="14" t="n">
        <v>93596</v>
      </c>
      <c r="P53" s="151">
        <f>O53-N53</f>
        <v/>
      </c>
      <c r="Q53" s="84" t="n"/>
      <c r="R53" s="42">
        <f>R52</f>
        <v/>
      </c>
      <c r="S53" s="24" t="inlineStr">
        <is>
          <t>NIGHT</t>
        </is>
      </c>
      <c r="T53" s="14">
        <f>U52</f>
        <v/>
      </c>
      <c r="U53" s="14" t="n">
        <v>4765</v>
      </c>
      <c r="V53" s="14">
        <f>U53-T53</f>
        <v/>
      </c>
      <c r="W53" s="3" t="n"/>
      <c r="X53" s="3" t="n"/>
      <c r="Y53" s="3" t="n"/>
      <c r="Z53" s="4" t="n"/>
      <c r="AA53" s="119" t="n"/>
      <c r="AB53" s="114" t="n"/>
      <c r="AC53" s="114" t="n"/>
      <c r="AD53" s="36" t="n"/>
      <c r="AE53" s="85">
        <f>AF52</f>
        <v/>
      </c>
      <c r="AF53" s="14" t="n">
        <v>76184</v>
      </c>
      <c r="AG53" s="151">
        <f>AF53-AE53</f>
        <v/>
      </c>
    </row>
    <row r="54">
      <c r="A54" s="42">
        <f>A52+1</f>
        <v/>
      </c>
      <c r="B54" s="24" t="inlineStr">
        <is>
          <t>DAY</t>
        </is>
      </c>
      <c r="C54" s="14">
        <f>D53</f>
        <v/>
      </c>
      <c r="D54" s="14" t="n">
        <v>6648</v>
      </c>
      <c r="E54" s="14">
        <f>D54-C54</f>
        <v/>
      </c>
      <c r="F54" s="3" t="n"/>
      <c r="G54" s="3" t="n"/>
      <c r="H54" s="3" t="n"/>
      <c r="I54" s="34" t="n"/>
      <c r="J54" s="35" t="n"/>
      <c r="K54" s="15" t="n"/>
      <c r="L54" s="114" t="n"/>
      <c r="M54" s="36" t="n"/>
      <c r="N54" s="14">
        <f>O53</f>
        <v/>
      </c>
      <c r="O54" s="86" t="n">
        <v>93770</v>
      </c>
      <c r="P54" s="151">
        <f>O54-N54</f>
        <v/>
      </c>
      <c r="Q54" s="84" t="n"/>
      <c r="R54" s="42">
        <f>R52+1</f>
        <v/>
      </c>
      <c r="S54" s="24" t="inlineStr">
        <is>
          <t>DAY</t>
        </is>
      </c>
      <c r="T54" s="14">
        <f>U53</f>
        <v/>
      </c>
      <c r="U54" s="14" t="n">
        <v>4775</v>
      </c>
      <c r="V54" s="14">
        <f>U54-T54</f>
        <v/>
      </c>
      <c r="W54" s="3" t="n"/>
      <c r="X54" s="3" t="n"/>
      <c r="Y54" s="3" t="n"/>
      <c r="Z54" s="4" t="n"/>
      <c r="AA54" s="119" t="n"/>
      <c r="AB54" s="114" t="n"/>
      <c r="AC54" s="114" t="n"/>
      <c r="AD54" s="36" t="n"/>
      <c r="AE54" s="85">
        <f>AF53</f>
        <v/>
      </c>
      <c r="AF54" s="14" t="n">
        <v>76273</v>
      </c>
      <c r="AG54" s="151">
        <f>AF54-AE54</f>
        <v/>
      </c>
    </row>
    <row r="55">
      <c r="A55" s="42">
        <f>A54</f>
        <v/>
      </c>
      <c r="B55" s="24" t="inlineStr">
        <is>
          <t>NIGHT</t>
        </is>
      </c>
      <c r="C55" s="14">
        <f>D54</f>
        <v/>
      </c>
      <c r="D55" s="14" t="n">
        <v>6658</v>
      </c>
      <c r="E55" s="14">
        <f>D55-C55</f>
        <v/>
      </c>
      <c r="F55" s="3" t="n"/>
      <c r="G55" s="3" t="n"/>
      <c r="H55" s="3" t="n"/>
      <c r="I55" s="34" t="n"/>
      <c r="J55" s="35" t="n"/>
      <c r="K55" s="15" t="n"/>
      <c r="L55" s="114" t="n"/>
      <c r="M55" s="36" t="n"/>
      <c r="N55" s="14">
        <f>O54</f>
        <v/>
      </c>
      <c r="O55" s="14" t="n">
        <v>93948</v>
      </c>
      <c r="P55" s="151">
        <f>O55-N55</f>
        <v/>
      </c>
      <c r="Q55" s="84" t="n"/>
      <c r="R55" s="42">
        <f>R54</f>
        <v/>
      </c>
      <c r="S55" s="24" t="inlineStr">
        <is>
          <t>NIGHT</t>
        </is>
      </c>
      <c r="T55" s="14">
        <f>U54</f>
        <v/>
      </c>
      <c r="U55" s="14" t="n">
        <v>4779</v>
      </c>
      <c r="V55" s="14">
        <f>U55-T55</f>
        <v/>
      </c>
      <c r="W55" s="3" t="n"/>
      <c r="X55" s="3" t="n"/>
      <c r="Y55" s="3" t="n"/>
      <c r="Z55" s="4" t="n"/>
      <c r="AA55" s="119" t="n"/>
      <c r="AB55" s="114" t="n"/>
      <c r="AC55" s="114" t="n"/>
      <c r="AD55" s="36" t="n"/>
      <c r="AE55" s="85">
        <f>AF54</f>
        <v/>
      </c>
      <c r="AF55" s="86" t="n">
        <v>76325</v>
      </c>
      <c r="AG55" s="151">
        <f>AF55-AE55</f>
        <v/>
      </c>
    </row>
    <row r="56">
      <c r="A56" s="42">
        <f>A54+1</f>
        <v/>
      </c>
      <c r="B56" s="24" t="inlineStr">
        <is>
          <t>DAY</t>
        </is>
      </c>
      <c r="C56" s="14">
        <f>D55</f>
        <v/>
      </c>
      <c r="D56" s="14" t="n">
        <v>6668</v>
      </c>
      <c r="E56" s="14">
        <f>D56-C56</f>
        <v/>
      </c>
      <c r="F56" s="3" t="n">
        <v>501</v>
      </c>
      <c r="G56" s="3" t="n">
        <v>6669</v>
      </c>
      <c r="H56" s="3">
        <f>G56-G52</f>
        <v/>
      </c>
      <c r="I56" s="34">
        <f>F56/H56</f>
        <v/>
      </c>
      <c r="J56" s="50" t="n"/>
      <c r="K56" s="14" t="n"/>
      <c r="L56" s="114" t="n"/>
      <c r="M56" s="151" t="n"/>
      <c r="N56" s="14">
        <f>O55</f>
        <v/>
      </c>
      <c r="O56" s="14" t="n">
        <v>94085</v>
      </c>
      <c r="P56" s="151">
        <f>O56-N56</f>
        <v/>
      </c>
      <c r="Q56" s="84" t="n"/>
      <c r="R56" s="42">
        <f>R54+1</f>
        <v/>
      </c>
      <c r="S56" s="24" t="inlineStr">
        <is>
          <t>DAY</t>
        </is>
      </c>
      <c r="T56" s="14">
        <f>U55</f>
        <v/>
      </c>
      <c r="U56" s="14" t="n">
        <v>4786</v>
      </c>
      <c r="V56" s="14">
        <f>U56-T56</f>
        <v/>
      </c>
      <c r="W56" s="3" t="n"/>
      <c r="X56" s="3" t="n"/>
      <c r="Y56" s="3" t="n"/>
      <c r="Z56" s="4" t="n"/>
      <c r="AA56" s="119" t="n"/>
      <c r="AB56" s="114" t="n"/>
      <c r="AC56" s="114" t="n"/>
      <c r="AD56" s="151" t="n"/>
      <c r="AE56" s="85">
        <f>AF55</f>
        <v/>
      </c>
      <c r="AF56" s="14" t="n">
        <v>76364</v>
      </c>
      <c r="AG56" s="151">
        <f>AF56-AE56</f>
        <v/>
      </c>
    </row>
    <row r="57">
      <c r="A57" s="42">
        <f>A56</f>
        <v/>
      </c>
      <c r="B57" s="24" t="inlineStr">
        <is>
          <t>NIGHT</t>
        </is>
      </c>
      <c r="C57" s="14">
        <f>D56</f>
        <v/>
      </c>
      <c r="D57" s="14" t="n">
        <v>6671</v>
      </c>
      <c r="E57" s="14">
        <f>D57-C57</f>
        <v/>
      </c>
      <c r="F57" s="3" t="n"/>
      <c r="G57" s="3" t="n"/>
      <c r="H57" s="3" t="n"/>
      <c r="I57" s="34" t="n"/>
      <c r="J57" s="50" t="n"/>
      <c r="K57" s="14" t="n"/>
      <c r="L57" s="114" t="n"/>
      <c r="M57" s="151" t="n"/>
      <c r="N57" s="14">
        <f>O56</f>
        <v/>
      </c>
      <c r="O57" s="14" t="n">
        <v>94124</v>
      </c>
      <c r="P57" s="151">
        <f>O57-N57</f>
        <v/>
      </c>
      <c r="Q57" s="84" t="n"/>
      <c r="R57" s="42">
        <f>R56</f>
        <v/>
      </c>
      <c r="S57" s="24" t="inlineStr">
        <is>
          <t>NIGHT</t>
        </is>
      </c>
      <c r="T57" s="14">
        <f>U56</f>
        <v/>
      </c>
      <c r="U57" s="14" t="n">
        <v>4792</v>
      </c>
      <c r="V57" s="14">
        <f>U57-T57</f>
        <v/>
      </c>
      <c r="W57" s="3" t="n"/>
      <c r="X57" s="3" t="n"/>
      <c r="Y57" s="3" t="n"/>
      <c r="Z57" s="4" t="n"/>
      <c r="AA57" s="119" t="n"/>
      <c r="AB57" s="114" t="n"/>
      <c r="AC57" s="114" t="n"/>
      <c r="AD57" s="151" t="n"/>
      <c r="AE57" s="85">
        <f>AF56</f>
        <v/>
      </c>
      <c r="AF57" s="14" t="n">
        <v>76487</v>
      </c>
      <c r="AG57" s="151">
        <f>AF57-AE57</f>
        <v/>
      </c>
    </row>
    <row r="58">
      <c r="A58" s="42">
        <f>A56+1</f>
        <v/>
      </c>
      <c r="B58" s="24" t="inlineStr">
        <is>
          <t>DAY</t>
        </is>
      </c>
      <c r="C58" s="14">
        <f>D57</f>
        <v/>
      </c>
      <c r="D58" s="14" t="n">
        <v>6676</v>
      </c>
      <c r="E58" s="14">
        <f>D58-C58</f>
        <v/>
      </c>
      <c r="F58" s="3" t="n"/>
      <c r="G58" s="3" t="n"/>
      <c r="H58" s="3" t="n"/>
      <c r="I58" s="34" t="n"/>
      <c r="J58" s="61" t="n">
        <v>0.3333333333333333</v>
      </c>
      <c r="K58" s="62" t="n">
        <v>0.5</v>
      </c>
      <c r="L58" s="114">
        <f>K58-J58</f>
        <v/>
      </c>
      <c r="M58" s="151" t="inlineStr">
        <is>
          <t>Oil change</t>
        </is>
      </c>
      <c r="N58" s="14">
        <f>O57</f>
        <v/>
      </c>
      <c r="O58" s="14" t="n">
        <v>94174</v>
      </c>
      <c r="P58" s="151">
        <f>O58-N58</f>
        <v/>
      </c>
      <c r="Q58" s="84" t="n"/>
      <c r="R58" s="42">
        <f>R56+1</f>
        <v/>
      </c>
      <c r="S58" s="24" t="inlineStr">
        <is>
          <t>DAY</t>
        </is>
      </c>
      <c r="T58" s="14">
        <f>U57</f>
        <v/>
      </c>
      <c r="U58" s="14" t="n">
        <v>4802</v>
      </c>
      <c r="V58" s="14">
        <f>U58-T58</f>
        <v/>
      </c>
      <c r="W58" s="3" t="n">
        <v>730</v>
      </c>
      <c r="X58" s="3" t="n">
        <v>4800</v>
      </c>
      <c r="Y58" s="3">
        <f>X58-X52</f>
        <v/>
      </c>
      <c r="Z58" s="4">
        <f>W58/Y58</f>
        <v/>
      </c>
      <c r="AA58" s="119" t="n"/>
      <c r="AB58" s="114" t="n"/>
      <c r="AC58" s="114" t="n"/>
      <c r="AD58" s="151" t="n"/>
      <c r="AE58" s="85">
        <f>AF57</f>
        <v/>
      </c>
      <c r="AF58" s="14" t="n">
        <v>76682</v>
      </c>
      <c r="AG58" s="151">
        <f>AF58-AE58</f>
        <v/>
      </c>
    </row>
    <row r="59">
      <c r="A59" s="42">
        <f>A58</f>
        <v/>
      </c>
      <c r="B59" s="24" t="inlineStr">
        <is>
          <t>NIGHT</t>
        </is>
      </c>
      <c r="C59" s="14">
        <f>D58</f>
        <v/>
      </c>
      <c r="D59" s="14" t="n">
        <v>6681</v>
      </c>
      <c r="E59" s="14">
        <f>D59-C59</f>
        <v/>
      </c>
      <c r="F59" s="3" t="n"/>
      <c r="G59" s="3" t="n"/>
      <c r="H59" s="3" t="n"/>
      <c r="I59" s="34" t="n"/>
      <c r="J59" s="50" t="n"/>
      <c r="K59" s="14" t="n"/>
      <c r="L59" s="114" t="n"/>
      <c r="M59" s="151" t="n"/>
      <c r="N59" s="14">
        <f>O58</f>
        <v/>
      </c>
      <c r="O59" s="14" t="n">
        <v>94230</v>
      </c>
      <c r="P59" s="151">
        <f>O59-N59</f>
        <v/>
      </c>
      <c r="Q59" s="84" t="n"/>
      <c r="R59" s="42">
        <f>R58</f>
        <v/>
      </c>
      <c r="S59" s="24" t="inlineStr">
        <is>
          <t>NIGHT</t>
        </is>
      </c>
      <c r="T59" s="14">
        <f>U58</f>
        <v/>
      </c>
      <c r="U59" s="14" t="n">
        <v>4806</v>
      </c>
      <c r="V59" s="14">
        <f>U59-T59</f>
        <v/>
      </c>
      <c r="W59" s="3" t="n"/>
      <c r="X59" s="3" t="n"/>
      <c r="Y59" s="3" t="n"/>
      <c r="Z59" s="4" t="n"/>
      <c r="AA59" s="119" t="n"/>
      <c r="AB59" s="114" t="n"/>
      <c r="AC59" s="114" t="n"/>
      <c r="AD59" s="151" t="n"/>
      <c r="AE59" s="85">
        <f>AF58</f>
        <v/>
      </c>
      <c r="AF59" s="14" t="n">
        <v>76786</v>
      </c>
      <c r="AG59" s="151">
        <f>AF59-AE59</f>
        <v/>
      </c>
    </row>
    <row r="60">
      <c r="A60" s="42">
        <f>A58+1</f>
        <v/>
      </c>
      <c r="B60" s="24" t="inlineStr">
        <is>
          <t>DAY</t>
        </is>
      </c>
      <c r="C60" s="14">
        <f>D59</f>
        <v/>
      </c>
      <c r="D60" s="88" t="n">
        <v>6685</v>
      </c>
      <c r="E60" s="88">
        <f>D60-C60</f>
        <v/>
      </c>
      <c r="F60" s="89" t="n"/>
      <c r="G60" s="89" t="n"/>
      <c r="H60" s="3" t="n"/>
      <c r="I60" s="34" t="n"/>
      <c r="J60" s="107" t="n"/>
      <c r="K60" s="108" t="n"/>
      <c r="L60" s="114" t="n"/>
      <c r="M60" s="151" t="n"/>
      <c r="N60" s="14">
        <f>O59</f>
        <v/>
      </c>
      <c r="O60" s="88" t="n">
        <v>94254</v>
      </c>
      <c r="P60" s="151">
        <f>O60-N60</f>
        <v/>
      </c>
      <c r="Q60" s="84" t="n"/>
      <c r="R60" s="42">
        <f>R58+1</f>
        <v/>
      </c>
      <c r="S60" s="24" t="inlineStr">
        <is>
          <t>DAY</t>
        </is>
      </c>
      <c r="T60" s="14">
        <f>U59</f>
        <v/>
      </c>
      <c r="U60" s="88" t="n">
        <v>4812</v>
      </c>
      <c r="V60" s="88">
        <f>U60-T60</f>
        <v/>
      </c>
      <c r="W60" s="89" t="n"/>
      <c r="X60" s="89" t="n"/>
      <c r="Y60" s="3" t="n"/>
      <c r="Z60" s="4" t="n"/>
      <c r="AA60" s="122" t="n"/>
      <c r="AB60" s="118" t="n"/>
      <c r="AC60" s="118" t="n"/>
      <c r="AD60" s="92" t="n"/>
      <c r="AE60" s="85">
        <f>AF59</f>
        <v/>
      </c>
      <c r="AF60" s="14" t="n">
        <v>76931</v>
      </c>
      <c r="AG60" s="151">
        <f>AF60-AE60</f>
        <v/>
      </c>
    </row>
    <row r="61">
      <c r="A61" s="42">
        <f>A60</f>
        <v/>
      </c>
      <c r="B61" s="24" t="inlineStr">
        <is>
          <t>NIGHT</t>
        </is>
      </c>
      <c r="C61" s="14">
        <f>D60</f>
        <v/>
      </c>
      <c r="D61" s="88" t="n">
        <v>6688</v>
      </c>
      <c r="E61" s="88">
        <f>D61-C61</f>
        <v/>
      </c>
      <c r="F61" s="89" t="n"/>
      <c r="G61" s="89" t="n"/>
      <c r="H61" s="89" t="n"/>
      <c r="I61" s="90" t="n"/>
      <c r="J61" s="91" t="n"/>
      <c r="K61" s="88" t="n"/>
      <c r="L61" s="118" t="n"/>
      <c r="M61" s="92" t="n"/>
      <c r="N61" s="14">
        <f>O60</f>
        <v/>
      </c>
      <c r="O61" s="88" t="n">
        <v>94313</v>
      </c>
      <c r="P61" s="151">
        <f>O61-N61</f>
        <v/>
      </c>
      <c r="Q61" s="84" t="n"/>
      <c r="R61" s="42">
        <f>R60</f>
        <v/>
      </c>
      <c r="S61" s="24" t="inlineStr">
        <is>
          <t>NIGHT</t>
        </is>
      </c>
      <c r="T61" s="14">
        <f>U60</f>
        <v/>
      </c>
      <c r="U61" s="88" t="n">
        <v>4817</v>
      </c>
      <c r="V61" s="88">
        <f>U61-T61</f>
        <v/>
      </c>
      <c r="W61" s="89" t="n"/>
      <c r="X61" s="89" t="n"/>
      <c r="Y61" s="89" t="n"/>
      <c r="Z61" s="90" t="n"/>
      <c r="AA61" s="122" t="n"/>
      <c r="AB61" s="118" t="n"/>
      <c r="AC61" s="118" t="n"/>
      <c r="AD61" s="92" t="n"/>
      <c r="AE61" s="85">
        <f>AF60</f>
        <v/>
      </c>
      <c r="AF61" s="14" t="n">
        <v>77013</v>
      </c>
      <c r="AG61" s="151">
        <f>AF61-AE61</f>
        <v/>
      </c>
    </row>
    <row r="62">
      <c r="A62" s="42">
        <f>A60+1</f>
        <v/>
      </c>
      <c r="B62" s="24" t="inlineStr">
        <is>
          <t>DAY</t>
        </is>
      </c>
      <c r="C62" s="14">
        <f>D61</f>
        <v/>
      </c>
      <c r="D62" s="88" t="n">
        <v>6690</v>
      </c>
      <c r="E62" s="88">
        <f>D62-C62</f>
        <v/>
      </c>
      <c r="F62" s="89" t="n"/>
      <c r="G62" s="89" t="n"/>
      <c r="H62" s="89" t="n"/>
      <c r="I62" s="90" t="n"/>
      <c r="J62" s="91" t="n"/>
      <c r="K62" s="88" t="n"/>
      <c r="L62" s="118" t="n"/>
      <c r="M62" s="92" t="n"/>
      <c r="N62" s="14">
        <f>O61</f>
        <v/>
      </c>
      <c r="O62" s="88" t="n">
        <v>94316</v>
      </c>
      <c r="P62" s="151">
        <f>O62-N62</f>
        <v/>
      </c>
      <c r="Q62" s="84" t="n"/>
      <c r="R62" s="42">
        <f>R60+1</f>
        <v/>
      </c>
      <c r="S62" s="24" t="inlineStr">
        <is>
          <t>DAY</t>
        </is>
      </c>
      <c r="T62" s="14">
        <f>U61</f>
        <v/>
      </c>
      <c r="U62" s="88" t="n">
        <v>4823</v>
      </c>
      <c r="V62" s="88">
        <f>U62-T62</f>
        <v/>
      </c>
      <c r="W62" s="89" t="n"/>
      <c r="X62" s="89" t="n"/>
      <c r="Y62" s="89" t="n"/>
      <c r="Z62" s="90" t="n"/>
      <c r="AA62" s="122" t="n"/>
      <c r="AB62" s="118" t="n"/>
      <c r="AC62" s="118" t="n"/>
      <c r="AD62" s="92" t="n"/>
      <c r="AE62" s="85">
        <f>AF61</f>
        <v/>
      </c>
      <c r="AF62" s="14" t="n">
        <v>77205</v>
      </c>
      <c r="AG62" s="151">
        <f>AF62-AE62</f>
        <v/>
      </c>
    </row>
    <row r="63">
      <c r="A63" s="42">
        <f>A62</f>
        <v/>
      </c>
      <c r="B63" s="24" t="inlineStr">
        <is>
          <t>NIGHT</t>
        </is>
      </c>
      <c r="C63" s="14">
        <f>D62</f>
        <v/>
      </c>
      <c r="D63" s="88" t="n">
        <v>6691</v>
      </c>
      <c r="E63" s="88">
        <f>D63-C63</f>
        <v/>
      </c>
      <c r="F63" s="89" t="n"/>
      <c r="G63" s="89" t="n"/>
      <c r="H63" s="89" t="n"/>
      <c r="I63" s="90" t="n"/>
      <c r="J63" s="91" t="n"/>
      <c r="K63" s="88" t="n"/>
      <c r="L63" s="118" t="n"/>
      <c r="M63" s="92" t="n"/>
      <c r="N63" s="14">
        <f>O62</f>
        <v/>
      </c>
      <c r="O63" s="88" t="n">
        <v>94328</v>
      </c>
      <c r="P63" s="151">
        <f>O63-N63</f>
        <v/>
      </c>
      <c r="Q63" s="84" t="n"/>
      <c r="R63" s="42">
        <f>R62</f>
        <v/>
      </c>
      <c r="S63" s="24" t="inlineStr">
        <is>
          <t>NIGHT</t>
        </is>
      </c>
      <c r="T63" s="14">
        <f>U62</f>
        <v/>
      </c>
      <c r="U63" s="88" t="n">
        <v>4823</v>
      </c>
      <c r="V63" s="88">
        <f>U63-T63</f>
        <v/>
      </c>
      <c r="W63" s="89" t="n"/>
      <c r="X63" s="89" t="n"/>
      <c r="Y63" s="89" t="n"/>
      <c r="Z63" s="90" t="n"/>
      <c r="AA63" s="122" t="n"/>
      <c r="AB63" s="118" t="n"/>
      <c r="AC63" s="118" t="n"/>
      <c r="AD63" s="92" t="n"/>
      <c r="AE63" s="85">
        <f>AF62</f>
        <v/>
      </c>
      <c r="AF63" s="14" t="n">
        <v>77205</v>
      </c>
      <c r="AG63" s="151">
        <f>AF63-AE63</f>
        <v/>
      </c>
    </row>
    <row r="64">
      <c r="A64" s="42">
        <f>A62+1</f>
        <v/>
      </c>
      <c r="B64" s="24" t="inlineStr">
        <is>
          <t>DAY</t>
        </is>
      </c>
      <c r="C64" s="14">
        <f>D63</f>
        <v/>
      </c>
      <c r="D64" s="88" t="n">
        <v>6693</v>
      </c>
      <c r="E64" s="88">
        <f>D64-C64</f>
        <v/>
      </c>
      <c r="F64" s="89" t="n">
        <v>279</v>
      </c>
      <c r="G64" s="89" t="n">
        <v>6692</v>
      </c>
      <c r="H64" s="89">
        <f>G64-G56</f>
        <v/>
      </c>
      <c r="I64" s="90">
        <f>F64/H64</f>
        <v/>
      </c>
      <c r="J64" s="91" t="n"/>
      <c r="K64" s="88" t="n"/>
      <c r="L64" s="118" t="n"/>
      <c r="M64" s="92" t="n"/>
      <c r="N64" s="14">
        <f>O63</f>
        <v/>
      </c>
      <c r="O64" s="88" t="n">
        <v>94356</v>
      </c>
      <c r="P64" s="151">
        <f>O64-N64</f>
        <v/>
      </c>
      <c r="Q64" s="84" t="n"/>
      <c r="R64" s="42">
        <f>R62+1</f>
        <v/>
      </c>
      <c r="S64" s="24" t="inlineStr">
        <is>
          <t>DAY</t>
        </is>
      </c>
      <c r="T64" s="14">
        <f>U63</f>
        <v/>
      </c>
      <c r="U64" s="88" t="n">
        <v>4829</v>
      </c>
      <c r="V64" s="88">
        <f>U64-T64</f>
        <v/>
      </c>
      <c r="W64" s="89" t="n">
        <v>482</v>
      </c>
      <c r="X64" s="89" t="n">
        <v>4825</v>
      </c>
      <c r="Y64" s="89">
        <f>X64-X58</f>
        <v/>
      </c>
      <c r="Z64" s="90">
        <f>W64/Y64</f>
        <v/>
      </c>
      <c r="AA64" s="122" t="n"/>
      <c r="AB64" s="118" t="n"/>
      <c r="AC64" s="118" t="n"/>
      <c r="AD64" s="92" t="n"/>
      <c r="AE64" s="85">
        <f>AF63</f>
        <v/>
      </c>
      <c r="AF64" s="14" t="n">
        <v>77275</v>
      </c>
      <c r="AG64" s="151">
        <f>AF64-AE64</f>
        <v/>
      </c>
    </row>
    <row r="65" ht="15.75" customHeight="1" thickBot="1">
      <c r="A65" s="42">
        <f>A64</f>
        <v/>
      </c>
      <c r="B65" s="24" t="inlineStr">
        <is>
          <t>NIGHT</t>
        </is>
      </c>
      <c r="C65" s="14">
        <f>D64</f>
        <v/>
      </c>
      <c r="D65" s="88" t="n">
        <v>6700</v>
      </c>
      <c r="E65" s="88">
        <f>D65-C65</f>
        <v/>
      </c>
      <c r="F65" s="89" t="n"/>
      <c r="G65" s="89" t="n"/>
      <c r="H65" s="89" t="n"/>
      <c r="I65" s="90" t="n"/>
      <c r="J65" s="91" t="n"/>
      <c r="K65" s="88" t="n"/>
      <c r="L65" s="118" t="n"/>
      <c r="M65" s="92" t="n"/>
      <c r="N65" s="14">
        <f>O64</f>
        <v/>
      </c>
      <c r="O65" s="88" t="n">
        <v>94446</v>
      </c>
      <c r="P65" s="151">
        <f>O65-N65</f>
        <v/>
      </c>
      <c r="Q65" s="84" t="n"/>
      <c r="R65" s="42">
        <f>R64</f>
        <v/>
      </c>
      <c r="S65" s="24" t="inlineStr">
        <is>
          <t>NIGHT</t>
        </is>
      </c>
      <c r="T65" s="14">
        <f>U64</f>
        <v/>
      </c>
      <c r="U65" s="88" t="n">
        <v>4834</v>
      </c>
      <c r="V65" s="88">
        <f>U65-T65</f>
        <v/>
      </c>
      <c r="W65" s="89" t="n"/>
      <c r="X65" s="89" t="n"/>
      <c r="Y65" s="89" t="n"/>
      <c r="Z65" s="90" t="n"/>
      <c r="AA65" s="122" t="n"/>
      <c r="AB65" s="118" t="n"/>
      <c r="AC65" s="118" t="n"/>
      <c r="AD65" s="92" t="n"/>
      <c r="AE65" s="85">
        <f>AF64</f>
        <v/>
      </c>
      <c r="AF65" s="14" t="n">
        <v>77391</v>
      </c>
      <c r="AG65" s="151">
        <f>AF65-AE65</f>
        <v/>
      </c>
    </row>
    <row r="66">
      <c r="A66" s="153" t="inlineStr">
        <is>
          <t>TOTAL HMR</t>
        </is>
      </c>
      <c r="B66" s="154" t="n"/>
      <c r="C66" s="154" t="n"/>
      <c r="D66" s="155" t="n"/>
      <c r="E66" s="74">
        <f>SUBTOTAL(9,E4:E65)</f>
        <v/>
      </c>
      <c r="F66" s="74">
        <f>SUBTOTAL(9,F4:F65)</f>
        <v/>
      </c>
      <c r="G66" s="74" t="n"/>
      <c r="H66" s="74">
        <f>SUBTOTAL(9,H4:H65)</f>
        <v/>
      </c>
      <c r="I66" s="59">
        <f>F66/H66</f>
        <v/>
      </c>
      <c r="J66" s="56" t="n"/>
      <c r="K66" s="57" t="n"/>
      <c r="L66" s="83">
        <f>SUM(L4:L65)</f>
        <v/>
      </c>
      <c r="M66" s="58" t="n"/>
      <c r="N66" s="63" t="n"/>
      <c r="O66" s="60" t="n"/>
      <c r="P66" s="74">
        <f>SUBTOTAL(9,P4:P65)</f>
        <v/>
      </c>
      <c r="R66" s="153" t="inlineStr">
        <is>
          <t>TOTAL HMR</t>
        </is>
      </c>
      <c r="S66" s="154" t="n"/>
      <c r="T66" s="154" t="n"/>
      <c r="U66" s="155" t="n"/>
      <c r="V66" s="74">
        <f>SUBTOTAL(9,V4:V65)</f>
        <v/>
      </c>
      <c r="W66" s="74">
        <f>SUBTOTAL(9,W4:W65)</f>
        <v/>
      </c>
      <c r="X66" s="74" t="n"/>
      <c r="Y66" s="74">
        <f>SUBTOTAL(9,Y4:Y65)</f>
        <v/>
      </c>
      <c r="Z66" s="59">
        <f>W66/Y66</f>
        <v/>
      </c>
      <c r="AA66" s="56" t="n"/>
      <c r="AB66" s="57" t="n"/>
      <c r="AC66" s="123">
        <f>SUM(AC4:AC65)</f>
        <v/>
      </c>
      <c r="AD66" s="58" t="n"/>
      <c r="AE66" s="63" t="n"/>
      <c r="AF66" s="1" t="n"/>
      <c r="AG66" s="74">
        <f>SUBTOTAL(9,AG4:AG65)</f>
        <v/>
      </c>
    </row>
    <row r="67">
      <c r="A67" s="144" t="inlineStr">
        <is>
          <t>FIX HMR INVOICE NO….........................</t>
        </is>
      </c>
      <c r="B67" s="145" t="n"/>
      <c r="C67" s="145" t="n"/>
      <c r="D67" s="146" t="n"/>
      <c r="E67" s="73" t="n">
        <v>520</v>
      </c>
      <c r="F67" s="22" t="n"/>
      <c r="G67" s="22" t="n"/>
      <c r="H67" s="22" t="n"/>
      <c r="I67" s="23">
        <f>F66/E66</f>
        <v/>
      </c>
      <c r="J67" s="38" t="n"/>
      <c r="K67" s="23" t="n"/>
      <c r="L67" s="23" t="n"/>
      <c r="M67" s="39" t="n"/>
      <c r="N67" s="64" t="n"/>
      <c r="O67" s="23" t="n"/>
      <c r="P67" s="39" t="n"/>
      <c r="R67" s="144" t="inlineStr">
        <is>
          <t>FIX HMR INVOICE NO….........................</t>
        </is>
      </c>
      <c r="S67" s="145" t="n"/>
      <c r="T67" s="145" t="n"/>
      <c r="U67" s="146" t="n"/>
      <c r="V67" s="73" t="n">
        <v>520</v>
      </c>
      <c r="W67" s="22" t="n"/>
      <c r="X67" s="22" t="n"/>
      <c r="Y67" s="22" t="n"/>
      <c r="Z67" s="23">
        <f>W66/V66</f>
        <v/>
      </c>
      <c r="AA67" s="38" t="n"/>
      <c r="AB67" s="23" t="n"/>
      <c r="AC67" s="23" t="n"/>
      <c r="AD67" s="39" t="n"/>
      <c r="AE67" s="64" t="n"/>
      <c r="AF67" s="64" t="n"/>
      <c r="AG67" s="39" t="n"/>
    </row>
    <row r="68" ht="15.75" customHeight="1" thickBot="1">
      <c r="A68" s="141" t="inlineStr">
        <is>
          <t>EXTRA HMR INVOICE NO. …..................</t>
        </is>
      </c>
      <c r="B68" s="142" t="n"/>
      <c r="C68" s="142" t="n"/>
      <c r="D68" s="143" t="n"/>
      <c r="E68" s="27">
        <f>IF(E66-E67&lt;0,0,E66-E67)</f>
        <v/>
      </c>
      <c r="F68" s="27" t="n"/>
      <c r="G68" s="27" t="n"/>
      <c r="H68" s="27" t="n"/>
      <c r="I68" s="45" t="n"/>
      <c r="J68" s="141" t="n"/>
      <c r="K68" s="27" t="n"/>
      <c r="L68" s="27" t="n"/>
      <c r="M68" s="21" t="n"/>
      <c r="N68" s="65" t="n"/>
      <c r="O68" s="27" t="n"/>
      <c r="P68" s="21" t="n"/>
      <c r="R68" s="141" t="inlineStr">
        <is>
          <t>EXTRA HMR INVOICE NO. …..................</t>
        </is>
      </c>
      <c r="S68" s="142" t="n"/>
      <c r="T68" s="142" t="n"/>
      <c r="U68" s="143" t="n"/>
      <c r="V68" s="27">
        <f>IF(V66-V67&lt;0,0,V66-V67)</f>
        <v/>
      </c>
      <c r="W68" s="27" t="n"/>
      <c r="X68" s="27" t="n"/>
      <c r="Y68" s="27" t="n"/>
      <c r="Z68" s="27" t="n"/>
      <c r="AA68" s="141" t="n"/>
      <c r="AB68" s="27" t="n"/>
      <c r="AC68" s="27" t="n"/>
      <c r="AD68" s="21" t="n"/>
      <c r="AE68" s="65" t="n"/>
      <c r="AF68" s="65" t="n"/>
      <c r="AG68" s="21" t="n"/>
    </row>
  </sheetData>
  <mergeCells count="10">
    <mergeCell ref="R66:U66"/>
    <mergeCell ref="A67:D67"/>
    <mergeCell ref="A1:M1"/>
    <mergeCell ref="M19:M20"/>
    <mergeCell ref="AD29:AD31"/>
    <mergeCell ref="R1:AD1"/>
    <mergeCell ref="R67:U67"/>
    <mergeCell ref="R68:U68"/>
    <mergeCell ref="A68:D68"/>
    <mergeCell ref="A66:D66"/>
  </mergeCells>
  <pageMargins left="0.7" right="0.7" top="0.75" bottom="0.75" header="0.3" footer="0.3"/>
  <pageSetup orientation="portrait" scale="31" fitToHeight="0"/>
</worksheet>
</file>

<file path=xl/worksheets/sheet10.xml><?xml version="1.0" encoding="utf-8"?>
<worksheet xmlns="http://schemas.openxmlformats.org/spreadsheetml/2006/main">
  <sheetPr>
    <outlinePr summaryBelow="1" summaryRight="1"/>
    <pageSetUpPr/>
  </sheetPr>
  <dimension ref="A1:AG66"/>
  <sheetViews>
    <sheetView tabSelected="1" topLeftCell="A20" zoomScale="85" zoomScaleNormal="85" workbookViewId="0">
      <selection activeCell="A38" sqref="A38"/>
    </sheetView>
  </sheetViews>
  <sheetFormatPr baseColWidth="8" defaultRowHeight="15"/>
  <cols>
    <col width="9.85546875" bestFit="1" customWidth="1" min="1" max="1"/>
    <col width="8.140625" bestFit="1" customWidth="1" min="12" max="12"/>
    <col width="20" bestFit="1" customWidth="1" min="13" max="13"/>
    <col width="9.85546875" bestFit="1" customWidth="1" min="18" max="18"/>
    <col width="9" bestFit="1" customWidth="1" min="28" max="28"/>
    <col width="8.140625" customWidth="1" min="29" max="29"/>
    <col width="10.42578125" customWidth="1" min="30" max="30"/>
  </cols>
  <sheetData>
    <row r="1" ht="24" customHeight="1" thickBot="1">
      <c r="A1" s="147" t="inlineStr">
        <is>
          <t>Ennore-SANY-2025 (RS-02)</t>
        </is>
      </c>
      <c r="B1" s="148" t="n"/>
      <c r="C1" s="148" t="n"/>
      <c r="D1" s="148" t="n"/>
      <c r="E1" s="148" t="n"/>
      <c r="F1" s="148" t="n"/>
      <c r="G1" s="148" t="n"/>
      <c r="H1" s="148" t="n"/>
      <c r="I1" s="148" t="n"/>
      <c r="J1" s="148" t="n"/>
      <c r="K1" s="148" t="n"/>
      <c r="L1" s="148" t="n"/>
      <c r="M1" s="148" t="n"/>
      <c r="N1" s="25" t="n"/>
      <c r="O1" s="25" t="n"/>
      <c r="P1" s="25" t="n"/>
      <c r="R1" s="147" t="inlineStr">
        <is>
          <t>Ennore-Hyster-2025 (RS-03)</t>
        </is>
      </c>
      <c r="S1" s="148" t="n"/>
      <c r="T1" s="148" t="n"/>
      <c r="U1" s="148" t="n"/>
      <c r="V1" s="148" t="n"/>
      <c r="W1" s="148" t="n"/>
      <c r="X1" s="148" t="n"/>
      <c r="Y1" s="148" t="n"/>
      <c r="Z1" s="148" t="n"/>
      <c r="AA1" s="148" t="n"/>
      <c r="AB1" s="148" t="n"/>
      <c r="AC1" s="148" t="n"/>
      <c r="AD1" s="148" t="n"/>
      <c r="AE1" s="148" t="n"/>
      <c r="AF1" s="148" t="n"/>
      <c r="AG1" s="148" t="n"/>
    </row>
    <row r="2" ht="79.5" customHeight="1" thickBot="1">
      <c r="A2" s="28" t="inlineStr">
        <is>
          <t>Date</t>
        </is>
      </c>
      <c r="B2" s="40" t="inlineStr">
        <is>
          <t>Shift</t>
        </is>
      </c>
      <c r="C2" s="29" t="inlineStr">
        <is>
          <t>Starting HMR</t>
        </is>
      </c>
      <c r="D2" s="29" t="inlineStr">
        <is>
          <t>Closing HMR</t>
        </is>
      </c>
      <c r="E2" s="29" t="inlineStr">
        <is>
          <t>WORKING HMR</t>
        </is>
      </c>
      <c r="F2" s="29" t="inlineStr">
        <is>
          <t>DIESEL RECEIVED</t>
        </is>
      </c>
      <c r="G2" s="29" t="inlineStr">
        <is>
          <t>HMR at Diesel Fill</t>
        </is>
      </c>
      <c r="H2" s="29" t="inlineStr">
        <is>
          <t>Diesel filling Hours</t>
        </is>
      </c>
      <c r="I2" s="30" t="inlineStr">
        <is>
          <t>Avg. Diesel Consumption (Ltr/Hr)</t>
        </is>
      </c>
      <c r="J2" s="28" t="inlineStr">
        <is>
          <t>Breakdown Start Time</t>
        </is>
      </c>
      <c r="K2" s="29" t="inlineStr">
        <is>
          <t>Breakdown End Time</t>
        </is>
      </c>
      <c r="L2" s="29" t="inlineStr">
        <is>
          <t>Total B/D Hours</t>
        </is>
      </c>
      <c r="M2" s="30" t="inlineStr">
        <is>
          <t>B/D Reason</t>
        </is>
      </c>
      <c r="N2" s="46" t="inlineStr">
        <is>
          <t>Start Conatiner</t>
        </is>
      </c>
      <c r="O2" s="47" t="inlineStr">
        <is>
          <t>Container End Count</t>
        </is>
      </c>
      <c r="P2" s="48" t="inlineStr">
        <is>
          <t>Per Day Container Count</t>
        </is>
      </c>
      <c r="R2" s="28" t="inlineStr">
        <is>
          <t>Date</t>
        </is>
      </c>
      <c r="S2" s="40" t="inlineStr">
        <is>
          <t>Shift</t>
        </is>
      </c>
      <c r="T2" s="29" t="inlineStr">
        <is>
          <t>Starting HMR</t>
        </is>
      </c>
      <c r="U2" s="29" t="inlineStr">
        <is>
          <t>Closing HMR</t>
        </is>
      </c>
      <c r="V2" s="29" t="inlineStr">
        <is>
          <t>WORKING HMR</t>
        </is>
      </c>
      <c r="W2" s="29" t="inlineStr">
        <is>
          <t>DIESEL RECEIVED</t>
        </is>
      </c>
      <c r="X2" s="29" t="inlineStr">
        <is>
          <t>HMR at Diesel Fill</t>
        </is>
      </c>
      <c r="Y2" s="29" t="inlineStr">
        <is>
          <t>Diesel filling Hours</t>
        </is>
      </c>
      <c r="Z2" s="30" t="inlineStr">
        <is>
          <t>Avg. Diesel Consumption (Ltr/Hr)</t>
        </is>
      </c>
      <c r="AA2" s="28" t="inlineStr">
        <is>
          <t>Breakdown Start Time</t>
        </is>
      </c>
      <c r="AB2" s="29" t="inlineStr">
        <is>
          <t>Breakdown End Time</t>
        </is>
      </c>
      <c r="AC2" s="29" t="inlineStr">
        <is>
          <t>Total B/D Hours</t>
        </is>
      </c>
      <c r="AD2" s="30" t="inlineStr">
        <is>
          <t>B/D Reason</t>
        </is>
      </c>
      <c r="AE2" s="46" t="inlineStr">
        <is>
          <t>Start Conatiner</t>
        </is>
      </c>
      <c r="AF2" s="47" t="inlineStr">
        <is>
          <t>Container End Count</t>
        </is>
      </c>
      <c r="AG2" s="48" t="inlineStr">
        <is>
          <t>Per Day Container Count</t>
        </is>
      </c>
    </row>
    <row r="3" ht="15.75" customHeight="1">
      <c r="A3" s="17" t="inlineStr">
        <is>
          <t>Prev</t>
        </is>
      </c>
      <c r="B3" s="8" t="n"/>
      <c r="C3" s="2" t="n"/>
      <c r="D3" s="2" t="n"/>
      <c r="E3" s="2" t="n"/>
      <c r="F3" s="6" t="n"/>
      <c r="G3" s="6" t="n">
        <v>6692</v>
      </c>
      <c r="H3" s="6" t="n"/>
      <c r="I3" s="18" t="n"/>
      <c r="J3" s="31" t="n"/>
      <c r="K3" s="6" t="n"/>
      <c r="L3" s="6" t="n"/>
      <c r="M3" s="18" t="n"/>
      <c r="N3" s="31" t="n"/>
      <c r="O3" s="6" t="n"/>
      <c r="P3" s="18" t="n"/>
      <c r="Q3" s="13" t="n"/>
      <c r="R3" s="17" t="inlineStr">
        <is>
          <t>Prev</t>
        </is>
      </c>
      <c r="S3" s="8" t="n"/>
      <c r="T3" s="2" t="n"/>
      <c r="U3" s="2" t="n"/>
      <c r="V3" s="2" t="n"/>
      <c r="W3" s="6" t="n"/>
      <c r="X3" s="6" t="n">
        <v>4825</v>
      </c>
      <c r="Y3" s="6" t="n"/>
      <c r="Z3" s="6" t="n"/>
      <c r="AA3" s="31" t="n"/>
      <c r="AB3" s="6" t="n"/>
      <c r="AC3" s="6" t="n"/>
      <c r="AD3" s="18" t="n"/>
      <c r="AE3" s="31" t="n"/>
      <c r="AF3" s="6" t="n"/>
      <c r="AG3" s="18" t="n"/>
    </row>
    <row r="4">
      <c r="A4" s="126" t="n">
        <v>46266</v>
      </c>
      <c r="B4" s="24" t="inlineStr">
        <is>
          <t>DAY</t>
        </is>
      </c>
      <c r="C4" s="135" t="n">
        <v>6700</v>
      </c>
      <c r="D4" s="14" t="n">
        <v>6707</v>
      </c>
      <c r="E4" s="14">
        <f>IF(OR(C4="",D4=""),"",D4-C4)</f>
        <v/>
      </c>
      <c r="F4" s="3" t="n"/>
      <c r="G4" s="3" t="n"/>
      <c r="H4" s="3" t="n"/>
      <c r="I4" s="34" t="n"/>
      <c r="J4" s="81" t="n"/>
      <c r="K4" s="82" t="n"/>
      <c r="L4" s="129">
        <f>IF(OR(J4="",K4=""),"",MOD(K4-J4,1))</f>
        <v/>
      </c>
      <c r="M4" s="19" t="n"/>
      <c r="N4" s="88" t="n">
        <v>94446</v>
      </c>
      <c r="O4" s="14" t="n">
        <v>94561</v>
      </c>
      <c r="P4" s="151">
        <f>IF(OR(N4="",O4=""),"",O4-N4)</f>
        <v/>
      </c>
      <c r="Q4" s="84" t="n"/>
      <c r="R4" s="126" t="n">
        <v>46266</v>
      </c>
      <c r="S4" s="24" t="inlineStr">
        <is>
          <t>DAY</t>
        </is>
      </c>
      <c r="T4" s="135" t="n">
        <v>4834</v>
      </c>
      <c r="U4" s="14" t="n">
        <v>4843</v>
      </c>
      <c r="V4" s="14">
        <f>IF(OR(T4="",U4=""),"",U4-T4)</f>
        <v/>
      </c>
      <c r="W4" s="3" t="n"/>
      <c r="X4" s="3" t="n"/>
      <c r="Y4" s="3" t="n"/>
      <c r="Z4" s="4" t="n"/>
      <c r="AA4" s="81" t="n"/>
      <c r="AB4" s="82" t="n"/>
      <c r="AC4" s="129">
        <f>IF(OR(AA4="",AB4=""),"",MOD(AB4-AA4,1))</f>
        <v/>
      </c>
      <c r="AD4" s="19" t="n"/>
      <c r="AE4" s="14" t="n">
        <v>77391</v>
      </c>
      <c r="AF4" s="14" t="n">
        <v>77545</v>
      </c>
      <c r="AG4" s="151">
        <f>IF(OR(AE4="",AF4=""),"",AF4-AE4)</f>
        <v/>
      </c>
    </row>
    <row r="5">
      <c r="A5" s="126" t="n">
        <v>46266</v>
      </c>
      <c r="B5" s="24" t="inlineStr">
        <is>
          <t>NIGHT</t>
        </is>
      </c>
      <c r="C5" s="14">
        <f>IF(D4="","",D4)</f>
        <v/>
      </c>
      <c r="D5" s="14" t="n">
        <v>6717</v>
      </c>
      <c r="E5" s="14">
        <f>IF(OR(C5="",D5=""),"",D5-C5)</f>
        <v/>
      </c>
      <c r="F5" s="3" t="n"/>
      <c r="G5" s="3" t="n"/>
      <c r="H5" s="3" t="n"/>
      <c r="I5" s="34" t="n"/>
      <c r="J5" s="81" t="n"/>
      <c r="K5" s="82" t="n"/>
      <c r="L5" s="129">
        <f>IF(OR(J5="",K5=""),"",MOD(K5-J5,1))</f>
        <v/>
      </c>
      <c r="M5" s="19" t="n"/>
      <c r="N5" s="14">
        <f>IF(O4="","",O4)</f>
        <v/>
      </c>
      <c r="O5" s="14" t="n">
        <v>94723</v>
      </c>
      <c r="P5" s="151">
        <f>IF(OR(N5="",O5=""),"",O5-N5)</f>
        <v/>
      </c>
      <c r="Q5" s="84" t="n"/>
      <c r="R5" s="126" t="n">
        <v>46266</v>
      </c>
      <c r="S5" s="24" t="inlineStr">
        <is>
          <t>NIGHT</t>
        </is>
      </c>
      <c r="T5" s="14">
        <f>IF(U4="","",U4)</f>
        <v/>
      </c>
      <c r="U5" s="14" t="n">
        <v>4850</v>
      </c>
      <c r="V5" s="14">
        <f>IF(OR(T5="",U5=""),"",U5-T5)</f>
        <v/>
      </c>
      <c r="W5" s="3" t="n"/>
      <c r="X5" s="3" t="n"/>
      <c r="Y5" s="3" t="n"/>
      <c r="Z5" s="4" t="n"/>
      <c r="AA5" s="81" t="n"/>
      <c r="AB5" s="82" t="n"/>
      <c r="AC5" s="129">
        <f>IF(OR(AA5="",AB5=""),"",MOD(AB5-AA5,1))</f>
        <v/>
      </c>
      <c r="AD5" s="19" t="n"/>
      <c r="AE5" s="85">
        <f>IF(AF4="","",AF4)</f>
        <v/>
      </c>
      <c r="AF5" s="14" t="n">
        <v>77625</v>
      </c>
      <c r="AG5" s="151">
        <f>IF(OR(AE5="",AF5=""),"",AF5-AE5)</f>
        <v/>
      </c>
    </row>
    <row r="6">
      <c r="A6" s="126" t="n">
        <v>46267</v>
      </c>
      <c r="B6" s="24" t="inlineStr">
        <is>
          <t>DAY</t>
        </is>
      </c>
      <c r="C6" s="14">
        <f>IF(D5="","",D5)</f>
        <v/>
      </c>
      <c r="D6" s="14" t="n">
        <v>6728</v>
      </c>
      <c r="E6" s="14">
        <f>IF(OR(C6="",D6=""),"",D6-C6)</f>
        <v/>
      </c>
      <c r="F6" s="3" t="n">
        <v>430</v>
      </c>
      <c r="G6" s="3" t="n">
        <v>6725</v>
      </c>
      <c r="H6" s="3">
        <f>G6-G3</f>
        <v/>
      </c>
      <c r="I6" s="34">
        <f>F6/H6</f>
        <v/>
      </c>
      <c r="J6" s="81" t="n"/>
      <c r="K6" s="82" t="n"/>
      <c r="L6" s="129">
        <f>IF(OR(J6="",K6=""),"",MOD(K6-J6,1))</f>
        <v/>
      </c>
      <c r="M6" s="34" t="n"/>
      <c r="N6" s="14">
        <f>IF(O5="","",O5)</f>
        <v/>
      </c>
      <c r="O6" s="14" t="n">
        <v>94906</v>
      </c>
      <c r="P6" s="151">
        <f>IF(OR(N6="",O6=""),"",O6-N6)</f>
        <v/>
      </c>
      <c r="Q6" s="84" t="n"/>
      <c r="R6" s="126" t="n">
        <v>46267</v>
      </c>
      <c r="S6" s="24" t="inlineStr">
        <is>
          <t>DAY</t>
        </is>
      </c>
      <c r="T6" s="14">
        <f>IF(U5="","",U5)</f>
        <v/>
      </c>
      <c r="U6" s="14" t="n">
        <v>4856</v>
      </c>
      <c r="V6" s="14">
        <f>IF(OR(T6="",U6=""),"",U6-T6)</f>
        <v/>
      </c>
      <c r="W6" s="3" t="n"/>
      <c r="X6" s="3" t="n"/>
      <c r="Y6" s="3" t="n"/>
      <c r="Z6" s="4" t="n"/>
      <c r="AA6" s="81" t="n"/>
      <c r="AB6" s="82" t="n"/>
      <c r="AC6" s="129">
        <f>IF(OR(AA6="",AB6=""),"",MOD(AB6-AA6,1))</f>
        <v/>
      </c>
      <c r="AD6" s="34" t="n"/>
      <c r="AE6" s="85">
        <f>IF(AF5="","",AF5)</f>
        <v/>
      </c>
      <c r="AF6" s="14" t="n">
        <v>77653</v>
      </c>
      <c r="AG6" s="151">
        <f>IF(OR(AE6="",AF6=""),"",AF6-AE6)</f>
        <v/>
      </c>
    </row>
    <row r="7">
      <c r="A7" s="126" t="n">
        <v>46267</v>
      </c>
      <c r="B7" s="24" t="inlineStr">
        <is>
          <t>NIGHT</t>
        </is>
      </c>
      <c r="C7" s="14">
        <f>IF(D6="","",D6)</f>
        <v/>
      </c>
      <c r="D7" s="14" t="n">
        <v>6732</v>
      </c>
      <c r="E7" s="14">
        <f>IF(OR(C7="",D7=""),"",D7-C7)</f>
        <v/>
      </c>
      <c r="F7" s="3" t="n"/>
      <c r="G7" s="3" t="n"/>
      <c r="H7" s="3" t="n"/>
      <c r="I7" s="34" t="n"/>
      <c r="J7" s="81" t="n"/>
      <c r="K7" s="82" t="n"/>
      <c r="L7" s="129">
        <f>IF(OR(J7="",K7=""),"",MOD(K7-J7,1))</f>
        <v/>
      </c>
      <c r="M7" s="34" t="n"/>
      <c r="N7" s="14">
        <f>IF(O6="","",O6)</f>
        <v/>
      </c>
      <c r="O7" s="14" t="n">
        <v>94959</v>
      </c>
      <c r="P7" s="151">
        <f>IF(OR(N7="",O7=""),"",O7-N7)</f>
        <v/>
      </c>
      <c r="Q7" s="84" t="n"/>
      <c r="R7" s="126" t="n">
        <v>46267</v>
      </c>
      <c r="S7" s="24" t="inlineStr">
        <is>
          <t>NIGHT</t>
        </is>
      </c>
      <c r="T7" s="14">
        <f>IF(U6="","",U6)</f>
        <v/>
      </c>
      <c r="U7" s="14" t="n">
        <v>4860</v>
      </c>
      <c r="V7" s="14">
        <f>IF(OR(T7="",U7=""),"",U7-T7)</f>
        <v/>
      </c>
      <c r="W7" s="3" t="n"/>
      <c r="X7" s="3" t="n"/>
      <c r="Y7" s="3" t="n"/>
      <c r="Z7" s="4" t="n"/>
      <c r="AA7" s="81" t="n"/>
      <c r="AB7" s="82" t="n"/>
      <c r="AC7" s="129">
        <f>IF(OR(AA7="",AB7=""),"",MOD(AB7-AA7,1))</f>
        <v/>
      </c>
      <c r="AD7" s="34" t="n"/>
      <c r="AE7" s="85">
        <f>IF(AF6="","",AF6)</f>
        <v/>
      </c>
      <c r="AF7" s="14" t="n">
        <v>77688</v>
      </c>
      <c r="AG7" s="151">
        <f>IF(OR(AE7="",AF7=""),"",AF7-AE7)</f>
        <v/>
      </c>
    </row>
    <row r="8">
      <c r="A8" s="126" t="n">
        <v>46268</v>
      </c>
      <c r="B8" s="24" t="inlineStr">
        <is>
          <t>DAY</t>
        </is>
      </c>
      <c r="C8" s="14">
        <f>IF(D7="","",D7)</f>
        <v/>
      </c>
      <c r="D8" s="14" t="n">
        <v>6734</v>
      </c>
      <c r="E8" s="14">
        <f>IF(OR(C8="",D8=""),"",D8-C8)</f>
        <v/>
      </c>
      <c r="F8" s="3" t="n"/>
      <c r="G8" s="3" t="n"/>
      <c r="H8" s="3" t="n"/>
      <c r="I8" s="34" t="n"/>
      <c r="J8" s="61" t="n"/>
      <c r="K8" s="62" t="n"/>
      <c r="L8" s="127">
        <f>IF(OR(J8="",K8=""),"",MOD(K8-J8,1))</f>
        <v/>
      </c>
      <c r="M8" s="36" t="n"/>
      <c r="N8" s="14">
        <f>IF(O7="","",O7)</f>
        <v/>
      </c>
      <c r="O8" s="14" t="n">
        <v>94996</v>
      </c>
      <c r="P8" s="151">
        <f>IF(OR(N8="",O8=""),"",O8-N8)</f>
        <v/>
      </c>
      <c r="Q8" s="84" t="n"/>
      <c r="R8" s="126" t="n">
        <v>46268</v>
      </c>
      <c r="S8" s="24" t="inlineStr">
        <is>
          <t>DAY</t>
        </is>
      </c>
      <c r="T8" s="14">
        <f>IF(U7="","",U7)</f>
        <v/>
      </c>
      <c r="U8" s="14" t="n">
        <v>4869</v>
      </c>
      <c r="V8" s="14">
        <f>IF(OR(T8="",U8=""),"",U8-T8)</f>
        <v/>
      </c>
      <c r="W8" s="3" t="n">
        <v>561</v>
      </c>
      <c r="X8" s="3" t="n">
        <v>4863</v>
      </c>
      <c r="Y8" s="3">
        <f>X8-X3</f>
        <v/>
      </c>
      <c r="Z8" s="4">
        <f>W8/Y8</f>
        <v/>
      </c>
      <c r="AA8" s="61" t="n"/>
      <c r="AB8" s="62" t="n"/>
      <c r="AC8" s="127">
        <f>IF(OR(AA8="",AB8=""),"",MOD(AB8-AA8,1))</f>
        <v/>
      </c>
      <c r="AD8" s="36" t="n"/>
      <c r="AE8" s="85">
        <f>IF(AF7="","",AF7)</f>
        <v/>
      </c>
      <c r="AF8" s="85" t="n">
        <v>77880</v>
      </c>
      <c r="AG8" s="151">
        <f>IF(OR(AE8="",AF8=""),"",AF8-AE8)</f>
        <v/>
      </c>
    </row>
    <row r="9">
      <c r="A9" s="126" t="n">
        <v>46268</v>
      </c>
      <c r="B9" s="24" t="inlineStr">
        <is>
          <t>NIGHT</t>
        </is>
      </c>
      <c r="C9" s="14">
        <f>IF(D8="","",D8)</f>
        <v/>
      </c>
      <c r="D9" s="14" t="n">
        <v>6742</v>
      </c>
      <c r="E9" s="14">
        <f>IF(OR(C9="",D9=""),"",D9-C9)</f>
        <v/>
      </c>
      <c r="F9" s="3" t="n"/>
      <c r="G9" s="3" t="n"/>
      <c r="H9" s="3" t="n"/>
      <c r="I9" s="34" t="n"/>
      <c r="J9" s="81" t="n"/>
      <c r="K9" s="81" t="n"/>
      <c r="L9" s="134">
        <f>IF(OR(J9="",K9=""),"",MOD(K9-J9,1))</f>
        <v/>
      </c>
      <c r="M9" s="34" t="n"/>
      <c r="N9" s="14">
        <f>IF(O8="","",O8)</f>
        <v/>
      </c>
      <c r="O9" s="14" t="n">
        <v>95048</v>
      </c>
      <c r="P9" s="151">
        <f>IF(OR(N9="",O9=""),"",O9-N9)</f>
        <v/>
      </c>
      <c r="Q9" s="84" t="n"/>
      <c r="R9" s="126" t="n">
        <v>46268</v>
      </c>
      <c r="S9" s="24" t="inlineStr">
        <is>
          <t>NIGHT</t>
        </is>
      </c>
      <c r="T9" s="14">
        <f>IF(U8="","",U8)</f>
        <v/>
      </c>
      <c r="U9" s="14" t="n">
        <v>4874</v>
      </c>
      <c r="V9" s="14">
        <f>IF(OR(T9="",U9=""),"",U9-T9)</f>
        <v/>
      </c>
      <c r="W9" s="3" t="n"/>
      <c r="X9" s="3" t="n"/>
      <c r="Y9" s="3" t="n"/>
      <c r="Z9" s="4" t="n"/>
      <c r="AA9" s="81" t="n"/>
      <c r="AB9" s="82" t="n"/>
      <c r="AC9" s="129">
        <f>IF(OR(AA9="",AB9=""),"",MOD(AB9-AA9,1))</f>
        <v/>
      </c>
      <c r="AD9" s="34" t="n"/>
      <c r="AE9" s="85">
        <f>IF(AF8="","",AF8)</f>
        <v/>
      </c>
      <c r="AF9" s="85" t="n">
        <v>77912</v>
      </c>
      <c r="AG9" s="151">
        <f>IF(OR(AE9="",AF9=""),"",AF9-AE9)</f>
        <v/>
      </c>
    </row>
    <row r="10">
      <c r="A10" s="126" t="n">
        <v>46269</v>
      </c>
      <c r="B10" s="24" t="inlineStr">
        <is>
          <t>DAY</t>
        </is>
      </c>
      <c r="C10" s="14">
        <f>IF(D9="","",D9)</f>
        <v/>
      </c>
      <c r="D10" s="14" t="n">
        <v>6751</v>
      </c>
      <c r="E10" s="14">
        <f>IF(OR(C10="",D10=""),"",D10-C10)</f>
        <v/>
      </c>
      <c r="F10" s="3" t="n"/>
      <c r="G10" s="3" t="n"/>
      <c r="H10" s="3" t="n"/>
      <c r="I10" s="34" t="n"/>
      <c r="J10" s="81" t="n"/>
      <c r="K10" s="82" t="n"/>
      <c r="L10" s="134">
        <f>IF(OR(J10="",K10=""),"",MOD(K10-J10,1))</f>
        <v/>
      </c>
      <c r="M10" s="19" t="n"/>
      <c r="N10" s="14">
        <f>IF(O9="","",O9)</f>
        <v/>
      </c>
      <c r="O10" s="14" t="n">
        <v>95155</v>
      </c>
      <c r="P10" s="151">
        <f>IF(OR(N10="",O10=""),"",O10-N10)</f>
        <v/>
      </c>
      <c r="Q10" s="84" t="n"/>
      <c r="R10" s="126" t="n">
        <v>46269</v>
      </c>
      <c r="S10" s="24" t="inlineStr">
        <is>
          <t>DAY</t>
        </is>
      </c>
      <c r="T10" s="14">
        <f>IF(U9="","",U9)</f>
        <v/>
      </c>
      <c r="U10" s="14" t="n">
        <v>4879</v>
      </c>
      <c r="V10" s="14">
        <f>IF(OR(T10="",U10=""),"",U10-T10)</f>
        <v/>
      </c>
      <c r="W10" s="3" t="n"/>
      <c r="X10" s="3" t="n"/>
      <c r="Y10" s="3" t="n"/>
      <c r="Z10" s="4" t="n"/>
      <c r="AA10" s="81" t="n"/>
      <c r="AB10" s="82" t="n"/>
      <c r="AC10" s="129">
        <f>IF(OR(AA10="",AB10=""),"",MOD(AB10-AA10,1))</f>
        <v/>
      </c>
      <c r="AD10" s="19" t="n"/>
      <c r="AE10" s="85">
        <f>IF(AF9="","",AF9)</f>
        <v/>
      </c>
      <c r="AF10" s="85" t="n">
        <v>78023</v>
      </c>
      <c r="AG10" s="151">
        <f>IF(OR(AE10="",AF10=""),"",AF10-AE10)</f>
        <v/>
      </c>
    </row>
    <row r="11">
      <c r="A11" s="126" t="n">
        <v>46269</v>
      </c>
      <c r="B11" s="24" t="inlineStr">
        <is>
          <t>NIGHT</t>
        </is>
      </c>
      <c r="C11" s="14">
        <f>IF(D10="","",D10)</f>
        <v/>
      </c>
      <c r="D11" s="14" t="n">
        <v>6759</v>
      </c>
      <c r="E11" s="14">
        <f>IF(OR(C11="",D11=""),"",D11-C11)</f>
        <v/>
      </c>
      <c r="F11" s="3" t="n"/>
      <c r="G11" s="3" t="n"/>
      <c r="H11" s="3" t="n"/>
      <c r="I11" s="34" t="n"/>
      <c r="J11" s="81" t="n"/>
      <c r="K11" s="82" t="n"/>
      <c r="L11" s="134">
        <f>IF(OR(J11="",K11=""),"",MOD(K11-J11,1))</f>
        <v/>
      </c>
      <c r="M11" s="19" t="n"/>
      <c r="N11" s="14">
        <f>IF(O10="","",O10)</f>
        <v/>
      </c>
      <c r="O11" s="14" t="n">
        <v>95246</v>
      </c>
      <c r="P11" s="151">
        <f>IF(OR(N11="",O11=""),"",O11-N11)</f>
        <v/>
      </c>
      <c r="Q11" s="84" t="n"/>
      <c r="R11" s="126" t="n">
        <v>46269</v>
      </c>
      <c r="S11" s="24" t="inlineStr">
        <is>
          <t>NIGHT</t>
        </is>
      </c>
      <c r="T11" s="14">
        <f>IF(U10="","",U10)</f>
        <v/>
      </c>
      <c r="U11" s="14" t="n">
        <v>4883</v>
      </c>
      <c r="V11" s="14">
        <f>IF(OR(T11="",U11=""),"",U11-T11)</f>
        <v/>
      </c>
      <c r="W11" s="3" t="n"/>
      <c r="X11" s="3" t="n"/>
      <c r="Y11" s="3" t="n"/>
      <c r="Z11" s="4" t="n"/>
      <c r="AA11" s="81" t="n"/>
      <c r="AB11" s="82" t="n"/>
      <c r="AC11" s="129">
        <f>IF(OR(AA11="",AB11=""),"",MOD(AB11-AA11,1))</f>
        <v/>
      </c>
      <c r="AD11" s="19" t="n"/>
      <c r="AE11" s="85">
        <f>IF(AF10="","",AF10)</f>
        <v/>
      </c>
      <c r="AF11" s="85" t="n">
        <v>78100</v>
      </c>
      <c r="AG11" s="151">
        <f>IF(OR(AE11="",AF11=""),"",AF11-AE11)</f>
        <v/>
      </c>
    </row>
    <row r="12">
      <c r="A12" s="126" t="n">
        <v>46270</v>
      </c>
      <c r="B12" s="24" t="inlineStr">
        <is>
          <t>DAY</t>
        </is>
      </c>
      <c r="C12" s="14">
        <f>IF(D11="","",D11)</f>
        <v/>
      </c>
      <c r="D12" s="14" t="n">
        <v>6769</v>
      </c>
      <c r="E12" s="14">
        <f>IF(OR(C12="",D12=""),"",D12-C12)</f>
        <v/>
      </c>
      <c r="F12" s="3" t="n">
        <v>315</v>
      </c>
      <c r="G12" s="3" t="n">
        <v>6763</v>
      </c>
      <c r="H12" s="3">
        <f>G12-G6</f>
        <v/>
      </c>
      <c r="I12" s="34">
        <f>F12/H12</f>
        <v/>
      </c>
      <c r="J12" s="81" t="n"/>
      <c r="K12" s="82" t="n"/>
      <c r="L12" s="129">
        <f>IF(OR(J12="",K12=""),"",MOD(K12-J12,1))</f>
        <v/>
      </c>
      <c r="M12" s="19" t="n"/>
      <c r="N12" s="14">
        <f>IF(O11="","",O11)</f>
        <v/>
      </c>
      <c r="O12" s="14" t="n">
        <v>95347</v>
      </c>
      <c r="P12" s="151">
        <f>IF(OR(N12="",O12=""),"",O12-N12)</f>
        <v/>
      </c>
      <c r="Q12" s="84" t="n"/>
      <c r="R12" s="126" t="n">
        <v>46270</v>
      </c>
      <c r="S12" s="24" t="inlineStr">
        <is>
          <t>DAY</t>
        </is>
      </c>
      <c r="T12" s="14">
        <f>IF(U11="","",U11)</f>
        <v/>
      </c>
      <c r="U12" s="14" t="n">
        <v>4885</v>
      </c>
      <c r="V12" s="14">
        <f>IF(OR(T12="",U12=""),"",U12-T12)</f>
        <v/>
      </c>
      <c r="W12" s="3" t="n">
        <v>339</v>
      </c>
      <c r="X12" s="3" t="n">
        <v>4885</v>
      </c>
      <c r="Y12" s="3">
        <f>X12-X8</f>
        <v/>
      </c>
      <c r="Z12" s="4">
        <f>W12/Y12</f>
        <v/>
      </c>
      <c r="AA12" s="81" t="n"/>
      <c r="AB12" s="82" t="n"/>
      <c r="AC12" s="129">
        <f>IF(OR(AA12="",AB12=""),"",MOD(AB12-AA12,1))</f>
        <v/>
      </c>
      <c r="AD12" s="19" t="n"/>
      <c r="AE12" s="85">
        <f>IF(AF11="","",AF11)</f>
        <v/>
      </c>
      <c r="AF12" s="85" t="n">
        <v>78127</v>
      </c>
      <c r="AG12" s="151">
        <f>IF(OR(AE12="",AF12=""),"",AF12-AE12)</f>
        <v/>
      </c>
    </row>
    <row r="13">
      <c r="A13" s="126" t="n">
        <v>46270</v>
      </c>
      <c r="B13" s="24" t="inlineStr">
        <is>
          <t>NIGHT</t>
        </is>
      </c>
      <c r="C13" s="14">
        <f>IF(D12="","",D12)</f>
        <v/>
      </c>
      <c r="D13" s="14" t="n">
        <v>6772</v>
      </c>
      <c r="E13" s="14">
        <f>IF(OR(C13="",D13=""),"",D13-C13)</f>
        <v/>
      </c>
      <c r="F13" s="3" t="n"/>
      <c r="G13" s="3" t="n"/>
      <c r="H13" s="3" t="n"/>
      <c r="I13" s="34" t="n"/>
      <c r="J13" s="81" t="n"/>
      <c r="K13" s="82" t="n"/>
      <c r="L13" s="129">
        <f>IF(OR(J13="",K13=""),"",MOD(K13-J13,1))</f>
        <v/>
      </c>
      <c r="M13" s="34" t="n"/>
      <c r="N13" s="14">
        <f>IF(O12="","",O12)</f>
        <v/>
      </c>
      <c r="O13" s="14" t="n">
        <v>95389</v>
      </c>
      <c r="P13" s="151">
        <f>IF(OR(N13="",O13=""),"",O13-N13)</f>
        <v/>
      </c>
      <c r="Q13" s="84" t="n"/>
      <c r="R13" s="126" t="n">
        <v>46270</v>
      </c>
      <c r="S13" s="24" t="inlineStr">
        <is>
          <t>NIGHT</t>
        </is>
      </c>
      <c r="T13" s="14">
        <f>IF(U12="","",U12)</f>
        <v/>
      </c>
      <c r="U13" s="14" t="n">
        <v>4889</v>
      </c>
      <c r="V13" s="14">
        <f>IF(OR(T13="",U13=""),"",U13-T13)</f>
        <v/>
      </c>
      <c r="W13" s="3" t="n"/>
      <c r="X13" s="3" t="n"/>
      <c r="Y13" s="3" t="n"/>
      <c r="Z13" s="4" t="n"/>
      <c r="AA13" s="81" t="n"/>
      <c r="AB13" s="82" t="n"/>
      <c r="AC13" s="129">
        <f>IF(OR(AA13="",AB13=""),"",MOD(AB13-AA13,1))</f>
        <v/>
      </c>
      <c r="AD13" s="34" t="n"/>
      <c r="AE13" s="85">
        <f>IF(AF12="","",AF12)</f>
        <v/>
      </c>
      <c r="AF13" s="85" t="n">
        <v>78178</v>
      </c>
      <c r="AG13" s="151">
        <f>IF(OR(AE13="",AF13=""),"",AF13-AE13)</f>
        <v/>
      </c>
    </row>
    <row r="14">
      <c r="A14" s="126" t="n">
        <v>46271</v>
      </c>
      <c r="B14" s="24" t="inlineStr">
        <is>
          <t>DAY</t>
        </is>
      </c>
      <c r="C14" s="14">
        <f>IF(D13="","",D13)</f>
        <v/>
      </c>
      <c r="D14" s="14" t="n">
        <v>6777</v>
      </c>
      <c r="E14" s="14">
        <f>IF(OR(C14="",D14=""),"",D14-C14)</f>
        <v/>
      </c>
      <c r="F14" s="3" t="n"/>
      <c r="G14" s="3" t="n"/>
      <c r="H14" s="3" t="n"/>
      <c r="I14" s="34" t="n"/>
      <c r="J14" s="61" t="n"/>
      <c r="K14" s="62" t="n"/>
      <c r="L14" s="127">
        <f>IF(OR(J14="",K14=""),"",MOD(K14-J14,1))</f>
        <v/>
      </c>
      <c r="M14" s="36" t="n"/>
      <c r="N14" s="14">
        <f>IF(O13="","",O13)</f>
        <v/>
      </c>
      <c r="O14" s="14" t="n">
        <v>95444</v>
      </c>
      <c r="P14" s="151">
        <f>IF(OR(N14="",O14=""),"",O14-N14)</f>
        <v/>
      </c>
      <c r="Q14" s="84" t="n"/>
      <c r="R14" s="126" t="n">
        <v>46271</v>
      </c>
      <c r="S14" s="24" t="inlineStr">
        <is>
          <t>DAY</t>
        </is>
      </c>
      <c r="T14" s="14">
        <f>IF(U13="","",U13)</f>
        <v/>
      </c>
      <c r="U14" s="14" t="n">
        <v>4889</v>
      </c>
      <c r="V14" s="14">
        <f>IF(OR(T14="",U14=""),"",U14-T14)</f>
        <v/>
      </c>
      <c r="W14" s="3" t="n"/>
      <c r="X14" s="3" t="n"/>
      <c r="Y14" s="3" t="n"/>
      <c r="Z14" s="4" t="n"/>
      <c r="AA14" s="61" t="n"/>
      <c r="AB14" s="62" t="n"/>
      <c r="AC14" s="127">
        <f>IF(OR(AA14="",AB14=""),"",MOD(AB14-AA14,1))</f>
        <v/>
      </c>
      <c r="AD14" s="36" t="n"/>
      <c r="AE14" s="85">
        <f>IF(AF13="","",AF13)</f>
        <v/>
      </c>
      <c r="AF14" s="85" t="n">
        <v>78178</v>
      </c>
      <c r="AG14" s="151">
        <f>IF(OR(AE14="",AF14=""),"",AF14-AE14)</f>
        <v/>
      </c>
    </row>
    <row r="15">
      <c r="A15" s="126" t="n">
        <v>46271</v>
      </c>
      <c r="B15" s="24" t="inlineStr">
        <is>
          <t>NIGHT</t>
        </is>
      </c>
      <c r="C15" s="14">
        <f>IF(D14="","",D14)</f>
        <v/>
      </c>
      <c r="D15" s="14" t="n">
        <v>6783</v>
      </c>
      <c r="E15" s="14">
        <f>IF(OR(C15="",D15=""),"",D15-C15)</f>
        <v/>
      </c>
      <c r="F15" s="3" t="n"/>
      <c r="G15" s="3" t="n"/>
      <c r="H15" s="3" t="n"/>
      <c r="I15" s="34" t="n"/>
      <c r="J15" s="81" t="n"/>
      <c r="K15" s="82" t="n"/>
      <c r="L15" s="129">
        <f>IF(OR(J15="",K15=""),"",MOD(K15-J15,1))</f>
        <v/>
      </c>
      <c r="M15" s="19" t="n"/>
      <c r="N15" s="14">
        <f>IF(O14="","",O14)</f>
        <v/>
      </c>
      <c r="O15" s="14" t="n">
        <v>95590</v>
      </c>
      <c r="P15" s="151">
        <f>IF(OR(N15="",O15=""),"",O15-N15)</f>
        <v/>
      </c>
      <c r="Q15" s="84" t="n"/>
      <c r="R15" s="126" t="n">
        <v>46271</v>
      </c>
      <c r="S15" s="24" t="inlineStr">
        <is>
          <t>NIGHT</t>
        </is>
      </c>
      <c r="T15" s="14">
        <f>IF(U14="","",U14)</f>
        <v/>
      </c>
      <c r="U15" s="14" t="n">
        <v>4894</v>
      </c>
      <c r="V15" s="14">
        <f>IF(OR(T15="",U15=""),"",U15-T15)</f>
        <v/>
      </c>
      <c r="W15" s="3" t="n"/>
      <c r="X15" s="3" t="n"/>
      <c r="Y15" s="3" t="n"/>
      <c r="Z15" s="4" t="n"/>
      <c r="AA15" s="81" t="n"/>
      <c r="AB15" s="82" t="n"/>
      <c r="AC15" s="129">
        <f>IF(OR(AA15="",AB15=""),"",MOD(AB15-AA15,1))</f>
        <v/>
      </c>
      <c r="AD15" s="19" t="n"/>
      <c r="AE15" s="85">
        <f>IF(AF14="","",AF14)</f>
        <v/>
      </c>
      <c r="AF15" s="85" t="n">
        <v>78236</v>
      </c>
      <c r="AG15" s="151">
        <f>IF(OR(AE15="",AF15=""),"",AF15-AE15)</f>
        <v/>
      </c>
    </row>
    <row r="16">
      <c r="A16" s="126" t="n">
        <v>46272</v>
      </c>
      <c r="B16" s="24" t="inlineStr">
        <is>
          <t>DAY</t>
        </is>
      </c>
      <c r="C16" s="14">
        <f>IF(D15="","",D15)</f>
        <v/>
      </c>
      <c r="D16" s="14" t="n">
        <v>6791</v>
      </c>
      <c r="E16" s="14">
        <f>IF(OR(C16="",D16=""),"",D16-C16)</f>
        <v/>
      </c>
      <c r="F16" s="3" t="n">
        <v>347</v>
      </c>
      <c r="G16" s="3" t="n">
        <v>6789</v>
      </c>
      <c r="H16" s="3">
        <f>G16-G12</f>
        <v/>
      </c>
      <c r="I16" s="34">
        <f>F16/H16</f>
        <v/>
      </c>
      <c r="J16" s="81" t="n"/>
      <c r="K16" s="82" t="n"/>
      <c r="L16" s="129">
        <f>IF(OR(J16="",K16=""),"",MOD(K16-J16,1))</f>
        <v/>
      </c>
      <c r="M16" s="19" t="n"/>
      <c r="N16" s="14">
        <f>IF(O15="","",O15)</f>
        <v/>
      </c>
      <c r="O16" s="14" t="n">
        <v>95658</v>
      </c>
      <c r="P16" s="151">
        <f>IF(OR(N16="",O16=""),"",O16-N16)</f>
        <v/>
      </c>
      <c r="Q16" s="84" t="n"/>
      <c r="R16" s="126" t="n">
        <v>46272</v>
      </c>
      <c r="S16" s="24" t="inlineStr">
        <is>
          <t>DAY</t>
        </is>
      </c>
      <c r="T16" s="14">
        <f>IF(U15="","",U15)</f>
        <v/>
      </c>
      <c r="U16" s="14" t="n">
        <v>4901</v>
      </c>
      <c r="V16" s="14">
        <f>IF(OR(T16="",U16=""),"",U16-T16)</f>
        <v/>
      </c>
      <c r="W16" s="3" t="n"/>
      <c r="X16" s="3" t="n"/>
      <c r="Y16" s="3" t="n"/>
      <c r="Z16" s="4" t="n"/>
      <c r="AA16" s="81" t="n"/>
      <c r="AB16" s="82" t="n"/>
      <c r="AC16" s="129">
        <f>IF(OR(AA16="",AB16=""),"",MOD(AB16-AA16,1))</f>
        <v/>
      </c>
      <c r="AD16" s="19" t="n"/>
      <c r="AE16" s="85">
        <f>IF(AF15="","",AF15)</f>
        <v/>
      </c>
      <c r="AF16" s="85" t="n">
        <v>78333</v>
      </c>
      <c r="AG16" s="151">
        <f>IF(OR(AE16="",AF16=""),"",AF16-AE16)</f>
        <v/>
      </c>
    </row>
    <row r="17">
      <c r="A17" s="126" t="n">
        <v>46272</v>
      </c>
      <c r="B17" s="24" t="inlineStr">
        <is>
          <t>NIGHT</t>
        </is>
      </c>
      <c r="C17" s="14">
        <f>IF(D16="","",D16)</f>
        <v/>
      </c>
      <c r="D17" s="14" t="n">
        <v>6799</v>
      </c>
      <c r="E17" s="14">
        <f>IF(OR(C17="",D17=""),"",D17-C17)</f>
        <v/>
      </c>
      <c r="F17" s="3" t="n"/>
      <c r="G17" s="3" t="n"/>
      <c r="H17" s="3" t="n"/>
      <c r="I17" s="34" t="n"/>
      <c r="J17" s="81" t="n"/>
      <c r="K17" s="82" t="n"/>
      <c r="L17" s="129">
        <f>IF(OR(J17="",K17=""),"",MOD(K17-J17,1))</f>
        <v/>
      </c>
      <c r="M17" s="19" t="n"/>
      <c r="N17" s="14">
        <f>IF(O16="","",O16)</f>
        <v/>
      </c>
      <c r="O17" s="14" t="n">
        <v>95763</v>
      </c>
      <c r="P17" s="151">
        <f>IF(OR(N17="",O17=""),"",O17-N17)</f>
        <v/>
      </c>
      <c r="Q17" s="84" t="n"/>
      <c r="R17" s="126" t="n">
        <v>46272</v>
      </c>
      <c r="S17" s="24" t="inlineStr">
        <is>
          <t>NIGHT</t>
        </is>
      </c>
      <c r="T17" s="14">
        <f>IF(U16="","",U16)</f>
        <v/>
      </c>
      <c r="U17" s="14" t="n">
        <v>4901</v>
      </c>
      <c r="V17" s="14">
        <f>IF(OR(T17="",U17=""),"",U17-T17)</f>
        <v/>
      </c>
      <c r="W17" s="3" t="n"/>
      <c r="X17" s="3" t="n"/>
      <c r="Y17" s="3" t="n"/>
      <c r="Z17" s="4" t="n"/>
      <c r="AA17" s="81" t="n"/>
      <c r="AB17" s="82" t="n"/>
      <c r="AC17" s="129">
        <f>IF(OR(AA17="",AB17=""),"",MOD(AB17-AA17,1))</f>
        <v/>
      </c>
      <c r="AD17" s="34" t="n"/>
      <c r="AE17" s="85">
        <f>IF(AF16="","",AF16)</f>
        <v/>
      </c>
      <c r="AF17" s="85" t="n">
        <v>78333</v>
      </c>
      <c r="AG17" s="151">
        <f>IF(OR(AE17="",AF17=""),"",AF17-AE17)</f>
        <v/>
      </c>
    </row>
    <row r="18">
      <c r="A18" s="126" t="n">
        <v>46273</v>
      </c>
      <c r="B18" s="24" t="inlineStr">
        <is>
          <t>DAY</t>
        </is>
      </c>
      <c r="C18" s="14">
        <f>IF(D17="","",D17)</f>
        <v/>
      </c>
      <c r="D18" s="14" t="n">
        <v>6806</v>
      </c>
      <c r="E18" s="14">
        <f>IF(OR(C18="",D18=""),"",D18-C18)</f>
        <v/>
      </c>
      <c r="F18" s="3" t="n"/>
      <c r="G18" s="3" t="n"/>
      <c r="H18" s="3" t="n"/>
      <c r="I18" s="34" t="n"/>
      <c r="J18" s="81" t="n"/>
      <c r="K18" s="82" t="n"/>
      <c r="L18" s="129">
        <f>IF(OR(J18="",K18=""),"",MOD(K18-J18,1))</f>
        <v/>
      </c>
      <c r="M18" s="19" t="n"/>
      <c r="N18" s="14">
        <f>IF(O17="","",O17)</f>
        <v/>
      </c>
      <c r="O18" s="14" t="n">
        <v>95842</v>
      </c>
      <c r="P18" s="151">
        <f>IF(OR(N18="",O18=""),"",O18-N18)</f>
        <v/>
      </c>
      <c r="Q18" s="84" t="n"/>
      <c r="R18" s="126" t="n">
        <v>46273</v>
      </c>
      <c r="S18" s="24" t="inlineStr">
        <is>
          <t>DAY</t>
        </is>
      </c>
      <c r="T18" s="14">
        <f>IF(U17="","",U17)</f>
        <v/>
      </c>
      <c r="U18" s="14" t="n">
        <v>4901</v>
      </c>
      <c r="V18" s="14">
        <f>IF(OR(T18="",U18=""),"",U18-T18)</f>
        <v/>
      </c>
      <c r="W18" s="3" t="n"/>
      <c r="X18" s="3" t="n"/>
      <c r="Y18" s="3" t="n"/>
      <c r="Z18" s="4" t="n"/>
      <c r="AA18" s="61" t="n"/>
      <c r="AB18" s="62" t="n"/>
      <c r="AC18" s="127">
        <f>IF(OR(AA18="",AB18=""),"",MOD(AB18-AA18,1))</f>
        <v/>
      </c>
      <c r="AD18" s="151" t="n"/>
      <c r="AE18" s="85">
        <f>IF(AF17="","",AF17)</f>
        <v/>
      </c>
      <c r="AF18" s="85" t="n">
        <v>78333</v>
      </c>
      <c r="AG18" s="151">
        <f>IF(OR(AE18="",AF18=""),"",AF18-AE18)</f>
        <v/>
      </c>
    </row>
    <row r="19">
      <c r="A19" s="126" t="n">
        <v>46273</v>
      </c>
      <c r="B19" s="24" t="inlineStr">
        <is>
          <t>NIGHT</t>
        </is>
      </c>
      <c r="C19" s="14">
        <f>IF(D18="","",D18)</f>
        <v/>
      </c>
      <c r="D19" s="14" t="n">
        <v>6812</v>
      </c>
      <c r="E19" s="14">
        <f>IF(OR(C19="",D19=""),"",D19-C19)</f>
        <v/>
      </c>
      <c r="F19" s="3" t="n"/>
      <c r="G19" s="3" t="n"/>
      <c r="H19" s="3" t="n"/>
      <c r="I19" s="34" t="n"/>
      <c r="J19" s="81" t="n"/>
      <c r="K19" s="82" t="n"/>
      <c r="L19" s="134">
        <f>IF(OR(J19="",K19=""),"",MOD(K19-J19,1))</f>
        <v/>
      </c>
      <c r="M19" s="149" t="n"/>
      <c r="N19" s="14">
        <f>IF(O18="","",O18)</f>
        <v/>
      </c>
      <c r="O19" s="14" t="n">
        <v>95923</v>
      </c>
      <c r="P19" s="151">
        <f>IF(OR(N19="",O19=""),"",O19-N19)</f>
        <v/>
      </c>
      <c r="Q19" s="84" t="n"/>
      <c r="R19" s="126" t="n">
        <v>46273</v>
      </c>
      <c r="S19" s="24" t="inlineStr">
        <is>
          <t>NIGHT</t>
        </is>
      </c>
      <c r="T19" s="14">
        <f>IF(U18="","",U18)</f>
        <v/>
      </c>
      <c r="U19" s="14" t="n">
        <v>4904</v>
      </c>
      <c r="V19" s="14">
        <f>IF(OR(T19="",U19=""),"",U19-T19)</f>
        <v/>
      </c>
      <c r="W19" s="3" t="n"/>
      <c r="X19" s="3" t="n"/>
      <c r="Y19" s="3" t="n"/>
      <c r="Z19" s="4" t="n"/>
      <c r="AA19" s="61" t="n"/>
      <c r="AB19" s="62" t="n"/>
      <c r="AC19" s="127">
        <f>IF(OR(AA19="",AB19=""),"",MOD(AB19-AA19,1))</f>
        <v/>
      </c>
      <c r="AD19" s="151" t="n"/>
      <c r="AE19" s="85">
        <f>IF(AF18="","",AF18)</f>
        <v/>
      </c>
      <c r="AF19" s="85" t="n">
        <v>78421</v>
      </c>
      <c r="AG19" s="151">
        <f>IF(OR(AE19="",AF19=""),"",AF19-AE19)</f>
        <v/>
      </c>
    </row>
    <row r="20">
      <c r="A20" s="126" t="n">
        <v>46274</v>
      </c>
      <c r="B20" s="24" t="inlineStr">
        <is>
          <t>DAY</t>
        </is>
      </c>
      <c r="C20" s="14">
        <f>IF(D19="","",D19)</f>
        <v/>
      </c>
      <c r="D20" s="14" t="n">
        <v>6820</v>
      </c>
      <c r="E20" s="14">
        <f>IF(OR(C20="",D20=""),"",D20-C20)</f>
        <v/>
      </c>
      <c r="F20" s="3" t="n"/>
      <c r="G20" s="3" t="n"/>
      <c r="H20" s="3" t="n"/>
      <c r="I20" s="34" t="n"/>
      <c r="J20" s="61" t="n"/>
      <c r="K20" s="62" t="n"/>
      <c r="L20" s="134">
        <f>IF(OR(J20="",K20=""),"",MOD(K20-J20,1))</f>
        <v/>
      </c>
      <c r="M20" s="150" t="n"/>
      <c r="N20" s="14">
        <f>IF(O19="","",O19)</f>
        <v/>
      </c>
      <c r="O20" s="14" t="n">
        <v>95985</v>
      </c>
      <c r="P20" s="151">
        <f>IF(OR(N20="",O20=""),"",O20-N20)</f>
        <v/>
      </c>
      <c r="Q20" s="84" t="n"/>
      <c r="R20" s="126" t="n">
        <v>46274</v>
      </c>
      <c r="S20" s="24" t="inlineStr">
        <is>
          <t>DAY</t>
        </is>
      </c>
      <c r="T20" s="14">
        <f>IF(U19="","",U19)</f>
        <v/>
      </c>
      <c r="U20" s="14" t="n">
        <v>4908</v>
      </c>
      <c r="V20" s="14">
        <f>IF(OR(T20="",U20=""),"",U20-T20)</f>
        <v/>
      </c>
      <c r="W20" s="3" t="n"/>
      <c r="X20" s="3" t="n"/>
      <c r="Y20" s="3" t="n"/>
      <c r="Z20" s="4" t="n"/>
      <c r="AA20" s="81" t="n"/>
      <c r="AB20" s="82" t="n"/>
      <c r="AC20" s="129">
        <f>IF(OR(AA20="",AB20=""),"",MOD(AB20-AA20,1))</f>
        <v/>
      </c>
      <c r="AD20" s="34" t="n"/>
      <c r="AE20" s="85">
        <f>IF(AF19="","",AF19)</f>
        <v/>
      </c>
      <c r="AF20" s="85" t="n">
        <v>78510</v>
      </c>
      <c r="AG20" s="151">
        <f>IF(OR(AE20="",AF20=""),"",AF20-AE20)</f>
        <v/>
      </c>
    </row>
    <row r="21">
      <c r="A21" s="126" t="n">
        <v>46274</v>
      </c>
      <c r="B21" s="24" t="inlineStr">
        <is>
          <t>NIGHT</t>
        </is>
      </c>
      <c r="C21" s="14">
        <f>IF(D20="","",D20)</f>
        <v/>
      </c>
      <c r="D21" s="14" t="n">
        <v>6822</v>
      </c>
      <c r="E21" s="14">
        <f>IF(OR(C21="",D21=""),"",D21-C21)</f>
        <v/>
      </c>
      <c r="F21" s="3" t="n"/>
      <c r="G21" s="3" t="n"/>
      <c r="H21" s="3" t="n"/>
      <c r="I21" s="34" t="n"/>
      <c r="J21" s="81" t="n"/>
      <c r="K21" s="82" t="n"/>
      <c r="L21" s="129">
        <f>IF(OR(J21="",K21=""),"",MOD(K21-J21,1))</f>
        <v/>
      </c>
      <c r="M21" s="19" t="n"/>
      <c r="N21" s="14">
        <f>IF(O20="","",O20)</f>
        <v/>
      </c>
      <c r="O21" s="14" t="n">
        <v>95994</v>
      </c>
      <c r="P21" s="151">
        <f>IF(OR(N21="",O21=""),"",O21-N21)</f>
        <v/>
      </c>
      <c r="Q21" s="84" t="n"/>
      <c r="R21" s="126" t="n">
        <v>46274</v>
      </c>
      <c r="S21" s="24" t="inlineStr">
        <is>
          <t>NIGHT</t>
        </is>
      </c>
      <c r="T21" s="14">
        <f>IF(U20="","",U20)</f>
        <v/>
      </c>
      <c r="U21" s="14" t="n">
        <v>4908</v>
      </c>
      <c r="V21" s="14">
        <f>IF(OR(T21="",U21=""),"",U21-T21)</f>
        <v/>
      </c>
      <c r="W21" s="3" t="n"/>
      <c r="X21" s="3" t="n"/>
      <c r="Y21" s="3" t="n"/>
      <c r="Z21" s="15" t="n"/>
      <c r="AA21" s="61" t="n"/>
      <c r="AB21" s="62" t="n"/>
      <c r="AC21" s="127">
        <f>IF(OR(AA21="",AB21=""),"",MOD(AB21-AA21,1))</f>
        <v/>
      </c>
      <c r="AD21" s="151" t="n"/>
      <c r="AE21" s="85">
        <f>IF(AF20="","",AF20)</f>
        <v/>
      </c>
      <c r="AF21" s="85" t="n">
        <v>78571</v>
      </c>
      <c r="AG21" s="151">
        <f>IF(OR(AE21="",AF21=""),"",AF21-AE21)</f>
        <v/>
      </c>
    </row>
    <row r="22">
      <c r="A22" s="126" t="n">
        <v>46275</v>
      </c>
      <c r="B22" s="24" t="inlineStr">
        <is>
          <t>DAY</t>
        </is>
      </c>
      <c r="C22" s="14">
        <f>IF(D21="","",D21)</f>
        <v/>
      </c>
      <c r="D22" s="14" t="n">
        <v>6823</v>
      </c>
      <c r="E22" s="14">
        <f>IF(OR(C22="",D22=""),"",D22-C22)</f>
        <v/>
      </c>
      <c r="F22" s="14" t="n"/>
      <c r="G22" s="86" t="n"/>
      <c r="H22" s="3" t="n"/>
      <c r="I22" s="34" t="n"/>
      <c r="J22" s="81" t="n"/>
      <c r="K22" s="82" t="n"/>
      <c r="L22" s="129">
        <f>IF(OR(J22="",K22=""),"",MOD(K22-J22,1))</f>
        <v/>
      </c>
      <c r="M22" s="19" t="n"/>
      <c r="N22" s="14">
        <f>IF(O21="","",O21)</f>
        <v/>
      </c>
      <c r="O22" s="14" t="n">
        <v>95995</v>
      </c>
      <c r="P22" s="151">
        <f>IF(OR(N22="",O22=""),"",O22-N22)</f>
        <v/>
      </c>
      <c r="Q22" s="84" t="n"/>
      <c r="R22" s="126" t="n">
        <v>46275</v>
      </c>
      <c r="S22" s="24" t="inlineStr">
        <is>
          <t>DAY</t>
        </is>
      </c>
      <c r="T22" s="14">
        <f>IF(U21="","",U21)</f>
        <v/>
      </c>
      <c r="U22" s="14" t="n">
        <v>4914</v>
      </c>
      <c r="V22" s="14">
        <f>IF(OR(T22="",U22=""),"",U22-T22)</f>
        <v/>
      </c>
      <c r="W22" s="3" t="n"/>
      <c r="X22" s="3" t="n"/>
      <c r="Y22" s="3" t="n"/>
      <c r="Z22" s="4" t="n"/>
      <c r="AA22" s="61" t="n"/>
      <c r="AB22" s="62" t="n"/>
      <c r="AC22" s="127">
        <f>IF(OR(AA22="",AB22=""),"",MOD(AB22-AA22,1))</f>
        <v/>
      </c>
      <c r="AD22" s="36" t="n"/>
      <c r="AE22" s="85">
        <f>IF(AF21="","",AF21)</f>
        <v/>
      </c>
      <c r="AF22" s="85" t="n">
        <v>78632</v>
      </c>
      <c r="AG22" s="151">
        <f>IF(OR(AE22="",AF22=""),"",AF22-AE22)</f>
        <v/>
      </c>
    </row>
    <row r="23">
      <c r="A23" s="126" t="n">
        <v>46275</v>
      </c>
      <c r="B23" s="24" t="inlineStr">
        <is>
          <t>NIGHT</t>
        </is>
      </c>
      <c r="C23" s="14">
        <f>IF(D22="","",D22)</f>
        <v/>
      </c>
      <c r="D23" s="14" t="n">
        <v>6826</v>
      </c>
      <c r="E23" s="14">
        <f>IF(OR(C23="",D23=""),"",D23-C23)</f>
        <v/>
      </c>
      <c r="F23" s="3" t="n"/>
      <c r="G23" s="3" t="n"/>
      <c r="H23" s="3" t="n"/>
      <c r="I23" s="34" t="n"/>
      <c r="J23" s="61" t="n"/>
      <c r="K23" s="62" t="n"/>
      <c r="L23" s="127">
        <f>IF(OR(J23="",K23=""),"",MOD(K23-J23,1))</f>
        <v/>
      </c>
      <c r="M23" s="151" t="n"/>
      <c r="N23" s="14">
        <f>IF(O22="","",O22)</f>
        <v/>
      </c>
      <c r="O23" s="14" t="n">
        <v>96006</v>
      </c>
      <c r="P23" s="151">
        <f>IF(OR(N23="",O23=""),"",O23-N23)</f>
        <v/>
      </c>
      <c r="Q23" s="84" t="n"/>
      <c r="R23" s="126" t="n">
        <v>46275</v>
      </c>
      <c r="S23" s="24" t="inlineStr">
        <is>
          <t>NIGHT</t>
        </is>
      </c>
      <c r="T23" s="14">
        <f>IF(U22="","",U22)</f>
        <v/>
      </c>
      <c r="U23" s="14" t="n">
        <v>4916</v>
      </c>
      <c r="V23" s="14">
        <f>IF(OR(T23="",U23=""),"",U23-T23)</f>
        <v/>
      </c>
      <c r="W23" s="3" t="n"/>
      <c r="X23" s="3" t="n"/>
      <c r="Y23" s="3" t="n"/>
      <c r="Z23" s="4" t="n"/>
      <c r="AA23" s="61" t="n"/>
      <c r="AB23" s="62" t="n"/>
      <c r="AC23" s="127">
        <f>IF(OR(AA23="",AB23=""),"",MOD(AB23-AA23,1))</f>
        <v/>
      </c>
      <c r="AD23" s="151" t="n"/>
      <c r="AE23" s="85">
        <f>IF(AF22="","",AF22)</f>
        <v/>
      </c>
      <c r="AF23" s="85" t="n">
        <v>78701</v>
      </c>
      <c r="AG23" s="151">
        <f>IF(OR(AE23="",AF23=""),"",AF23-AE23)</f>
        <v/>
      </c>
    </row>
    <row r="24">
      <c r="A24" s="126" t="n">
        <v>46276</v>
      </c>
      <c r="B24" s="24" t="inlineStr">
        <is>
          <t>DAY</t>
        </is>
      </c>
      <c r="C24" s="14">
        <f>IF(D23="","",D23)</f>
        <v/>
      </c>
      <c r="D24" s="14" t="n">
        <v>6834</v>
      </c>
      <c r="E24" s="14">
        <f>IF(OR(C24="",D24=""),"",D24-C24)</f>
        <v/>
      </c>
      <c r="F24" s="3" t="n">
        <v>447</v>
      </c>
      <c r="G24" s="3" t="n">
        <v>6832</v>
      </c>
      <c r="H24" s="3">
        <f>G24-G16</f>
        <v/>
      </c>
      <c r="I24" s="34">
        <f>F24/H24</f>
        <v/>
      </c>
      <c r="J24" s="61" t="n"/>
      <c r="K24" s="62" t="n"/>
      <c r="L24" s="127">
        <f>IF(OR(J24="",K24=""),"",MOD(K24-J24,1))</f>
        <v/>
      </c>
      <c r="M24" s="151" t="n"/>
      <c r="N24" s="14">
        <f>IF(O23="","",O23)</f>
        <v/>
      </c>
      <c r="O24" s="14" t="n">
        <v>96080</v>
      </c>
      <c r="P24" s="151">
        <f>IF(OR(N24="",O24=""),"",O24-N24)</f>
        <v/>
      </c>
      <c r="Q24" s="84" t="n"/>
      <c r="R24" s="126" t="n">
        <v>46276</v>
      </c>
      <c r="S24" s="24" t="inlineStr">
        <is>
          <t>DAY</t>
        </is>
      </c>
      <c r="T24" s="14">
        <f>IF(U23="","",U23)</f>
        <v/>
      </c>
      <c r="U24" s="14" t="n">
        <v>4923</v>
      </c>
      <c r="V24" s="14">
        <f>IF(OR(T24="",U24=""),"",U24-T24)</f>
        <v/>
      </c>
      <c r="W24" s="3" t="n">
        <v>628</v>
      </c>
      <c r="X24" s="3" t="n">
        <v>4919</v>
      </c>
      <c r="Y24" s="3">
        <f>X24-X12</f>
        <v/>
      </c>
      <c r="Z24" s="4">
        <f>W24/Y24</f>
        <v/>
      </c>
      <c r="AA24" s="61" t="n"/>
      <c r="AB24" s="62" t="n"/>
      <c r="AC24" s="127">
        <f>IF(OR(AA24="",AB24=""),"",MOD(AB24-AA24,1))</f>
        <v/>
      </c>
      <c r="AD24" s="151" t="n"/>
      <c r="AE24" s="85">
        <f>IF(AF23="","",AF23)</f>
        <v/>
      </c>
      <c r="AF24" s="85" t="n">
        <v>78779</v>
      </c>
      <c r="AG24" s="151">
        <f>IF(OR(AE24="",AF24=""),"",AF24-AE24)</f>
        <v/>
      </c>
    </row>
    <row r="25">
      <c r="A25" s="126" t="n">
        <v>46276</v>
      </c>
      <c r="B25" s="24" t="inlineStr">
        <is>
          <t>NIGHT</t>
        </is>
      </c>
      <c r="C25" s="14">
        <f>IF(D24="","",D24)</f>
        <v/>
      </c>
      <c r="D25" s="14" t="n">
        <v>6841</v>
      </c>
      <c r="E25" s="14">
        <f>IF(OR(C25="",D25=""),"",D25-C25)</f>
        <v/>
      </c>
      <c r="F25" s="3" t="n"/>
      <c r="G25" s="3" t="n"/>
      <c r="H25" s="3" t="n"/>
      <c r="I25" s="34" t="n"/>
      <c r="J25" s="61" t="n"/>
      <c r="K25" s="62" t="n"/>
      <c r="L25" s="127">
        <f>IF(OR(J25="",K25=""),"",MOD(K25-J25,1))</f>
        <v/>
      </c>
      <c r="M25" s="151" t="n"/>
      <c r="N25" s="14">
        <f>IF(O24="","",O24)</f>
        <v/>
      </c>
      <c r="O25" s="14" t="n">
        <v>96160</v>
      </c>
      <c r="P25" s="151">
        <f>IF(OR(N25="",O25=""),"",O25-N25)</f>
        <v/>
      </c>
      <c r="Q25" s="84" t="n"/>
      <c r="R25" s="126" t="n">
        <v>46276</v>
      </c>
      <c r="S25" s="24" t="inlineStr">
        <is>
          <t>NIGHT</t>
        </is>
      </c>
      <c r="T25" s="14">
        <f>IF(U24="","",U24)</f>
        <v/>
      </c>
      <c r="U25" s="14" t="n">
        <v>4928</v>
      </c>
      <c r="V25" s="14">
        <f>IF(OR(T25="",U25=""),"",U25-T25)</f>
        <v/>
      </c>
      <c r="W25" s="3" t="n"/>
      <c r="X25" s="3" t="n"/>
      <c r="Y25" s="3" t="n"/>
      <c r="Z25" s="4" t="n"/>
      <c r="AA25" s="61" t="n"/>
      <c r="AB25" s="62" t="n"/>
      <c r="AC25" s="127">
        <f>IF(OR(AA25="",AB25=""),"",MOD(AB25-AA25,1))</f>
        <v/>
      </c>
      <c r="AD25" s="151" t="n"/>
      <c r="AE25" s="85">
        <f>IF(AF24="","",AF24)</f>
        <v/>
      </c>
      <c r="AF25" s="85" t="n">
        <v>78821</v>
      </c>
      <c r="AG25" s="151">
        <f>IF(OR(AE25="",AF25=""),"",AF25-AE25)</f>
        <v/>
      </c>
    </row>
    <row r="26">
      <c r="A26" s="126" t="n">
        <v>46277</v>
      </c>
      <c r="B26" s="24" t="inlineStr">
        <is>
          <t>DAY</t>
        </is>
      </c>
      <c r="C26" s="14">
        <f>IF(D25="","",D25)</f>
        <v/>
      </c>
      <c r="D26" s="14" t="n">
        <v>6852</v>
      </c>
      <c r="E26" s="14">
        <f>IF(OR(C26="",D26=""),"",D26-C26)</f>
        <v/>
      </c>
      <c r="F26" s="3" t="n"/>
      <c r="G26" s="3" t="n"/>
      <c r="H26" s="3" t="n"/>
      <c r="I26" s="34" t="n"/>
      <c r="J26" s="61" t="n"/>
      <c r="K26" s="62" t="n"/>
      <c r="L26" s="127">
        <f>IF(OR(J26="",K26=""),"",MOD(K26-J26,1))</f>
        <v/>
      </c>
      <c r="M26" s="36" t="n"/>
      <c r="N26" s="14">
        <f>IF(O25="","",O25)</f>
        <v/>
      </c>
      <c r="O26" s="14" t="n">
        <v>96289</v>
      </c>
      <c r="P26" s="151">
        <f>IF(OR(N26="",O26=""),"",O26-N26)</f>
        <v/>
      </c>
      <c r="Q26" s="84" t="n"/>
      <c r="R26" s="126" t="n">
        <v>46277</v>
      </c>
      <c r="S26" s="24" t="inlineStr">
        <is>
          <t>DAY</t>
        </is>
      </c>
      <c r="T26" s="14">
        <f>IF(U25="","",U25)</f>
        <v/>
      </c>
      <c r="U26" s="14" t="n">
        <v>4933</v>
      </c>
      <c r="V26" s="14">
        <f>IF(OR(T26="",U26=""),"",U26-T26)</f>
        <v/>
      </c>
      <c r="W26" s="3" t="n"/>
      <c r="X26" s="3" t="n"/>
      <c r="Y26" s="3" t="n"/>
      <c r="Z26" s="4" t="n"/>
      <c r="AA26" s="61" t="n"/>
      <c r="AB26" s="62" t="n"/>
      <c r="AC26" s="127">
        <f>IF(OR(AA26="",AB26=""),"",MOD(AB26-AA26,1))</f>
        <v/>
      </c>
      <c r="AD26" s="36" t="n"/>
      <c r="AE26" s="85">
        <f>IF(AF25="","",AF25)</f>
        <v/>
      </c>
      <c r="AF26" s="85" t="n">
        <v>78852</v>
      </c>
      <c r="AG26" s="151">
        <f>IF(OR(AE26="",AF26=""),"",AF26-AE26)</f>
        <v/>
      </c>
    </row>
    <row r="27">
      <c r="A27" s="126" t="n">
        <v>46277</v>
      </c>
      <c r="B27" s="24" t="inlineStr">
        <is>
          <t>NIGHT</t>
        </is>
      </c>
      <c r="C27" s="14">
        <f>IF(D26="","",D26)</f>
        <v/>
      </c>
      <c r="D27" s="14" t="n">
        <v>6860</v>
      </c>
      <c r="E27" s="14">
        <f>IF(OR(C27="",D27=""),"",D27-C27)</f>
        <v/>
      </c>
      <c r="F27" s="3" t="n"/>
      <c r="G27" s="3" t="n"/>
      <c r="H27" s="3" t="n"/>
      <c r="I27" s="34" t="n"/>
      <c r="J27" s="61" t="n"/>
      <c r="K27" s="62" t="n"/>
      <c r="L27" s="127">
        <f>IF(OR(J27="",K27=""),"",MOD(K27-J27,1))</f>
        <v/>
      </c>
      <c r="M27" s="151" t="n"/>
      <c r="N27" s="14">
        <f>IF(O26="","",O26)</f>
        <v/>
      </c>
      <c r="O27" s="14" t="n">
        <v>96431</v>
      </c>
      <c r="P27" s="151">
        <f>IF(OR(N27="",O27=""),"",O27-N27)</f>
        <v/>
      </c>
      <c r="Q27" s="84" t="n"/>
      <c r="R27" s="126" t="n">
        <v>46277</v>
      </c>
      <c r="S27" s="24" t="inlineStr">
        <is>
          <t>NIGHT</t>
        </is>
      </c>
      <c r="T27" s="14">
        <f>IF(U26="","",U26)</f>
        <v/>
      </c>
      <c r="U27" s="14" t="n">
        <v>4938</v>
      </c>
      <c r="V27" s="14">
        <f>IF(OR(T27="",U27=""),"",U27-T27)</f>
        <v/>
      </c>
      <c r="W27" s="3" t="n"/>
      <c r="X27" s="3" t="n"/>
      <c r="Y27" s="3" t="n"/>
      <c r="Z27" s="4" t="n"/>
      <c r="AA27" s="61" t="n"/>
      <c r="AB27" s="62" t="n"/>
      <c r="AC27" s="127">
        <f>IF(OR(AA27="",AB27=""),"",MOD(AB27-AA27,1))</f>
        <v/>
      </c>
      <c r="AD27" s="151" t="n"/>
      <c r="AE27" s="85">
        <f>IF(AF26="","",AF26)</f>
        <v/>
      </c>
      <c r="AF27" s="14" t="n">
        <v>78897</v>
      </c>
      <c r="AG27" s="151">
        <f>IF(OR(AE27="",AF27=""),"",AF27-AE27)</f>
        <v/>
      </c>
    </row>
    <row r="28">
      <c r="A28" s="126" t="n">
        <v>46278</v>
      </c>
      <c r="B28" s="24" t="inlineStr">
        <is>
          <t>DAY</t>
        </is>
      </c>
      <c r="C28" s="14">
        <f>IF(D27="","",D27)</f>
        <v/>
      </c>
      <c r="D28" s="14" t="n">
        <v>6870</v>
      </c>
      <c r="E28" s="14">
        <f>IF(OR(C28="",D28=""),"",D28-C28)</f>
        <v/>
      </c>
      <c r="F28" s="3" t="n"/>
      <c r="G28" s="3" t="n"/>
      <c r="H28" s="3" t="n"/>
      <c r="I28" s="34" t="n"/>
      <c r="J28" s="61" t="n"/>
      <c r="K28" s="62" t="n"/>
      <c r="L28" s="127">
        <f>IF(OR(J28="",K28=""),"",MOD(K28-J28,1))</f>
        <v/>
      </c>
      <c r="M28" s="151" t="n"/>
      <c r="N28" s="14">
        <f>IF(O27="","",O27)</f>
        <v/>
      </c>
      <c r="O28" s="14" t="n">
        <v>96581</v>
      </c>
      <c r="P28" s="151">
        <f>IF(OR(N28="",O28=""),"",O28-N28)</f>
        <v/>
      </c>
      <c r="Q28" s="84" t="n"/>
      <c r="R28" s="126" t="n">
        <v>46278</v>
      </c>
      <c r="S28" s="24" t="inlineStr">
        <is>
          <t>DAY</t>
        </is>
      </c>
      <c r="T28" s="14">
        <f>IF(U27="","",U27)</f>
        <v/>
      </c>
      <c r="U28" s="14" t="n">
        <v>4946</v>
      </c>
      <c r="V28" s="14">
        <f>IF(OR(T28="",U28=""),"",U28-T28)</f>
        <v/>
      </c>
      <c r="W28" s="3" t="n"/>
      <c r="X28" s="3" t="n"/>
      <c r="Y28" s="3" t="n"/>
      <c r="Z28" s="4" t="n"/>
      <c r="AA28" s="61" t="n"/>
      <c r="AB28" s="62" t="n"/>
      <c r="AC28" s="127">
        <f>IF(OR(AA28="",AB28=""),"",MOD(AB28-AA28,1))</f>
        <v/>
      </c>
      <c r="AD28" s="151" t="n"/>
      <c r="AE28" s="85">
        <f>IF(AF27="","",AF27)</f>
        <v/>
      </c>
      <c r="AF28" s="14" t="n">
        <v>79021</v>
      </c>
      <c r="AG28" s="151">
        <f>IF(OR(AE28="",AF28=""),"",AF28-AE28)</f>
        <v/>
      </c>
    </row>
    <row r="29">
      <c r="A29" s="126" t="n">
        <v>46278</v>
      </c>
      <c r="B29" s="24" t="inlineStr">
        <is>
          <t>NIGHT</t>
        </is>
      </c>
      <c r="C29" s="14">
        <f>IF(D28="","",D28)</f>
        <v/>
      </c>
      <c r="D29" s="14" t="n">
        <v>6879</v>
      </c>
      <c r="E29" s="14">
        <f>IF(OR(C29="",D29=""),"",D29-C29)</f>
        <v/>
      </c>
      <c r="F29" s="3" t="n"/>
      <c r="G29" s="3" t="n"/>
      <c r="H29" s="3" t="n"/>
      <c r="I29" s="34" t="n"/>
      <c r="J29" s="61" t="n"/>
      <c r="K29" s="62" t="n"/>
      <c r="L29" s="127">
        <f>IF(OR(J29="",K29=""),"",MOD(K29-J29,1))</f>
        <v/>
      </c>
      <c r="M29" s="151" t="n"/>
      <c r="N29" s="14">
        <f>IF(O28="","",O28)</f>
        <v/>
      </c>
      <c r="O29" s="14" t="n">
        <v>96641</v>
      </c>
      <c r="P29" s="151">
        <f>IF(OR(N29="",O29=""),"",O29-N29)</f>
        <v/>
      </c>
      <c r="Q29" s="84" t="n"/>
      <c r="R29" s="126" t="n">
        <v>46278</v>
      </c>
      <c r="S29" s="24" t="inlineStr">
        <is>
          <t>NIGHT</t>
        </is>
      </c>
      <c r="T29" s="14">
        <f>IF(U28="","",U28)</f>
        <v/>
      </c>
      <c r="U29" s="14" t="n">
        <v>4951</v>
      </c>
      <c r="V29" s="14">
        <f>IF(OR(T29="",U29=""),"",U29-T29)</f>
        <v/>
      </c>
      <c r="W29" s="3" t="n"/>
      <c r="X29" s="3" t="n"/>
      <c r="Y29" s="3" t="n"/>
      <c r="Z29" s="4" t="n"/>
      <c r="AA29" s="61" t="n"/>
      <c r="AB29" s="62" t="n"/>
      <c r="AC29" s="127">
        <f>IF(OR(AA29="",AB29=""),"",MOD(AB29-AA29,1))</f>
        <v/>
      </c>
      <c r="AD29" s="151" t="n"/>
      <c r="AE29" s="85">
        <f>IF(AF28="","",AF28)</f>
        <v/>
      </c>
      <c r="AF29" s="14" t="n">
        <v>79088</v>
      </c>
      <c r="AG29" s="151">
        <f>IF(OR(AE29="",AF29=""),"",AF29-AE29)</f>
        <v/>
      </c>
    </row>
    <row r="30">
      <c r="A30" s="126" t="n">
        <v>46279</v>
      </c>
      <c r="B30" s="24" t="inlineStr">
        <is>
          <t>DAY</t>
        </is>
      </c>
      <c r="C30" s="14">
        <f>IF(D29="","",D29)</f>
        <v/>
      </c>
      <c r="D30" s="14" t="n">
        <v>6888</v>
      </c>
      <c r="E30" s="14">
        <f>IF(OR(C30="",D30=""),"",D30-C30)</f>
        <v/>
      </c>
      <c r="F30" s="3" t="n">
        <v>544</v>
      </c>
      <c r="G30" s="3" t="n">
        <v>6882</v>
      </c>
      <c r="H30" s="109">
        <f>G30-G24</f>
        <v/>
      </c>
      <c r="I30" s="110">
        <f>F30/H30</f>
        <v/>
      </c>
      <c r="J30" s="133" t="n"/>
      <c r="K30" s="82" t="n"/>
      <c r="L30" s="132">
        <f>IF(OR(J30="",K30=""),"",MOD(K30-J30,1))</f>
        <v/>
      </c>
      <c r="M30" s="34" t="n"/>
      <c r="N30" s="14">
        <f>IF(O29="","",O29)</f>
        <v/>
      </c>
      <c r="O30" s="14" t="n">
        <v>96750</v>
      </c>
      <c r="P30" s="151">
        <f>IF(OR(N30="",O30=""),"",O30-N30)</f>
        <v/>
      </c>
      <c r="Q30" s="84" t="n"/>
      <c r="R30" s="126" t="n">
        <v>46279</v>
      </c>
      <c r="S30" s="24" t="inlineStr">
        <is>
          <t>DAY</t>
        </is>
      </c>
      <c r="T30" s="14">
        <f>IF(U29="","",U29)</f>
        <v/>
      </c>
      <c r="U30" s="14" t="n">
        <v>4956</v>
      </c>
      <c r="V30" s="14">
        <f>IF(OR(T30="",U30=""),"",U30-T30)</f>
        <v/>
      </c>
      <c r="W30" s="3" t="n"/>
      <c r="X30" s="3" t="n"/>
      <c r="Y30" s="3" t="n"/>
      <c r="Z30" s="4" t="n"/>
      <c r="AA30" s="81" t="n"/>
      <c r="AB30" s="82" t="n"/>
      <c r="AC30" s="127">
        <f>IF(OR(AA30="",AB30=""),"",MOD(AB30-AA30,1))</f>
        <v/>
      </c>
      <c r="AD30" s="152" t="n"/>
      <c r="AE30" s="85">
        <f>IF(AF29="","",AF29)</f>
        <v/>
      </c>
      <c r="AF30" s="14" t="n">
        <v>79157</v>
      </c>
      <c r="AG30" s="151">
        <f>IF(OR(AE30="",AF30=""),"",AF30-AE30)</f>
        <v/>
      </c>
    </row>
    <row r="31">
      <c r="A31" s="126" t="n">
        <v>46279</v>
      </c>
      <c r="B31" s="24" t="inlineStr">
        <is>
          <t>NIGHT</t>
        </is>
      </c>
      <c r="C31" s="14">
        <f>IF(D30="","",D30)</f>
        <v/>
      </c>
      <c r="D31" s="14" t="n">
        <v>6898</v>
      </c>
      <c r="E31" s="14">
        <f>IF(OR(C31="",D31=""),"",D31-C31)</f>
        <v/>
      </c>
      <c r="F31" s="3" t="n"/>
      <c r="G31" s="3" t="n"/>
      <c r="H31" s="3" t="n"/>
      <c r="I31" s="34" t="n"/>
      <c r="J31" s="131" t="n"/>
      <c r="K31" s="62" t="n"/>
      <c r="L31" s="130">
        <f>IF(OR(J31="",K31=""),"",MOD(K31-J31,1))</f>
        <v/>
      </c>
      <c r="M31" s="36" t="n"/>
      <c r="N31" s="14">
        <f>IF(O30="","",O30)</f>
        <v/>
      </c>
      <c r="O31" s="14" t="n">
        <v>96870</v>
      </c>
      <c r="P31" s="151">
        <f>IF(OR(N31="",O31=""),"",O31-N31)</f>
        <v/>
      </c>
      <c r="Q31" s="84" t="n"/>
      <c r="R31" s="126" t="n">
        <v>46279</v>
      </c>
      <c r="S31" s="24" t="inlineStr">
        <is>
          <t>NIGHT</t>
        </is>
      </c>
      <c r="T31" s="14">
        <f>IF(U30="","",U30)</f>
        <v/>
      </c>
      <c r="U31" s="14" t="n">
        <v>4964</v>
      </c>
      <c r="V31" s="14">
        <f>IF(OR(T31="",U31=""),"",U31-T31)</f>
        <v/>
      </c>
      <c r="W31" s="3" t="n">
        <v>277</v>
      </c>
      <c r="X31" s="3" t="n">
        <v>4951</v>
      </c>
      <c r="Y31" s="3">
        <f>X31-X24</f>
        <v/>
      </c>
      <c r="Z31" s="4">
        <f>W31/Y31</f>
        <v/>
      </c>
      <c r="AA31" s="61" t="n"/>
      <c r="AB31" s="62" t="n"/>
      <c r="AC31" s="127">
        <f>IF(OR(AA31="",AB31=""),"",MOD(AB31-AA31,1))</f>
        <v/>
      </c>
      <c r="AD31" s="150" t="n"/>
      <c r="AE31" s="85">
        <f>IF(AF30="","",AF30)</f>
        <v/>
      </c>
      <c r="AF31" s="14" t="n">
        <v>79379</v>
      </c>
      <c r="AG31" s="151">
        <f>IF(OR(AE31="",AF31=""),"",AF31-AE31)</f>
        <v/>
      </c>
    </row>
    <row r="32">
      <c r="A32" s="126" t="n">
        <v>46280</v>
      </c>
      <c r="B32" s="24" t="inlineStr">
        <is>
          <t>DAY</t>
        </is>
      </c>
      <c r="C32" s="14">
        <f>IF(D31="","",D31)</f>
        <v/>
      </c>
      <c r="D32" s="14" t="n">
        <v>6901</v>
      </c>
      <c r="E32" s="14">
        <f>IF(OR(C32="",D32=""),"",D32-C32)</f>
        <v/>
      </c>
      <c r="F32" s="3" t="n"/>
      <c r="G32" s="3" t="n"/>
      <c r="H32" s="3" t="n"/>
      <c r="I32" s="34" t="n"/>
      <c r="J32" s="131" t="n"/>
      <c r="K32" s="62" t="n"/>
      <c r="L32" s="130">
        <f>IF(OR(J32="",K32=""),"",MOD(K32-J32,1))</f>
        <v/>
      </c>
      <c r="M32" s="36" t="n"/>
      <c r="N32" s="14">
        <f>IF(O31="","",O31)</f>
        <v/>
      </c>
      <c r="O32" s="14" t="n">
        <v>96910</v>
      </c>
      <c r="P32" s="151">
        <f>IF(OR(N32="",O32=""),"",O32-N32)</f>
        <v/>
      </c>
      <c r="Q32" s="84" t="n"/>
      <c r="R32" s="126" t="n">
        <v>46280</v>
      </c>
      <c r="S32" s="24" t="inlineStr">
        <is>
          <t>DAY</t>
        </is>
      </c>
      <c r="T32" s="14">
        <f>IF(U31="","",U31)</f>
        <v/>
      </c>
      <c r="U32" s="14" t="n">
        <v>4972</v>
      </c>
      <c r="V32" s="14">
        <f>IF(OR(T32="",U32=""),"",U32-T32)</f>
        <v/>
      </c>
      <c r="W32" s="3" t="n"/>
      <c r="X32" s="3" t="n"/>
      <c r="Y32" s="3" t="n"/>
      <c r="Z32" s="4" t="n"/>
      <c r="AA32" s="61" t="n"/>
      <c r="AB32" s="62" t="n"/>
      <c r="AC32" s="127">
        <f>IF(OR(AA32="",AB32=""),"",MOD(AB32-AA32,1))</f>
        <v/>
      </c>
      <c r="AD32" s="36" t="n"/>
      <c r="AE32" s="85">
        <f>IF(AF31="","",AF31)</f>
        <v/>
      </c>
      <c r="AF32" s="14" t="n">
        <v>79487</v>
      </c>
      <c r="AG32" s="151">
        <f>IF(OR(AE32="",AF32=""),"",AF32-AE32)</f>
        <v/>
      </c>
    </row>
    <row r="33">
      <c r="A33" s="126" t="n">
        <v>46280</v>
      </c>
      <c r="B33" s="24" t="inlineStr">
        <is>
          <t>NIGHT</t>
        </is>
      </c>
      <c r="C33" s="14">
        <f>IF(D32="","",D32)</f>
        <v/>
      </c>
      <c r="D33" s="14" t="n">
        <v>6911</v>
      </c>
      <c r="E33" s="14">
        <f>IF(OR(C33="",D33=""),"",D33-C33)</f>
        <v/>
      </c>
      <c r="F33" s="3" t="n"/>
      <c r="G33" s="3" t="n"/>
      <c r="H33" s="3" t="n"/>
      <c r="I33" s="34" t="n"/>
      <c r="J33" s="131" t="n"/>
      <c r="K33" s="62" t="n"/>
      <c r="L33" s="130">
        <f>IF(OR(J33="",K33=""),"",MOD(K33-J33,1))</f>
        <v/>
      </c>
      <c r="M33" s="36" t="n"/>
      <c r="N33" s="14">
        <f>IF(O32="","",O32)</f>
        <v/>
      </c>
      <c r="O33" s="14" t="n">
        <v>97067</v>
      </c>
      <c r="P33" s="151">
        <f>IF(OR(N33="",O33=""),"",O33-N33)</f>
        <v/>
      </c>
      <c r="Q33" s="84" t="n"/>
      <c r="R33" s="126" t="n">
        <v>46280</v>
      </c>
      <c r="S33" s="24" t="inlineStr">
        <is>
          <t>NIGHT</t>
        </is>
      </c>
      <c r="T33" s="14">
        <f>IF(U32="","",U32)</f>
        <v/>
      </c>
      <c r="U33" s="14" t="n">
        <v>4981</v>
      </c>
      <c r="V33" s="14">
        <f>IF(OR(T33="",U33=""),"",U33-T33)</f>
        <v/>
      </c>
      <c r="W33" s="3" t="n"/>
      <c r="X33" s="3" t="n"/>
      <c r="Y33" s="3" t="n"/>
      <c r="Z33" s="4" t="n"/>
      <c r="AA33" s="61" t="n"/>
      <c r="AB33" s="62" t="n"/>
      <c r="AC33" s="127">
        <f>IF(OR(AA33="",AB33=""),"",MOD(AB33-AA33,1))</f>
        <v/>
      </c>
      <c r="AD33" s="36" t="n"/>
      <c r="AE33" s="85">
        <f>IF(AF32="","",AF32)</f>
        <v/>
      </c>
      <c r="AF33" s="14" t="n">
        <v>79617</v>
      </c>
      <c r="AG33" s="151">
        <f>IF(OR(AE33="",AF33=""),"",AF33-AE33)</f>
        <v/>
      </c>
    </row>
    <row r="34">
      <c r="A34" s="126" t="n">
        <v>46281</v>
      </c>
      <c r="B34" s="24" t="inlineStr">
        <is>
          <t>DAY</t>
        </is>
      </c>
      <c r="C34" s="14">
        <f>IF(D33="","",D33)</f>
        <v/>
      </c>
      <c r="D34" s="14" t="n">
        <v>6920</v>
      </c>
      <c r="E34" s="14">
        <f>IF(OR(C34="",D34=""),"",D34-C34)</f>
        <v/>
      </c>
      <c r="F34" s="3" t="n">
        <v>380</v>
      </c>
      <c r="G34" s="3" t="n">
        <v>6915</v>
      </c>
      <c r="H34" s="3" t="n"/>
      <c r="I34" s="34" t="n"/>
      <c r="J34" s="131" t="n"/>
      <c r="K34" s="62" t="n"/>
      <c r="L34" s="130">
        <f>IF(OR(J34="",K34=""),"",MOD(K34-J34,1))</f>
        <v/>
      </c>
      <c r="M34" s="36" t="n"/>
      <c r="N34" s="14">
        <f>IF(O33="","",O33)</f>
        <v/>
      </c>
      <c r="O34" s="14" t="n">
        <v>97181</v>
      </c>
      <c r="P34" s="151">
        <f>IF(OR(N34="",O34=""),"",O34-N34)</f>
        <v/>
      </c>
      <c r="Q34" s="84" t="n"/>
      <c r="R34" s="126" t="n">
        <v>46281</v>
      </c>
      <c r="S34" s="24" t="inlineStr">
        <is>
          <t>DAY</t>
        </is>
      </c>
      <c r="T34" s="14">
        <f>IF(U33="","",U33)</f>
        <v/>
      </c>
      <c r="U34" s="14" t="n">
        <v>4985</v>
      </c>
      <c r="V34" s="14">
        <f>IF(OR(T34="",U34=""),"",U34-T34)</f>
        <v/>
      </c>
      <c r="W34" s="101" t="n">
        <v>498</v>
      </c>
      <c r="X34" s="3" t="n">
        <v>4981</v>
      </c>
      <c r="Y34" s="3" t="n"/>
      <c r="Z34" s="4" t="n"/>
      <c r="AA34" s="61" t="n"/>
      <c r="AB34" s="62" t="n"/>
      <c r="AC34" s="127">
        <f>IF(OR(AA34="",AB34=""),"",MOD(AB34-AA34,1))</f>
        <v/>
      </c>
      <c r="AD34" s="36" t="n"/>
      <c r="AE34" s="85">
        <f>IF(AF33="","",AF33)</f>
        <v/>
      </c>
      <c r="AF34" s="14" t="n">
        <v>79669</v>
      </c>
      <c r="AG34" s="151">
        <f>IF(OR(AE34="",AF34=""),"",AF34-AE34)</f>
        <v/>
      </c>
    </row>
    <row r="35">
      <c r="A35" s="126" t="n">
        <v>46281</v>
      </c>
      <c r="B35" s="24" t="inlineStr">
        <is>
          <t>NIGHT</t>
        </is>
      </c>
      <c r="C35" s="14">
        <f>IF(D34="","",D34)</f>
        <v/>
      </c>
      <c r="D35" s="14" t="n">
        <v>6928</v>
      </c>
      <c r="E35" s="14">
        <f>IF(OR(C35="",D35=""),"",D35-C35)</f>
        <v/>
      </c>
      <c r="F35" s="3" t="n"/>
      <c r="G35" s="3" t="n"/>
      <c r="H35" s="3" t="n"/>
      <c r="I35" s="34" t="n"/>
      <c r="J35" s="61" t="n"/>
      <c r="K35" s="62" t="n"/>
      <c r="L35" s="127">
        <f>IF(OR(J35="",K35=""),"",MOD(K35-J35,1))</f>
        <v/>
      </c>
      <c r="M35" s="36" t="n"/>
      <c r="N35" s="14">
        <f>IF(O34="","",O34)</f>
        <v/>
      </c>
      <c r="O35" s="14" t="n">
        <v>97315</v>
      </c>
      <c r="P35" s="151">
        <f>IF(OR(N35="",O35=""),"",O35-N35)</f>
        <v/>
      </c>
      <c r="Q35" s="84" t="n"/>
      <c r="R35" s="126" t="n">
        <v>46281</v>
      </c>
      <c r="S35" s="24" t="inlineStr">
        <is>
          <t>NIGHT</t>
        </is>
      </c>
      <c r="T35" s="14">
        <f>IF(U34="","",U34)</f>
        <v/>
      </c>
      <c r="U35" s="14" t="n">
        <v>4991</v>
      </c>
      <c r="V35" s="14">
        <f>IF(OR(T35="",U35=""),"",U35-T35)</f>
        <v/>
      </c>
      <c r="W35" s="3" t="n"/>
      <c r="X35" s="3" t="n"/>
      <c r="Y35" s="3" t="n"/>
      <c r="Z35" s="4" t="n"/>
      <c r="AA35" s="61" t="n"/>
      <c r="AB35" s="62" t="n"/>
      <c r="AC35" s="127">
        <f>IF(OR(AA35="",AB35=""),"",MOD(AB35-AA35,1))</f>
        <v/>
      </c>
      <c r="AD35" s="36" t="n"/>
      <c r="AE35" s="85">
        <f>IF(AF34="","",AF34)</f>
        <v/>
      </c>
      <c r="AF35" s="14" t="n">
        <v>79740</v>
      </c>
      <c r="AG35" s="151">
        <f>IF(OR(AE35="",AF35=""),"",AF35-AE35)</f>
        <v/>
      </c>
    </row>
    <row r="36">
      <c r="A36" s="126" t="n">
        <v>46282</v>
      </c>
      <c r="B36" s="24" t="inlineStr">
        <is>
          <t>DAY</t>
        </is>
      </c>
      <c r="C36" s="14">
        <f>IF(D35="","",D35)</f>
        <v/>
      </c>
      <c r="D36" s="14" t="n">
        <v>6937</v>
      </c>
      <c r="E36" s="14">
        <f>IF(OR(C36="",D36=""),"",D36-C36)</f>
        <v/>
      </c>
      <c r="F36" s="3" t="n"/>
      <c r="G36" s="3" t="n"/>
      <c r="H36" s="3" t="n"/>
      <c r="I36" s="34" t="n"/>
      <c r="J36" s="61" t="n"/>
      <c r="K36" s="62" t="n"/>
      <c r="L36" s="127">
        <f>IF(OR(J36="",K36=""),"",MOD(K36-J36,1))</f>
        <v/>
      </c>
      <c r="M36" s="36" t="n"/>
      <c r="N36" s="14">
        <f>IF(O35="","",O35)</f>
        <v/>
      </c>
      <c r="O36" s="14" t="n">
        <v>97382</v>
      </c>
      <c r="P36" s="151">
        <f>IF(OR(N36="",O36=""),"",O36-N36)</f>
        <v/>
      </c>
      <c r="Q36" s="84" t="n"/>
      <c r="R36" s="126" t="n">
        <v>46282</v>
      </c>
      <c r="S36" s="24" t="inlineStr">
        <is>
          <t>DAY</t>
        </is>
      </c>
      <c r="T36" s="14">
        <f>IF(U35="","",U35)</f>
        <v/>
      </c>
      <c r="U36" s="14" t="n">
        <v>4999</v>
      </c>
      <c r="V36" s="14">
        <f>IF(OR(T36="",U36=""),"",U36-T36)</f>
        <v/>
      </c>
      <c r="W36" s="3" t="n"/>
      <c r="X36" s="3" t="n"/>
      <c r="Y36" s="3" t="n"/>
      <c r="Z36" s="4" t="n"/>
      <c r="AA36" s="61" t="n"/>
      <c r="AB36" s="62" t="n"/>
      <c r="AC36" s="127">
        <f>IF(OR(AA36="",AB36=""),"",MOD(AB36-AA36,1))</f>
        <v/>
      </c>
      <c r="AD36" s="36" t="n"/>
      <c r="AE36" s="85">
        <f>IF(AF35="","",AF35)</f>
        <v/>
      </c>
      <c r="AF36" s="14" t="n">
        <v>79805</v>
      </c>
      <c r="AG36" s="151">
        <f>IF(OR(AE36="",AF36=""),"",AF36-AE36)</f>
        <v/>
      </c>
    </row>
    <row r="37">
      <c r="A37" s="126" t="n">
        <v>46282</v>
      </c>
      <c r="B37" s="24" t="inlineStr">
        <is>
          <t>NIGHT</t>
        </is>
      </c>
      <c r="C37" s="14">
        <f>IF(D36="","",D36)</f>
        <v/>
      </c>
      <c r="D37" s="14" t="n">
        <v>6941</v>
      </c>
      <c r="E37" s="14">
        <f>IF(OR(C37="",D37=""),"",D37-C37)</f>
        <v/>
      </c>
      <c r="F37" s="3" t="n"/>
      <c r="G37" s="3" t="n"/>
      <c r="H37" s="3" t="n"/>
      <c r="I37" s="34" t="n"/>
      <c r="J37" s="61" t="n"/>
      <c r="K37" s="62" t="n"/>
      <c r="L37" s="127">
        <f>IF(OR(J37="",K37=""),"",MOD(K37-J37,1))</f>
        <v/>
      </c>
      <c r="M37" s="36" t="n"/>
      <c r="N37" s="14">
        <f>IF(O36="","",O36)</f>
        <v/>
      </c>
      <c r="O37" s="14" t="n">
        <v>97431</v>
      </c>
      <c r="P37" s="151">
        <f>IF(OR(N37="",O37=""),"",O37-N37)</f>
        <v/>
      </c>
      <c r="Q37" s="84" t="n"/>
      <c r="R37" s="126" t="n">
        <v>46282</v>
      </c>
      <c r="S37" s="24" t="inlineStr">
        <is>
          <t>NIGHT</t>
        </is>
      </c>
      <c r="T37" s="14">
        <f>IF(U36="","",U36)</f>
        <v/>
      </c>
      <c r="U37" s="14" t="n">
        <v>5010</v>
      </c>
      <c r="V37" s="14">
        <f>IF(OR(T37="",U37=""),"",U37-T37)</f>
        <v/>
      </c>
      <c r="W37" s="3" t="n"/>
      <c r="X37" s="3" t="n"/>
      <c r="Y37" s="3" t="n"/>
      <c r="Z37" s="4" t="n"/>
      <c r="AA37" s="61" t="n"/>
      <c r="AB37" s="62" t="n"/>
      <c r="AC37" s="127">
        <f>IF(OR(AA37="",AB37=""),"",MOD(AB37-AA37,1))</f>
        <v/>
      </c>
      <c r="AD37" s="36" t="n"/>
      <c r="AE37" s="85">
        <f>IF(AF36="","",AF36)</f>
        <v/>
      </c>
      <c r="AF37" s="14" t="n">
        <v>79993</v>
      </c>
      <c r="AG37" s="151">
        <f>IF(OR(AE37="",AF37=""),"",AF37-AE37)</f>
        <v/>
      </c>
    </row>
    <row r="38">
      <c r="A38" s="126" t="n">
        <v>46283</v>
      </c>
      <c r="B38" s="24" t="inlineStr">
        <is>
          <t>DAY</t>
        </is>
      </c>
      <c r="C38" s="14">
        <f>IF(D37="","",D37)</f>
        <v/>
      </c>
      <c r="D38" s="14" t="n">
        <v>6949</v>
      </c>
      <c r="E38" s="14">
        <f>IF(OR(C38="",D38=""),"",D38-C38)</f>
        <v/>
      </c>
      <c r="F38" s="3" t="n"/>
      <c r="G38" s="3" t="n">
        <v>6944</v>
      </c>
      <c r="H38" s="3" t="n"/>
      <c r="I38" s="34" t="n"/>
      <c r="J38" s="61" t="n"/>
      <c r="K38" s="61" t="n"/>
      <c r="L38" s="127">
        <f>IF(OR(J38="",K38=""),"",MOD(K38-J38,1))</f>
        <v/>
      </c>
      <c r="M38" s="36" t="n"/>
      <c r="N38" s="14">
        <f>IF(O37="","",O37)</f>
        <v/>
      </c>
      <c r="O38" s="14" t="n">
        <v>97518</v>
      </c>
      <c r="P38" s="151">
        <f>IF(OR(N38="",O38=""),"",O38-N38)</f>
        <v/>
      </c>
      <c r="Q38" s="84" t="n"/>
      <c r="R38" s="126" t="n">
        <v>46283</v>
      </c>
      <c r="S38" s="24" t="inlineStr">
        <is>
          <t>DAY</t>
        </is>
      </c>
      <c r="T38" s="14">
        <f>IF(U37="","",U37)</f>
        <v/>
      </c>
      <c r="U38" s="14" t="n">
        <v>5018</v>
      </c>
      <c r="V38" s="14">
        <f>IF(OR(T38="",U38=""),"",U38-T38)</f>
        <v/>
      </c>
      <c r="W38" s="3" t="n"/>
      <c r="X38" s="3" t="n">
        <v>5915</v>
      </c>
      <c r="Y38" s="3" t="n"/>
      <c r="Z38" s="4" t="n"/>
      <c r="AA38" s="81" t="n"/>
      <c r="AB38" s="82" t="n"/>
      <c r="AC38" s="129">
        <f>IF(OR(AA38="",AB38=""),"",MOD(AB38-AA38,1))</f>
        <v/>
      </c>
      <c r="AD38" s="34" t="n"/>
      <c r="AE38" s="85">
        <f>IF(AF37="","",AF37)</f>
        <v/>
      </c>
      <c r="AF38" s="14" t="n">
        <v>80111</v>
      </c>
      <c r="AG38" s="151">
        <f>IF(OR(AE38="",AF38=""),"",AF38-AE38)</f>
        <v/>
      </c>
    </row>
    <row r="39">
      <c r="A39" s="126" t="n">
        <v>46283</v>
      </c>
      <c r="B39" s="24" t="inlineStr">
        <is>
          <t>NIGHT</t>
        </is>
      </c>
      <c r="C39" s="14">
        <f>IF(D38="","",D38)</f>
        <v/>
      </c>
      <c r="D39" s="14" t="n">
        <v>6957</v>
      </c>
      <c r="E39" s="14">
        <f>IF(OR(C39="",D39=""),"",D39-C39)</f>
        <v/>
      </c>
      <c r="F39" s="3" t="n"/>
      <c r="G39" s="3" t="n"/>
      <c r="H39" s="3" t="n"/>
      <c r="I39" s="34" t="n"/>
      <c r="J39" s="61" t="n"/>
      <c r="K39" s="61" t="n"/>
      <c r="L39" s="127">
        <f>IF(OR(J39="",K39=""),"",MOD(K39-J39,1))</f>
        <v/>
      </c>
      <c r="M39" s="36" t="n"/>
      <c r="N39" s="14">
        <f>IF(O38="","",O38)</f>
        <v/>
      </c>
      <c r="O39" s="14" t="n">
        <v>97639</v>
      </c>
      <c r="P39" s="151">
        <f>IF(OR(N39="",O39=""),"",O39-N39)</f>
        <v/>
      </c>
      <c r="Q39" s="84" t="n"/>
      <c r="R39" s="126" t="n">
        <v>46283</v>
      </c>
      <c r="S39" s="24" t="inlineStr">
        <is>
          <t>NIGHT</t>
        </is>
      </c>
      <c r="T39" s="14">
        <f>IF(U38="","",U38)</f>
        <v/>
      </c>
      <c r="U39" s="14" t="n">
        <v>5025</v>
      </c>
      <c r="V39" s="14">
        <f>IF(OR(T39="",U39=""),"",U39-T39)</f>
        <v/>
      </c>
      <c r="W39" s="3" t="n"/>
      <c r="X39" s="3" t="n"/>
      <c r="Y39" s="3" t="n"/>
      <c r="Z39" s="4" t="n"/>
      <c r="AA39" s="61" t="n"/>
      <c r="AB39" s="62" t="n"/>
      <c r="AC39" s="127">
        <f>IF(OR(AA39="",AB39=""),"",MOD(AB39-AA39,1))</f>
        <v/>
      </c>
      <c r="AD39" s="36" t="n"/>
      <c r="AE39" s="85">
        <f>IF(AF38="","",AF38)</f>
        <v/>
      </c>
      <c r="AF39" s="14" t="n">
        <v>80222</v>
      </c>
      <c r="AG39" s="151">
        <f>IF(OR(AE39="",AF39=""),"",AF39-AE39)</f>
        <v/>
      </c>
    </row>
    <row r="40">
      <c r="A40" s="126" t="n">
        <v>46284</v>
      </c>
      <c r="B40" s="24" t="inlineStr">
        <is>
          <t>DAY</t>
        </is>
      </c>
      <c r="C40" s="14">
        <f>IF(D39="","",D39)</f>
        <v/>
      </c>
      <c r="D40" s="14" t="n">
        <v>6968</v>
      </c>
      <c r="E40" s="14">
        <f>IF(OR(C40="",D40=""),"",D40-C40)</f>
        <v/>
      </c>
      <c r="F40" s="3" t="n"/>
      <c r="G40" s="3" t="n"/>
      <c r="H40" s="3" t="n"/>
      <c r="I40" s="34" t="n"/>
      <c r="J40" s="61" t="n"/>
      <c r="K40" s="61" t="n"/>
      <c r="L40" s="127">
        <f>IF(OR(J40="",K40=""),"",MOD(K40-J40,1))</f>
        <v/>
      </c>
      <c r="M40" s="36" t="n"/>
      <c r="N40" s="14">
        <f>IF(O39="","",O39)</f>
        <v/>
      </c>
      <c r="O40" s="87" t="n">
        <v>97832</v>
      </c>
      <c r="P40" s="151">
        <f>IF(OR(N40="",O40=""),"",O40-N40)</f>
        <v/>
      </c>
      <c r="Q40" s="84" t="n"/>
      <c r="R40" s="126" t="n">
        <v>46284</v>
      </c>
      <c r="S40" s="24" t="inlineStr">
        <is>
          <t>DAY</t>
        </is>
      </c>
      <c r="T40" s="14">
        <f>IF(U39="","",U39)</f>
        <v/>
      </c>
      <c r="U40" s="14" t="n">
        <v>5033</v>
      </c>
      <c r="V40" s="14">
        <f>IF(OR(T40="",U40=""),"",U40-T40)</f>
        <v/>
      </c>
      <c r="W40" s="3" t="n"/>
      <c r="X40" s="3" t="n"/>
      <c r="Y40" s="3" t="n"/>
      <c r="Z40" s="4" t="n"/>
      <c r="AA40" s="61" t="n"/>
      <c r="AB40" s="62" t="n"/>
      <c r="AC40" s="127">
        <f>IF(OR(AA40="",AB40=""),"",MOD(AB40-AA40,1))</f>
        <v/>
      </c>
      <c r="AD40" s="36" t="n"/>
      <c r="AE40" s="85">
        <f>IF(AF39="","",AF39)</f>
        <v/>
      </c>
      <c r="AF40" s="14" t="n">
        <v>80291</v>
      </c>
      <c r="AG40" s="151">
        <f>IF(OR(AE40="",AF40=""),"",AF40-AE40)</f>
        <v/>
      </c>
    </row>
    <row r="41">
      <c r="A41" s="126" t="n">
        <v>46284</v>
      </c>
      <c r="B41" s="24" t="inlineStr">
        <is>
          <t>NIGHT</t>
        </is>
      </c>
      <c r="C41" s="14">
        <f>IF(D40="","",D40)</f>
        <v/>
      </c>
      <c r="D41" s="14" t="n">
        <v>6976</v>
      </c>
      <c r="E41" s="14">
        <f>IF(OR(C41="",D41=""),"",D41-C41)</f>
        <v/>
      </c>
      <c r="F41" s="3" t="n"/>
      <c r="G41" s="3" t="n"/>
      <c r="H41" s="3" t="n"/>
      <c r="I41" s="34" t="n"/>
      <c r="J41" s="61" t="n"/>
      <c r="K41" s="61" t="n"/>
      <c r="L41" s="127">
        <f>IF(OR(J41="",K41=""),"",MOD(K41-J41,1))</f>
        <v/>
      </c>
      <c r="M41" s="36" t="n"/>
      <c r="N41" s="14">
        <f>IF(O40="","",O40)</f>
        <v/>
      </c>
      <c r="O41" s="14" t="n">
        <v>97966</v>
      </c>
      <c r="P41" s="151">
        <f>IF(OR(N41="",O41=""),"",O41-N41)</f>
        <v/>
      </c>
      <c r="Q41" s="84" t="n"/>
      <c r="R41" s="126" t="n">
        <v>46284</v>
      </c>
      <c r="S41" s="24" t="inlineStr">
        <is>
          <t>NIGHT</t>
        </is>
      </c>
      <c r="T41" s="14">
        <f>IF(U40="","",U40)</f>
        <v/>
      </c>
      <c r="U41" s="14" t="n">
        <v>5041</v>
      </c>
      <c r="V41" s="14">
        <f>IF(OR(T41="",U41=""),"",U41-T41)</f>
        <v/>
      </c>
      <c r="W41" s="3" t="n"/>
      <c r="X41" s="3" t="n"/>
      <c r="Y41" s="3" t="n"/>
      <c r="Z41" s="4" t="n"/>
      <c r="AA41" s="61" t="n"/>
      <c r="AB41" s="62" t="n"/>
      <c r="AC41" s="127">
        <f>IF(OR(AA41="",AB41=""),"",MOD(AB41-AA41,1))</f>
        <v/>
      </c>
      <c r="AD41" s="36" t="n"/>
      <c r="AE41" s="85">
        <f>IF(AF40="","",AF40)</f>
        <v/>
      </c>
      <c r="AF41" s="14" t="n">
        <v>80420</v>
      </c>
      <c r="AG41" s="151">
        <f>IF(OR(AE41="",AF41=""),"",AF41-AE41)</f>
        <v/>
      </c>
    </row>
    <row r="42">
      <c r="A42" s="126" t="n">
        <v>46285</v>
      </c>
      <c r="B42" s="24" t="inlineStr">
        <is>
          <t>DAY</t>
        </is>
      </c>
      <c r="C42" s="14">
        <f>IF(D41="","",D41)</f>
        <v/>
      </c>
      <c r="D42" s="14" t="n">
        <v>6983</v>
      </c>
      <c r="E42" s="14">
        <f>IF(OR(C42="",D42=""),"",D42-C42)</f>
        <v/>
      </c>
      <c r="F42" s="3" t="n"/>
      <c r="G42" s="3" t="n"/>
      <c r="H42" s="3" t="n"/>
      <c r="I42" s="34" t="n"/>
      <c r="J42" s="61" t="n"/>
      <c r="K42" s="61" t="n"/>
      <c r="L42" s="127">
        <f>IF(OR(J42="",K42=""),"",MOD(K42-J42,1))</f>
        <v/>
      </c>
      <c r="M42" s="36" t="n"/>
      <c r="N42" s="14">
        <f>IF(O41="","",O41)</f>
        <v/>
      </c>
      <c r="O42" s="14" t="n">
        <v>98058</v>
      </c>
      <c r="P42" s="151">
        <f>IF(OR(N42="",O42=""),"",O42-N42)</f>
        <v/>
      </c>
      <c r="Q42" s="84" t="n"/>
      <c r="R42" s="126" t="n">
        <v>46285</v>
      </c>
      <c r="S42" s="24" t="inlineStr">
        <is>
          <t>DAY</t>
        </is>
      </c>
      <c r="T42" s="14">
        <f>IF(U41="","",U41)</f>
        <v/>
      </c>
      <c r="U42" s="14" t="n">
        <v>5050</v>
      </c>
      <c r="V42" s="14">
        <f>IF(OR(T42="",U42=""),"",U42-T42)</f>
        <v/>
      </c>
      <c r="W42" s="3" t="n"/>
      <c r="X42" s="3" t="n"/>
      <c r="Y42" s="3" t="n"/>
      <c r="Z42" s="4" t="n"/>
      <c r="AA42" s="81" t="n"/>
      <c r="AB42" s="82" t="n"/>
      <c r="AC42" s="129">
        <f>IF(OR(AA42="",AB42=""),"",MOD(AB42-AA42,1))</f>
        <v/>
      </c>
      <c r="AD42" s="34" t="n"/>
      <c r="AE42" s="85">
        <f>IF(AF41="","",AF41)</f>
        <v/>
      </c>
      <c r="AF42" s="14" t="n">
        <v>80598</v>
      </c>
      <c r="AG42" s="151">
        <f>IF(OR(AE42="",AF42=""),"",AF42-AE42)</f>
        <v/>
      </c>
    </row>
    <row r="43">
      <c r="A43" s="126" t="n">
        <v>46285</v>
      </c>
      <c r="B43" s="24" t="inlineStr">
        <is>
          <t>NIGHT</t>
        </is>
      </c>
      <c r="C43" s="14">
        <f>IF(D42="","",D42)</f>
        <v/>
      </c>
      <c r="D43" s="14" t="n">
        <v>6991</v>
      </c>
      <c r="E43" s="14">
        <f>IF(OR(C43="",D43=""),"",D43-C43)</f>
        <v/>
      </c>
      <c r="F43" s="3" t="n"/>
      <c r="G43" s="3" t="n"/>
      <c r="H43" s="3" t="n"/>
      <c r="I43" s="34" t="n"/>
      <c r="J43" s="61" t="n"/>
      <c r="K43" s="61" t="n"/>
      <c r="L43" s="127">
        <f>IF(OR(J43="",K43=""),"",MOD(K43-J43,1))</f>
        <v/>
      </c>
      <c r="M43" s="36" t="n"/>
      <c r="N43" s="14">
        <f>IF(O42="","",O42)</f>
        <v/>
      </c>
      <c r="O43" s="14" t="n">
        <v>98205</v>
      </c>
      <c r="P43" s="151">
        <f>IF(OR(N43="",O43=""),"",O43-N43)</f>
        <v/>
      </c>
      <c r="Q43" s="84" t="n"/>
      <c r="R43" s="126" t="n">
        <v>46285</v>
      </c>
      <c r="S43" s="24" t="inlineStr">
        <is>
          <t>NIGHT</t>
        </is>
      </c>
      <c r="T43" s="14">
        <f>IF(U42="","",U42)</f>
        <v/>
      </c>
      <c r="U43" s="14" t="n">
        <v>5056</v>
      </c>
      <c r="V43" s="14">
        <f>IF(OR(T43="",U43=""),"",U43-T43)</f>
        <v/>
      </c>
      <c r="W43" s="3" t="n"/>
      <c r="X43" s="3" t="n"/>
      <c r="Y43" s="3" t="n"/>
      <c r="Z43" s="4" t="n"/>
      <c r="AA43" s="61" t="n"/>
      <c r="AB43" s="62" t="n"/>
      <c r="AC43" s="127">
        <f>IF(OR(AA43="",AB43=""),"",MOD(AB43-AA43,1))</f>
        <v/>
      </c>
      <c r="AD43" s="36" t="n"/>
      <c r="AE43" s="85">
        <f>IF(AF42="","",AF42)</f>
        <v/>
      </c>
      <c r="AF43" s="14" t="n">
        <v>80695</v>
      </c>
      <c r="AG43" s="151">
        <f>IF(OR(AE43="",AF43=""),"",AF43-AE43)</f>
        <v/>
      </c>
    </row>
    <row r="44">
      <c r="A44" s="126" t="n">
        <v>46286</v>
      </c>
      <c r="B44" s="24" t="inlineStr">
        <is>
          <t>DAY</t>
        </is>
      </c>
      <c r="C44" s="14">
        <f>IF(D43="","",D43)</f>
        <v/>
      </c>
      <c r="D44" s="14" t="n">
        <v>7001</v>
      </c>
      <c r="E44" s="14">
        <f>IF(OR(C44="",D44=""),"",D44-C44)</f>
        <v/>
      </c>
      <c r="F44" s="3" t="n"/>
      <c r="G44" s="3" t="n"/>
      <c r="H44" s="3" t="n"/>
      <c r="I44" s="34" t="n"/>
      <c r="J44" s="61" t="n"/>
      <c r="K44" s="61" t="n"/>
      <c r="L44" s="127">
        <f>IF(OR(J44="",K44=""),"",MOD(K44-J44,1))</f>
        <v/>
      </c>
      <c r="M44" s="36" t="n"/>
      <c r="N44" s="14">
        <f>IF(O43="","",O43)</f>
        <v/>
      </c>
      <c r="O44" s="14" t="n">
        <v>98339</v>
      </c>
      <c r="P44" s="151">
        <f>IF(OR(N44="",O44=""),"",O44-N44)</f>
        <v/>
      </c>
      <c r="Q44" s="84" t="n"/>
      <c r="R44" s="126" t="n">
        <v>46286</v>
      </c>
      <c r="S44" s="24" t="inlineStr">
        <is>
          <t>DAY</t>
        </is>
      </c>
      <c r="T44" s="14">
        <f>IF(U43="","",U43)</f>
        <v/>
      </c>
      <c r="U44" s="14" t="n">
        <v>5060</v>
      </c>
      <c r="V44" s="14">
        <f>IF(OR(T44="",U44=""),"",U44-T44)</f>
        <v/>
      </c>
      <c r="W44" s="3" t="n"/>
      <c r="X44" s="3" t="n">
        <v>5060</v>
      </c>
      <c r="Y44" s="3" t="n"/>
      <c r="Z44" s="4" t="n"/>
      <c r="AA44" s="61" t="n"/>
      <c r="AB44" s="62" t="n"/>
      <c r="AC44" s="127">
        <f>IF(OR(AA44="",AB44=""),"",MOD(AB44-AA44,1))</f>
        <v/>
      </c>
      <c r="AD44" s="36" t="n"/>
      <c r="AE44" s="85">
        <f>IF(AF43="","",AF43)</f>
        <v/>
      </c>
      <c r="AF44" s="14" t="n">
        <v>80767</v>
      </c>
      <c r="AG44" s="151">
        <f>IF(OR(AE44="",AF44=""),"",AF44-AE44)</f>
        <v/>
      </c>
    </row>
    <row r="45">
      <c r="A45" s="126" t="n">
        <v>46286</v>
      </c>
      <c r="B45" s="24" t="inlineStr">
        <is>
          <t>NIGHT</t>
        </is>
      </c>
      <c r="C45" s="14">
        <f>IF(D44="","",D44)</f>
        <v/>
      </c>
      <c r="D45" s="14" t="n">
        <v>7008</v>
      </c>
      <c r="E45" s="14">
        <f>IF(OR(C45="",D45=""),"",D45-C45)</f>
        <v/>
      </c>
      <c r="F45" s="3" t="n"/>
      <c r="G45" s="3" t="n"/>
      <c r="H45" s="3" t="n"/>
      <c r="I45" s="34" t="n"/>
      <c r="J45" s="61" t="n"/>
      <c r="K45" s="61" t="n"/>
      <c r="L45" s="127">
        <f>IF(OR(J45="",K45=""),"",MOD(K45-J45,1))</f>
        <v/>
      </c>
      <c r="M45" s="36" t="n"/>
      <c r="N45" s="14">
        <f>IF(O44="","",O44)</f>
        <v/>
      </c>
      <c r="O45" s="14" t="n">
        <v>98436</v>
      </c>
      <c r="P45" s="151">
        <f>IF(OR(N45="",O45=""),"",O45-N45)</f>
        <v/>
      </c>
      <c r="Q45" s="84" t="n"/>
      <c r="R45" s="126" t="n">
        <v>46286</v>
      </c>
      <c r="S45" s="24" t="inlineStr">
        <is>
          <t>NIGHT</t>
        </is>
      </c>
      <c r="T45" s="14">
        <f>IF(U44="","",U44)</f>
        <v/>
      </c>
      <c r="U45" s="14" t="n">
        <v>5062</v>
      </c>
      <c r="V45" s="14">
        <f>IF(OR(T45="",U45=""),"",U45-T45)</f>
        <v/>
      </c>
      <c r="W45" s="3" t="n"/>
      <c r="X45" s="3" t="n"/>
      <c r="Y45" s="3" t="n"/>
      <c r="Z45" s="4" t="n"/>
      <c r="AA45" s="61" t="n"/>
      <c r="AB45" s="62" t="n"/>
      <c r="AC45" s="127">
        <f>IF(OR(AA45="",AB45=""),"",MOD(AB45-AA45,1))</f>
        <v/>
      </c>
      <c r="AD45" s="36" t="n"/>
      <c r="AE45" s="85">
        <f>IF(AF44="","",AF44)</f>
        <v/>
      </c>
      <c r="AF45" s="14" t="n">
        <v>80818</v>
      </c>
      <c r="AG45" s="151">
        <f>IF(OR(AE45="",AF45=""),"",AF45-AE45)</f>
        <v/>
      </c>
    </row>
    <row r="46">
      <c r="A46" s="126" t="n">
        <v>46287</v>
      </c>
      <c r="B46" s="24" t="inlineStr">
        <is>
          <t>DAY</t>
        </is>
      </c>
      <c r="C46" s="14">
        <f>IF(D45="","",D45)</f>
        <v/>
      </c>
      <c r="D46" s="14" t="n">
        <v>7017</v>
      </c>
      <c r="E46" s="14">
        <f>IF(OR(C46="",D46=""),"",D46-C46)</f>
        <v/>
      </c>
      <c r="F46" s="3" t="n"/>
      <c r="G46" s="3" t="n"/>
      <c r="H46" s="3" t="n"/>
      <c r="I46" s="34" t="n"/>
      <c r="J46" s="61" t="n"/>
      <c r="K46" s="61" t="n"/>
      <c r="L46" s="127">
        <f>IF(OR(J46="",K46=""),"",MOD(K46-J46,1))</f>
        <v/>
      </c>
      <c r="M46" s="36" t="n"/>
      <c r="N46" s="14">
        <f>IF(O45="","",O45)</f>
        <v/>
      </c>
      <c r="O46" s="14" t="n">
        <v>98576</v>
      </c>
      <c r="P46" s="151">
        <f>IF(OR(N46="",O46=""),"",O46-N46)</f>
        <v/>
      </c>
      <c r="Q46" s="84" t="n"/>
      <c r="R46" s="126" t="n">
        <v>46287</v>
      </c>
      <c r="S46" s="24" t="inlineStr">
        <is>
          <t>DAY</t>
        </is>
      </c>
      <c r="T46" s="14">
        <f>IF(U45="","",U45)</f>
        <v/>
      </c>
      <c r="U46" s="14" t="n">
        <v>5070</v>
      </c>
      <c r="V46" s="14">
        <f>IF(OR(T46="",U46=""),"",U46-T46)</f>
        <v/>
      </c>
      <c r="W46" s="86" t="n"/>
      <c r="X46" s="3" t="n"/>
      <c r="Y46" s="3" t="n"/>
      <c r="Z46" s="4" t="n"/>
      <c r="AA46" s="81" t="n"/>
      <c r="AB46" s="62" t="n"/>
      <c r="AC46" s="127">
        <f>IF(OR(AA46="",AB46=""),"",MOD(AB46-AA46,1))</f>
        <v/>
      </c>
      <c r="AD46" s="36" t="n"/>
      <c r="AE46" s="85">
        <f>IF(AF45="","",AF45)</f>
        <v/>
      </c>
      <c r="AF46" s="14" t="n">
        <v>80911</v>
      </c>
      <c r="AG46" s="151">
        <f>IF(OR(AE46="",AF46=""),"",AF46-AE46)</f>
        <v/>
      </c>
    </row>
    <row r="47">
      <c r="A47" s="126" t="n">
        <v>46287</v>
      </c>
      <c r="B47" s="24" t="inlineStr">
        <is>
          <t>NIGHT</t>
        </is>
      </c>
      <c r="C47" s="14">
        <f>IF(D46="","",D46)</f>
        <v/>
      </c>
      <c r="D47" s="14" t="n">
        <v>7024</v>
      </c>
      <c r="E47" s="14">
        <f>IF(OR(C47="",D47=""),"",D47-C47)</f>
        <v/>
      </c>
      <c r="F47" s="3" t="n"/>
      <c r="G47" s="3" t="n"/>
      <c r="H47" s="3" t="n"/>
      <c r="I47" s="34" t="n"/>
      <c r="J47" s="81" t="n"/>
      <c r="K47" s="82" t="n"/>
      <c r="L47" s="129">
        <f>IF(OR(J47="",K47=""),"",MOD(K47-J47,1))</f>
        <v/>
      </c>
      <c r="M47" s="34" t="n"/>
      <c r="N47" s="14">
        <f>IF(O46="","",O46)</f>
        <v/>
      </c>
      <c r="O47" s="14" t="n">
        <v>98693</v>
      </c>
      <c r="P47" s="151">
        <f>IF(OR(N47="",O47=""),"",O47-N47)</f>
        <v/>
      </c>
      <c r="Q47" s="84" t="n"/>
      <c r="R47" s="126" t="n">
        <v>46287</v>
      </c>
      <c r="S47" s="7" t="inlineStr">
        <is>
          <t>NIGHT</t>
        </is>
      </c>
      <c r="T47" s="14">
        <f>IF(U46="","",U46)</f>
        <v/>
      </c>
      <c r="U47" s="1" t="n">
        <v>5075</v>
      </c>
      <c r="V47" s="1">
        <f>IF(OR(T47="",U47=""),"",U47-T47)</f>
        <v/>
      </c>
      <c r="W47" s="101" t="n"/>
      <c r="X47" s="101" t="n"/>
      <c r="Y47" s="101" t="n"/>
      <c r="Z47" s="102" t="n"/>
      <c r="AA47" s="103" t="n"/>
      <c r="AB47" s="103" t="n"/>
      <c r="AC47" s="128">
        <f>IF(OR(AA47="",AB47=""),"",MOD(AB47-AA47,1))</f>
        <v/>
      </c>
      <c r="AD47" s="105" t="n"/>
      <c r="AE47" s="85">
        <f>IF(AF46="","",AF46)</f>
        <v/>
      </c>
      <c r="AF47" s="1" t="n">
        <v>80989</v>
      </c>
      <c r="AG47" s="9">
        <f>IF(OR(AE47="",AF47=""),"",AF47-AE47)</f>
        <v/>
      </c>
    </row>
    <row r="48">
      <c r="A48" s="126" t="n">
        <v>46288</v>
      </c>
      <c r="B48" s="24" t="inlineStr">
        <is>
          <t>DAY</t>
        </is>
      </c>
      <c r="C48" s="14">
        <f>IF(D47="","",D47)</f>
        <v/>
      </c>
      <c r="D48" s="14" t="n">
        <v>7033</v>
      </c>
      <c r="E48" s="14">
        <f>IF(OR(C48="",D48=""),"",D48-C48)</f>
        <v/>
      </c>
      <c r="F48" s="3" t="n"/>
      <c r="G48" s="3" t="n">
        <v>7027</v>
      </c>
      <c r="H48" s="3" t="n"/>
      <c r="I48" s="34" t="n"/>
      <c r="J48" s="61" t="n"/>
      <c r="K48" s="62" t="n"/>
      <c r="L48" s="127">
        <f>IF(OR(J48="",K48=""),"",MOD(K48-J48,1))</f>
        <v/>
      </c>
      <c r="M48" s="36" t="n"/>
      <c r="N48" s="14">
        <f>IF(O47="","",O47)</f>
        <v/>
      </c>
      <c r="O48" s="14" t="n">
        <v>98798</v>
      </c>
      <c r="P48" s="151">
        <f>IF(OR(N48="",O48=""),"",O48-N48)</f>
        <v/>
      </c>
      <c r="Q48" s="84" t="n"/>
      <c r="R48" s="126" t="n">
        <v>46288</v>
      </c>
      <c r="S48" s="24" t="inlineStr">
        <is>
          <t>DAY</t>
        </is>
      </c>
      <c r="T48" s="14">
        <f>IF(U47="","",U47)</f>
        <v/>
      </c>
      <c r="U48" s="14" t="n">
        <v>5082</v>
      </c>
      <c r="V48" s="14">
        <f>IF(OR(T48="",U48=""),"",U48-T48)</f>
        <v/>
      </c>
      <c r="W48" s="3" t="n"/>
      <c r="X48" s="3" t="n"/>
      <c r="Y48" s="3" t="n"/>
      <c r="Z48" s="4" t="n"/>
      <c r="AA48" s="81" t="n"/>
      <c r="AB48" s="81" t="n"/>
      <c r="AC48" s="127">
        <f>IF(OR(AA48="",AB48=""),"",MOD(AB48-AA48,1))</f>
        <v/>
      </c>
      <c r="AD48" s="36" t="n"/>
      <c r="AE48" s="85">
        <f>IF(AF47="","",AF47)</f>
        <v/>
      </c>
      <c r="AF48" s="14" t="n">
        <v>81039</v>
      </c>
      <c r="AG48" s="151">
        <f>IF(OR(AE48="",AF48=""),"",AF48-AE48)</f>
        <v/>
      </c>
    </row>
    <row r="49">
      <c r="A49" s="126" t="n">
        <v>46288</v>
      </c>
      <c r="B49" s="24" t="inlineStr">
        <is>
          <t>NIGHT</t>
        </is>
      </c>
      <c r="C49" s="14">
        <f>IF(D48="","",D48)</f>
        <v/>
      </c>
      <c r="D49" s="14" t="n">
        <v>7043</v>
      </c>
      <c r="E49" s="14">
        <f>IF(OR(C49="",D49=""),"",D49-C49)</f>
        <v/>
      </c>
      <c r="F49" s="3" t="n"/>
      <c r="G49" s="3" t="n"/>
      <c r="H49" s="3" t="n"/>
      <c r="I49" s="34" t="n"/>
      <c r="J49" s="61" t="n"/>
      <c r="K49" s="62" t="n"/>
      <c r="L49" s="127">
        <f>IF(OR(J49="",K49=""),"",MOD(K49-J49,1))</f>
        <v/>
      </c>
      <c r="M49" s="36" t="n"/>
      <c r="N49" s="14">
        <f>IF(O48="","",O48)</f>
        <v/>
      </c>
      <c r="O49" s="14" t="n">
        <v>98939</v>
      </c>
      <c r="P49" s="151">
        <f>IF(OR(N49="",O49=""),"",O49-N49)</f>
        <v/>
      </c>
      <c r="Q49" s="84" t="n"/>
      <c r="R49" s="126" t="n">
        <v>46288</v>
      </c>
      <c r="S49" s="24" t="inlineStr">
        <is>
          <t>NIGHT</t>
        </is>
      </c>
      <c r="T49" s="14">
        <f>IF(U48="","",U48)</f>
        <v/>
      </c>
      <c r="U49" s="14" t="n">
        <v>5085</v>
      </c>
      <c r="V49" s="14">
        <f>IF(OR(T49="",U49=""),"",U49-T49)</f>
        <v/>
      </c>
      <c r="W49" s="3" t="n"/>
      <c r="X49" s="3" t="n"/>
      <c r="Y49" s="3" t="n"/>
      <c r="Z49" s="4" t="n"/>
      <c r="AA49" s="61" t="n"/>
      <c r="AB49" s="62" t="n"/>
      <c r="AC49" s="127">
        <f>IF(OR(AA49="",AB49=""),"",MOD(AB49-AA49,1))</f>
        <v/>
      </c>
      <c r="AD49" s="36" t="n"/>
      <c r="AE49" s="85">
        <f>IF(AF48="","",AF48)</f>
        <v/>
      </c>
      <c r="AF49" s="14" t="n">
        <v>81111</v>
      </c>
      <c r="AG49" s="151">
        <f>IF(OR(AE49="",AF49=""),"",AF49-AE49)</f>
        <v/>
      </c>
    </row>
    <row r="50">
      <c r="A50" s="126" t="n">
        <v>46289</v>
      </c>
      <c r="B50" s="24" t="inlineStr">
        <is>
          <t>DAY</t>
        </is>
      </c>
      <c r="C50" s="14">
        <f>IF(D49="","",D49)</f>
        <v/>
      </c>
      <c r="D50" s="14" t="n">
        <v>7051</v>
      </c>
      <c r="E50" s="14">
        <f>IF(OR(C50="",D50=""),"",D50-C50)</f>
        <v/>
      </c>
      <c r="F50" s="3" t="n"/>
      <c r="G50" s="3" t="n"/>
      <c r="H50" s="3" t="n"/>
      <c r="I50" s="34" t="n"/>
      <c r="J50" s="61" t="n"/>
      <c r="K50" s="62" t="n"/>
      <c r="L50" s="127">
        <f>IF(OR(J50="",K50=""),"",MOD(K50-J50,1))</f>
        <v/>
      </c>
      <c r="M50" s="36" t="n"/>
      <c r="N50" s="14">
        <f>IF(O49="","",O49)</f>
        <v/>
      </c>
      <c r="O50" s="14" t="n">
        <v>99032</v>
      </c>
      <c r="P50" s="151">
        <f>IF(OR(N50="",O50=""),"",O50-N50)</f>
        <v/>
      </c>
      <c r="Q50" s="84" t="n"/>
      <c r="R50" s="126" t="n">
        <v>46289</v>
      </c>
      <c r="S50" s="24" t="inlineStr">
        <is>
          <t>DAY</t>
        </is>
      </c>
      <c r="T50" s="14">
        <f>IF(U49="","",U49)</f>
        <v/>
      </c>
      <c r="U50" s="14" t="n">
        <v>5093</v>
      </c>
      <c r="V50" s="14">
        <f>IF(OR(T50="",U50=""),"",U50-T50)</f>
        <v/>
      </c>
      <c r="W50" s="3" t="n"/>
      <c r="X50" s="3" t="n"/>
      <c r="Y50" s="3" t="n"/>
      <c r="Z50" s="4" t="n"/>
      <c r="AA50" s="61" t="n"/>
      <c r="AB50" s="62" t="n"/>
      <c r="AC50" s="127">
        <f>IF(OR(AA50="",AB50=""),"",MOD(AB50-AA50,1))</f>
        <v/>
      </c>
      <c r="AD50" s="36" t="n"/>
      <c r="AE50" s="85">
        <f>IF(AF49="","",AF49)</f>
        <v/>
      </c>
      <c r="AF50" s="14" t="n">
        <v>81193</v>
      </c>
      <c r="AG50" s="151">
        <f>IF(OR(AE50="",AF50=""),"",AF50-AE50)</f>
        <v/>
      </c>
    </row>
    <row r="51">
      <c r="A51" s="126" t="n">
        <v>46289</v>
      </c>
      <c r="B51" s="24" t="inlineStr">
        <is>
          <t>NIGHT</t>
        </is>
      </c>
      <c r="C51" s="14">
        <f>IF(D50="","",D50)</f>
        <v/>
      </c>
      <c r="D51" s="14" t="n">
        <v>7052</v>
      </c>
      <c r="E51" s="14">
        <f>IF(OR(C51="",D51=""),"",D51-C51)</f>
        <v/>
      </c>
      <c r="F51" s="3" t="n"/>
      <c r="G51" s="3" t="n"/>
      <c r="H51" s="3" t="n"/>
      <c r="I51" s="34" t="n"/>
      <c r="J51" s="61" t="n"/>
      <c r="K51" s="62" t="n"/>
      <c r="L51" s="127">
        <f>IF(OR(J51="",K51=""),"",MOD(K51-J51,1))</f>
        <v/>
      </c>
      <c r="M51" s="36" t="n"/>
      <c r="N51" s="14">
        <f>IF(O50="","",O50)</f>
        <v/>
      </c>
      <c r="O51" s="14" t="n">
        <v>99036</v>
      </c>
      <c r="P51" s="151">
        <f>IF(OR(N51="",O51=""),"",O51-N51)</f>
        <v/>
      </c>
      <c r="Q51" s="84" t="n"/>
      <c r="R51" s="126" t="n">
        <v>46289</v>
      </c>
      <c r="S51" s="24" t="inlineStr">
        <is>
          <t>NIGHT</t>
        </is>
      </c>
      <c r="T51" s="14">
        <f>IF(U50="","",U50)</f>
        <v/>
      </c>
      <c r="U51" s="14" t="n">
        <v>5095</v>
      </c>
      <c r="V51" s="14">
        <f>IF(OR(T51="",U51=""),"",U51-T51)</f>
        <v/>
      </c>
      <c r="W51" s="3" t="n"/>
      <c r="X51" s="3" t="n"/>
      <c r="Y51" s="3" t="n"/>
      <c r="Z51" s="4" t="n"/>
      <c r="AA51" s="61" t="n"/>
      <c r="AB51" s="62" t="n"/>
      <c r="AC51" s="127">
        <f>IF(OR(AA51="",AB51=""),"",MOD(AB51-AA51,1))</f>
        <v/>
      </c>
      <c r="AD51" s="36" t="n"/>
      <c r="AE51" s="85">
        <f>IF(AF50="","",AF50)</f>
        <v/>
      </c>
      <c r="AF51" s="14" t="n">
        <v>81261</v>
      </c>
      <c r="AG51" s="151">
        <f>IF(OR(AE51="",AF51=""),"",AF51-AE51)</f>
        <v/>
      </c>
    </row>
    <row r="52">
      <c r="A52" s="126" t="n">
        <v>46290</v>
      </c>
      <c r="B52" s="24" t="inlineStr">
        <is>
          <t>DAY</t>
        </is>
      </c>
      <c r="C52" s="14">
        <f>IF(D51="","",D51)</f>
        <v/>
      </c>
      <c r="D52" s="14" t="n"/>
      <c r="E52" s="14">
        <f>IF(OR(C52="",D52=""),"",D52-C52)</f>
        <v/>
      </c>
      <c r="F52" s="3" t="n"/>
      <c r="G52" s="3" t="n"/>
      <c r="H52" s="3" t="n"/>
      <c r="I52" s="34" t="n"/>
      <c r="J52" s="61" t="n"/>
      <c r="K52" s="62" t="n"/>
      <c r="L52" s="127">
        <f>IF(OR(J52="",K52=""),"",MOD(K52-J52,1))</f>
        <v/>
      </c>
      <c r="M52" s="36" t="n"/>
      <c r="N52" s="14">
        <f>IF(O51="","",O51)</f>
        <v/>
      </c>
      <c r="O52" s="14" t="n"/>
      <c r="P52" s="151">
        <f>IF(OR(N52="",O52=""),"",O52-N52)</f>
        <v/>
      </c>
      <c r="Q52" s="84" t="n"/>
      <c r="R52" s="126" t="n">
        <v>46290</v>
      </c>
      <c r="S52" s="24" t="inlineStr">
        <is>
          <t>DAY</t>
        </is>
      </c>
      <c r="T52" s="14">
        <f>IF(U51="","",U51)</f>
        <v/>
      </c>
      <c r="U52" s="14" t="n"/>
      <c r="V52" s="14">
        <f>IF(OR(T52="",U52=""),"",U52-T52)</f>
        <v/>
      </c>
      <c r="W52" s="3" t="n"/>
      <c r="X52" s="101" t="n"/>
      <c r="Y52" s="3" t="n"/>
      <c r="Z52" s="4" t="n"/>
      <c r="AA52" s="61" t="n"/>
      <c r="AB52" s="62" t="n"/>
      <c r="AC52" s="127">
        <f>IF(OR(AA52="",AB52=""),"",MOD(AB52-AA52,1))</f>
        <v/>
      </c>
      <c r="AD52" s="36" t="n"/>
      <c r="AE52" s="85">
        <f>IF(AF51="","",AF51)</f>
        <v/>
      </c>
      <c r="AF52" s="14" t="n"/>
      <c r="AG52" s="151">
        <f>IF(OR(AE52="",AF52=""),"",AF52-AE52)</f>
        <v/>
      </c>
    </row>
    <row r="53">
      <c r="A53" s="126" t="n">
        <v>46290</v>
      </c>
      <c r="B53" s="24" t="inlineStr">
        <is>
          <t>NIGHT</t>
        </is>
      </c>
      <c r="C53" s="14">
        <f>IF(D52="","",D52)</f>
        <v/>
      </c>
      <c r="D53" s="14" t="n"/>
      <c r="E53" s="14">
        <f>IF(OR(C53="",D53=""),"",D53-C53)</f>
        <v/>
      </c>
      <c r="F53" s="3" t="n"/>
      <c r="G53" s="3" t="n"/>
      <c r="H53" s="3" t="n"/>
      <c r="I53" s="34" t="n"/>
      <c r="J53" s="61" t="n"/>
      <c r="K53" s="62" t="n"/>
      <c r="L53" s="127">
        <f>IF(OR(J53="",K53=""),"",MOD(K53-J53,1))</f>
        <v/>
      </c>
      <c r="M53" s="36" t="n"/>
      <c r="N53" s="14">
        <f>IF(O52="","",O52)</f>
        <v/>
      </c>
      <c r="O53" s="14" t="n"/>
      <c r="P53" s="151">
        <f>IF(OR(N53="",O53=""),"",O53-N53)</f>
        <v/>
      </c>
      <c r="Q53" s="84" t="n"/>
      <c r="R53" s="126" t="n">
        <v>46290</v>
      </c>
      <c r="S53" s="24" t="inlineStr">
        <is>
          <t>NIGHT</t>
        </is>
      </c>
      <c r="T53" s="14">
        <f>IF(U52="","",U52)</f>
        <v/>
      </c>
      <c r="U53" s="14" t="n"/>
      <c r="V53" s="14">
        <f>IF(OR(T53="",U53=""),"",U53-T53)</f>
        <v/>
      </c>
      <c r="W53" s="3" t="n"/>
      <c r="X53" s="3" t="n"/>
      <c r="Y53" s="3" t="n"/>
      <c r="Z53" s="4" t="n"/>
      <c r="AA53" s="61" t="n"/>
      <c r="AB53" s="62" t="n"/>
      <c r="AC53" s="127">
        <f>IF(OR(AA53="",AB53=""),"",MOD(AB53-AA53,1))</f>
        <v/>
      </c>
      <c r="AD53" s="36" t="n"/>
      <c r="AE53" s="85">
        <f>IF(AF52="","",AF52)</f>
        <v/>
      </c>
      <c r="AF53" s="14" t="n"/>
      <c r="AG53" s="151">
        <f>IF(OR(AE53="",AF53=""),"",AF53-AE53)</f>
        <v/>
      </c>
    </row>
    <row r="54">
      <c r="A54" s="126" t="n">
        <v>46291</v>
      </c>
      <c r="B54" s="24" t="inlineStr">
        <is>
          <t>DAY</t>
        </is>
      </c>
      <c r="C54" s="14">
        <f>IF(D53="","",D53)</f>
        <v/>
      </c>
      <c r="D54" s="14" t="n"/>
      <c r="E54" s="14">
        <f>IF(OR(C54="",D54=""),"",D54-C54)</f>
        <v/>
      </c>
      <c r="F54" s="3" t="n"/>
      <c r="G54" s="3" t="n"/>
      <c r="H54" s="3" t="n"/>
      <c r="I54" s="34" t="n"/>
      <c r="J54" s="61" t="n"/>
      <c r="K54" s="62" t="n"/>
      <c r="L54" s="127">
        <f>IF(OR(J54="",K54=""),"",MOD(K54-J54,1))</f>
        <v/>
      </c>
      <c r="M54" s="36" t="n"/>
      <c r="N54" s="14">
        <f>IF(O53="","",O53)</f>
        <v/>
      </c>
      <c r="O54" s="86" t="n"/>
      <c r="P54" s="151">
        <f>IF(OR(N54="",O54=""),"",O54-N54)</f>
        <v/>
      </c>
      <c r="Q54" s="84" t="n"/>
      <c r="R54" s="126" t="n">
        <v>46291</v>
      </c>
      <c r="S54" s="24" t="inlineStr">
        <is>
          <t>DAY</t>
        </is>
      </c>
      <c r="T54" s="14">
        <f>IF(U53="","",U53)</f>
        <v/>
      </c>
      <c r="U54" s="14" t="n"/>
      <c r="V54" s="14">
        <f>IF(OR(T54="",U54=""),"",U54-T54)</f>
        <v/>
      </c>
      <c r="W54" s="3" t="n"/>
      <c r="X54" s="3" t="n"/>
      <c r="Y54" s="3" t="n"/>
      <c r="Z54" s="4" t="n"/>
      <c r="AA54" s="61" t="n"/>
      <c r="AB54" s="62" t="n"/>
      <c r="AC54" s="127">
        <f>IF(OR(AA54="",AB54=""),"",MOD(AB54-AA54,1))</f>
        <v/>
      </c>
      <c r="AD54" s="36" t="n"/>
      <c r="AE54" s="85">
        <f>IF(AF53="","",AF53)</f>
        <v/>
      </c>
      <c r="AF54" s="14" t="n"/>
      <c r="AG54" s="151">
        <f>IF(OR(AE54="",AF54=""),"",AF54-AE54)</f>
        <v/>
      </c>
    </row>
    <row r="55">
      <c r="A55" s="126" t="n">
        <v>46291</v>
      </c>
      <c r="B55" s="24" t="inlineStr">
        <is>
          <t>NIGHT</t>
        </is>
      </c>
      <c r="C55" s="14">
        <f>IF(D54="","",D54)</f>
        <v/>
      </c>
      <c r="D55" s="14" t="n"/>
      <c r="E55" s="14">
        <f>IF(OR(C55="",D55=""),"",D55-C55)</f>
        <v/>
      </c>
      <c r="F55" s="3" t="n"/>
      <c r="G55" s="3" t="n"/>
      <c r="H55" s="3" t="n"/>
      <c r="I55" s="34" t="n"/>
      <c r="J55" s="61" t="n"/>
      <c r="K55" s="62" t="n"/>
      <c r="L55" s="127">
        <f>IF(OR(J55="",K55=""),"",MOD(K55-J55,1))</f>
        <v/>
      </c>
      <c r="M55" s="36" t="n"/>
      <c r="N55" s="14">
        <f>IF(O54="","",O54)</f>
        <v/>
      </c>
      <c r="O55" s="14" t="n"/>
      <c r="P55" s="151">
        <f>IF(OR(N55="",O55=""),"",O55-N55)</f>
        <v/>
      </c>
      <c r="Q55" s="84" t="n"/>
      <c r="R55" s="126" t="n">
        <v>46291</v>
      </c>
      <c r="S55" s="24" t="inlineStr">
        <is>
          <t>NIGHT</t>
        </is>
      </c>
      <c r="T55" s="14">
        <f>IF(U54="","",U54)</f>
        <v/>
      </c>
      <c r="U55" s="14" t="n"/>
      <c r="V55" s="14">
        <f>IF(OR(T55="",U55=""),"",U55-T55)</f>
        <v/>
      </c>
      <c r="W55" s="3" t="n"/>
      <c r="X55" s="3" t="n"/>
      <c r="Y55" s="3" t="n"/>
      <c r="Z55" s="4" t="n"/>
      <c r="AA55" s="61" t="n"/>
      <c r="AB55" s="62" t="n"/>
      <c r="AC55" s="127">
        <f>IF(OR(AA55="",AB55=""),"",MOD(AB55-AA55,1))</f>
        <v/>
      </c>
      <c r="AD55" s="36" t="n"/>
      <c r="AE55" s="85">
        <f>IF(AF54="","",AF54)</f>
        <v/>
      </c>
      <c r="AF55" s="86" t="n"/>
      <c r="AG55" s="151">
        <f>IF(OR(AE55="",AF55=""),"",AF55-AE55)</f>
        <v/>
      </c>
    </row>
    <row r="56">
      <c r="A56" s="126" t="n">
        <v>46292</v>
      </c>
      <c r="B56" s="24" t="inlineStr">
        <is>
          <t>DAY</t>
        </is>
      </c>
      <c r="C56" s="14">
        <f>IF(D55="","",D55)</f>
        <v/>
      </c>
      <c r="D56" s="14" t="n"/>
      <c r="E56" s="14">
        <f>IF(OR(C56="",D56=""),"",D56-C56)</f>
        <v/>
      </c>
      <c r="F56" s="3" t="n"/>
      <c r="G56" s="3" t="n"/>
      <c r="H56" s="3" t="n"/>
      <c r="I56" s="34" t="n"/>
      <c r="J56" s="61" t="n"/>
      <c r="K56" s="62" t="n"/>
      <c r="L56" s="127">
        <f>IF(OR(J56="",K56=""),"",MOD(K56-J56,1))</f>
        <v/>
      </c>
      <c r="M56" s="151" t="n"/>
      <c r="N56" s="14">
        <f>IF(O55="","",O55)</f>
        <v/>
      </c>
      <c r="O56" s="14" t="n"/>
      <c r="P56" s="151">
        <f>IF(OR(N56="",O56=""),"",O56-N56)</f>
        <v/>
      </c>
      <c r="Q56" s="84" t="n"/>
      <c r="R56" s="126" t="n">
        <v>46292</v>
      </c>
      <c r="S56" s="24" t="inlineStr">
        <is>
          <t>DAY</t>
        </is>
      </c>
      <c r="T56" s="14">
        <f>IF(U55="","",U55)</f>
        <v/>
      </c>
      <c r="U56" s="14" t="n"/>
      <c r="V56" s="14">
        <f>IF(OR(T56="",U56=""),"",U56-T56)</f>
        <v/>
      </c>
      <c r="W56" s="3" t="n"/>
      <c r="X56" s="3" t="n"/>
      <c r="Y56" s="3" t="n"/>
      <c r="Z56" s="4" t="n"/>
      <c r="AA56" s="61" t="n"/>
      <c r="AB56" s="62" t="n"/>
      <c r="AC56" s="127">
        <f>IF(OR(AA56="",AB56=""),"",MOD(AB56-AA56,1))</f>
        <v/>
      </c>
      <c r="AD56" s="151" t="n"/>
      <c r="AE56" s="85">
        <f>IF(AF55="","",AF55)</f>
        <v/>
      </c>
      <c r="AF56" s="14" t="n"/>
      <c r="AG56" s="151">
        <f>IF(OR(AE56="",AF56=""),"",AF56-AE56)</f>
        <v/>
      </c>
    </row>
    <row r="57">
      <c r="A57" s="126" t="n">
        <v>46292</v>
      </c>
      <c r="B57" s="24" t="inlineStr">
        <is>
          <t>NIGHT</t>
        </is>
      </c>
      <c r="C57" s="14">
        <f>IF(D56="","",D56)</f>
        <v/>
      </c>
      <c r="D57" s="14" t="n"/>
      <c r="E57" s="14">
        <f>IF(OR(C57="",D57=""),"",D57-C57)</f>
        <v/>
      </c>
      <c r="F57" s="3" t="n"/>
      <c r="G57" s="3" t="n"/>
      <c r="H57" s="3" t="n"/>
      <c r="I57" s="34" t="n"/>
      <c r="J57" s="61" t="n"/>
      <c r="K57" s="62" t="n"/>
      <c r="L57" s="127">
        <f>IF(OR(J57="",K57=""),"",MOD(K57-J57,1))</f>
        <v/>
      </c>
      <c r="M57" s="151" t="n"/>
      <c r="N57" s="14">
        <f>IF(O56="","",O56)</f>
        <v/>
      </c>
      <c r="O57" s="14" t="n"/>
      <c r="P57" s="151">
        <f>IF(OR(N57="",O57=""),"",O57-N57)</f>
        <v/>
      </c>
      <c r="Q57" s="84" t="n"/>
      <c r="R57" s="126" t="n">
        <v>46292</v>
      </c>
      <c r="S57" s="24" t="inlineStr">
        <is>
          <t>NIGHT</t>
        </is>
      </c>
      <c r="T57" s="14">
        <f>IF(U56="","",U56)</f>
        <v/>
      </c>
      <c r="U57" s="14" t="n"/>
      <c r="V57" s="14">
        <f>IF(OR(T57="",U57=""),"",U57-T57)</f>
        <v/>
      </c>
      <c r="W57" s="3" t="n"/>
      <c r="X57" s="3" t="n"/>
      <c r="Y57" s="3" t="n"/>
      <c r="Z57" s="4" t="n"/>
      <c r="AA57" s="61" t="n"/>
      <c r="AB57" s="62" t="n"/>
      <c r="AC57" s="127">
        <f>IF(OR(AA57="",AB57=""),"",MOD(AB57-AA57,1))</f>
        <v/>
      </c>
      <c r="AD57" s="151" t="n"/>
      <c r="AE57" s="85">
        <f>IF(AF56="","",AF56)</f>
        <v/>
      </c>
      <c r="AF57" s="14" t="n"/>
      <c r="AG57" s="151">
        <f>IF(OR(AE57="",AF57=""),"",AF57-AE57)</f>
        <v/>
      </c>
    </row>
    <row r="58">
      <c r="A58" s="126" t="n">
        <v>46293</v>
      </c>
      <c r="B58" s="24" t="inlineStr">
        <is>
          <t>DAY</t>
        </is>
      </c>
      <c r="C58" s="14">
        <f>IF(D57="","",D57)</f>
        <v/>
      </c>
      <c r="D58" s="14" t="n"/>
      <c r="E58" s="14">
        <f>IF(OR(C58="",D58=""),"",D58-C58)</f>
        <v/>
      </c>
      <c r="F58" s="3" t="n"/>
      <c r="G58" s="3" t="n"/>
      <c r="H58" s="3" t="n"/>
      <c r="I58" s="34" t="n"/>
      <c r="J58" s="61" t="n"/>
      <c r="K58" s="62" t="n"/>
      <c r="L58" s="127">
        <f>IF(OR(J58="",K58=""),"",MOD(K58-J58,1))</f>
        <v/>
      </c>
      <c r="M58" s="151" t="n"/>
      <c r="N58" s="14">
        <f>IF(O57="","",O57)</f>
        <v/>
      </c>
      <c r="O58" s="14" t="n"/>
      <c r="P58" s="151">
        <f>IF(OR(N58="",O58=""),"",O58-N58)</f>
        <v/>
      </c>
      <c r="Q58" s="84" t="n"/>
      <c r="R58" s="126" t="n">
        <v>46293</v>
      </c>
      <c r="S58" s="24" t="inlineStr">
        <is>
          <t>DAY</t>
        </is>
      </c>
      <c r="T58" s="14">
        <f>IF(U57="","",U57)</f>
        <v/>
      </c>
      <c r="U58" s="14" t="n"/>
      <c r="V58" s="14">
        <f>IF(OR(T58="",U58=""),"",U58-T58)</f>
        <v/>
      </c>
      <c r="W58" s="3" t="n"/>
      <c r="X58" s="3" t="n"/>
      <c r="Y58" s="3" t="n"/>
      <c r="Z58" s="4" t="n"/>
      <c r="AA58" s="61" t="n"/>
      <c r="AB58" s="62" t="n"/>
      <c r="AC58" s="127">
        <f>IF(OR(AA58="",AB58=""),"",MOD(AB58-AA58,1))</f>
        <v/>
      </c>
      <c r="AD58" s="151" t="n"/>
      <c r="AE58" s="85">
        <f>IF(AF57="","",AF57)</f>
        <v/>
      </c>
      <c r="AF58" s="14" t="n"/>
      <c r="AG58" s="151">
        <f>IF(OR(AE58="",AF58=""),"",AF58-AE58)</f>
        <v/>
      </c>
    </row>
    <row r="59">
      <c r="A59" s="126" t="n">
        <v>46293</v>
      </c>
      <c r="B59" s="24" t="inlineStr">
        <is>
          <t>NIGHT</t>
        </is>
      </c>
      <c r="C59" s="14">
        <f>IF(D58="","",D58)</f>
        <v/>
      </c>
      <c r="D59" s="14" t="n"/>
      <c r="E59" s="14">
        <f>IF(OR(C59="",D59=""),"",D59-C59)</f>
        <v/>
      </c>
      <c r="F59" s="3" t="n"/>
      <c r="G59" s="3" t="n"/>
      <c r="H59" s="3" t="n"/>
      <c r="I59" s="34" t="n"/>
      <c r="J59" s="61" t="n"/>
      <c r="K59" s="62" t="n"/>
      <c r="L59" s="127">
        <f>IF(OR(J59="",K59=""),"",MOD(K59-J59,1))</f>
        <v/>
      </c>
      <c r="M59" s="151" t="n"/>
      <c r="N59" s="14">
        <f>IF(O58="","",O58)</f>
        <v/>
      </c>
      <c r="O59" s="14" t="n"/>
      <c r="P59" s="151">
        <f>IF(OR(N59="",O59=""),"",O59-N59)</f>
        <v/>
      </c>
      <c r="Q59" s="84" t="n"/>
      <c r="R59" s="126" t="n">
        <v>46293</v>
      </c>
      <c r="S59" s="24" t="inlineStr">
        <is>
          <t>NIGHT</t>
        </is>
      </c>
      <c r="T59" s="14">
        <f>IF(U58="","",U58)</f>
        <v/>
      </c>
      <c r="U59" s="14" t="n"/>
      <c r="V59" s="14">
        <f>IF(OR(T59="",U59=""),"",U59-T59)</f>
        <v/>
      </c>
      <c r="W59" s="3" t="n"/>
      <c r="X59" s="3" t="n"/>
      <c r="Y59" s="3" t="n"/>
      <c r="Z59" s="4" t="n"/>
      <c r="AA59" s="61" t="n"/>
      <c r="AB59" s="62" t="n"/>
      <c r="AC59" s="127">
        <f>IF(OR(AA59="",AB59=""),"",MOD(AB59-AA59,1))</f>
        <v/>
      </c>
      <c r="AD59" s="151" t="n"/>
      <c r="AE59" s="85">
        <f>IF(AF58="","",AF58)</f>
        <v/>
      </c>
      <c r="AF59" s="14" t="n"/>
      <c r="AG59" s="151">
        <f>IF(OR(AE59="",AF59=""),"",AF59-AE59)</f>
        <v/>
      </c>
    </row>
    <row r="60">
      <c r="A60" s="126" t="n">
        <v>46294</v>
      </c>
      <c r="B60" s="24" t="inlineStr">
        <is>
          <t>DAY</t>
        </is>
      </c>
      <c r="C60" s="14">
        <f>IF(D59="","",D59)</f>
        <v/>
      </c>
      <c r="D60" s="88" t="n"/>
      <c r="E60" s="88">
        <f>IF(OR(C60="",D60=""),"",D60-C60)</f>
        <v/>
      </c>
      <c r="F60" s="89" t="n"/>
      <c r="G60" s="89" t="n"/>
      <c r="H60" s="3" t="n"/>
      <c r="I60" s="34" t="n"/>
      <c r="J60" s="107" t="n"/>
      <c r="K60" s="108" t="n"/>
      <c r="L60" s="127">
        <f>IF(OR(J60="",K60=""),"",MOD(K60-J60,1))</f>
        <v/>
      </c>
      <c r="M60" s="151" t="n"/>
      <c r="N60" s="14">
        <f>IF(O59="","",O59)</f>
        <v/>
      </c>
      <c r="O60" s="88" t="n"/>
      <c r="P60" s="151">
        <f>IF(OR(N60="",O60=""),"",O60-N60)</f>
        <v/>
      </c>
      <c r="Q60" s="84" t="n"/>
      <c r="R60" s="126" t="n">
        <v>46294</v>
      </c>
      <c r="S60" s="24" t="inlineStr">
        <is>
          <t>DAY</t>
        </is>
      </c>
      <c r="T60" s="14">
        <f>IF(U59="","",U59)</f>
        <v/>
      </c>
      <c r="U60" s="88" t="n"/>
      <c r="V60" s="88">
        <f>IF(OR(T60="",U60=""),"",U60-T60)</f>
        <v/>
      </c>
      <c r="W60" s="89" t="n"/>
      <c r="X60" s="89" t="n"/>
      <c r="Y60" s="3" t="n"/>
      <c r="Z60" s="4" t="n"/>
      <c r="AA60" s="107" t="n"/>
      <c r="AB60" s="108" t="n"/>
      <c r="AC60" s="125">
        <f>IF(OR(AA60="",AB60=""),"",MOD(AB60-AA60,1))</f>
        <v/>
      </c>
      <c r="AD60" s="92" t="n"/>
      <c r="AE60" s="85">
        <f>IF(AF59="","",AF59)</f>
        <v/>
      </c>
      <c r="AF60" s="14" t="n"/>
      <c r="AG60" s="151">
        <f>IF(OR(AE60="",AF60=""),"",AF60-AE60)</f>
        <v/>
      </c>
    </row>
    <row r="61">
      <c r="A61" s="126" t="n">
        <v>46294</v>
      </c>
      <c r="B61" s="24" t="inlineStr">
        <is>
          <t>NIGHT</t>
        </is>
      </c>
      <c r="C61" s="14">
        <f>IF(D60="","",D60)</f>
        <v/>
      </c>
      <c r="D61" s="88" t="n"/>
      <c r="E61" s="88">
        <f>IF(OR(C61="",D61=""),"",D61-C61)</f>
        <v/>
      </c>
      <c r="F61" s="89" t="n"/>
      <c r="G61" s="89" t="n"/>
      <c r="H61" s="89" t="n"/>
      <c r="I61" s="90" t="n"/>
      <c r="J61" s="107" t="n"/>
      <c r="K61" s="108" t="n"/>
      <c r="L61" s="125">
        <f>IF(OR(J61="",K61=""),"",MOD(K61-J61,1))</f>
        <v/>
      </c>
      <c r="M61" s="92" t="n"/>
      <c r="N61" s="14">
        <f>IF(O60="","",O60)</f>
        <v/>
      </c>
      <c r="O61" s="88" t="n"/>
      <c r="P61" s="151">
        <f>IF(OR(N61="",O61=""),"",O61-N61)</f>
        <v/>
      </c>
      <c r="Q61" s="84" t="n"/>
      <c r="R61" s="126" t="n">
        <v>46294</v>
      </c>
      <c r="S61" s="24" t="inlineStr">
        <is>
          <t>NIGHT</t>
        </is>
      </c>
      <c r="T61" s="14">
        <f>IF(U60="","",U60)</f>
        <v/>
      </c>
      <c r="U61" s="88" t="n"/>
      <c r="V61" s="88">
        <f>IF(OR(T61="",U61=""),"",U61-T61)</f>
        <v/>
      </c>
      <c r="W61" s="89" t="n"/>
      <c r="X61" s="89" t="n"/>
      <c r="Y61" s="89" t="n"/>
      <c r="Z61" s="90" t="n"/>
      <c r="AA61" s="107" t="n"/>
      <c r="AB61" s="108" t="n"/>
      <c r="AC61" s="125">
        <f>IF(OR(AA61="",AB61=""),"",MOD(AB61-AA61,1))</f>
        <v/>
      </c>
      <c r="AD61" s="92" t="n"/>
      <c r="AE61" s="85">
        <f>IF(AF60="","",AF60)</f>
        <v/>
      </c>
      <c r="AF61" s="14" t="n"/>
      <c r="AG61" s="151">
        <f>IF(OR(AE61="",AF61=""),"",AF61-AE61)</f>
        <v/>
      </c>
    </row>
    <row r="62">
      <c r="A62" s="126" t="n">
        <v>46295</v>
      </c>
      <c r="B62" s="24" t="inlineStr">
        <is>
          <t>DAY</t>
        </is>
      </c>
      <c r="C62" s="14">
        <f>IF(D61="","",D61)</f>
        <v/>
      </c>
      <c r="D62" s="88" t="n"/>
      <c r="E62" s="88">
        <f>IF(OR(C62="",D62=""),"",D62-C62)</f>
        <v/>
      </c>
      <c r="F62" s="89" t="n"/>
      <c r="G62" s="89" t="n"/>
      <c r="H62" s="89" t="n"/>
      <c r="I62" s="90" t="n"/>
      <c r="J62" s="107" t="n"/>
      <c r="K62" s="108" t="n"/>
      <c r="L62" s="125">
        <f>IF(OR(J62="",K62=""),"",MOD(K62-J62,1))</f>
        <v/>
      </c>
      <c r="M62" s="92" t="n"/>
      <c r="N62" s="14">
        <f>IF(O61="","",O61)</f>
        <v/>
      </c>
      <c r="O62" s="88" t="n"/>
      <c r="P62" s="151">
        <f>IF(OR(N62="",O62=""),"",O62-N62)</f>
        <v/>
      </c>
      <c r="Q62" s="84" t="n"/>
      <c r="R62" s="126" t="n">
        <v>46295</v>
      </c>
      <c r="S62" s="24" t="inlineStr">
        <is>
          <t>DAY</t>
        </is>
      </c>
      <c r="T62" s="14">
        <f>IF(U61="","",U61)</f>
        <v/>
      </c>
      <c r="U62" s="88" t="n"/>
      <c r="V62" s="88">
        <f>IF(OR(T62="",U62=""),"",U62-T62)</f>
        <v/>
      </c>
      <c r="W62" s="89" t="n"/>
      <c r="X62" s="89" t="n"/>
      <c r="Y62" s="89" t="n"/>
      <c r="Z62" s="90" t="n"/>
      <c r="AA62" s="107" t="n"/>
      <c r="AB62" s="108" t="n"/>
      <c r="AC62" s="125">
        <f>IF(OR(AA62="",AB62=""),"",MOD(AB62-AA62,1))</f>
        <v/>
      </c>
      <c r="AD62" s="92" t="n"/>
      <c r="AE62" s="85">
        <f>IF(AF61="","",AF61)</f>
        <v/>
      </c>
      <c r="AF62" s="14" t="n"/>
      <c r="AG62" s="151">
        <f>IF(OR(AE62="",AF62=""),"",AF62-AE62)</f>
        <v/>
      </c>
    </row>
    <row r="63" ht="15.75" customHeight="1" thickBot="1">
      <c r="A63" s="126" t="n">
        <v>46295</v>
      </c>
      <c r="B63" s="24" t="inlineStr">
        <is>
          <t>NIGHT</t>
        </is>
      </c>
      <c r="C63" s="14">
        <f>IF(D62="","",D62)</f>
        <v/>
      </c>
      <c r="D63" s="88" t="n"/>
      <c r="E63" s="88">
        <f>IF(OR(C63="",D63=""),"",D63-C63)</f>
        <v/>
      </c>
      <c r="F63" s="89" t="n"/>
      <c r="G63" s="89" t="n"/>
      <c r="H63" s="89" t="n"/>
      <c r="I63" s="90" t="n"/>
      <c r="J63" s="107" t="n"/>
      <c r="K63" s="108" t="n"/>
      <c r="L63" s="125">
        <f>IF(OR(J63="",K63=""),"",MOD(K63-J63,1))</f>
        <v/>
      </c>
      <c r="M63" s="92" t="n"/>
      <c r="N63" s="14">
        <f>IF(O62="","",O62)</f>
        <v/>
      </c>
      <c r="O63" s="88" t="n"/>
      <c r="P63" s="151">
        <f>IF(OR(N63="",O63=""),"",O63-N63)</f>
        <v/>
      </c>
      <c r="Q63" s="84" t="n"/>
      <c r="R63" s="126" t="n">
        <v>46295</v>
      </c>
      <c r="S63" s="24" t="inlineStr">
        <is>
          <t>NIGHT</t>
        </is>
      </c>
      <c r="T63" s="14">
        <f>IF(U62="","",U62)</f>
        <v/>
      </c>
      <c r="U63" s="88" t="n"/>
      <c r="V63" s="88">
        <f>IF(OR(T63="",U63=""),"",U63-T63)</f>
        <v/>
      </c>
      <c r="W63" s="89" t="n"/>
      <c r="X63" s="89" t="n"/>
      <c r="Y63" s="89" t="n"/>
      <c r="Z63" s="90" t="n"/>
      <c r="AA63" s="107" t="n"/>
      <c r="AB63" s="108" t="n"/>
      <c r="AC63" s="125">
        <f>IF(OR(AA63="",AB63=""),"",MOD(AB63-AA63,1))</f>
        <v/>
      </c>
      <c r="AD63" s="92" t="n"/>
      <c r="AE63" s="85">
        <f>IF(AF62="","",AF62)</f>
        <v/>
      </c>
      <c r="AF63" s="14" t="n"/>
      <c r="AG63" s="151">
        <f>IF(OR(AE63="",AF63=""),"",AF63-AE63)</f>
        <v/>
      </c>
    </row>
    <row r="64">
      <c r="A64" s="153" t="inlineStr">
        <is>
          <t>TOTAL HMR</t>
        </is>
      </c>
      <c r="B64" s="154" t="n"/>
      <c r="C64" s="154" t="n"/>
      <c r="D64" s="155" t="n"/>
      <c r="E64" s="74">
        <f>SUBTOTAL(9,E4:E63)</f>
        <v/>
      </c>
      <c r="F64" s="74">
        <f>SUBTOTAL(9,F4:F63)</f>
        <v/>
      </c>
      <c r="G64" s="74" t="n"/>
      <c r="H64" s="74">
        <f>SUBTOTAL(9,H4:H63)</f>
        <v/>
      </c>
      <c r="I64" s="59">
        <f>IFERROR(F64/H64,"")</f>
        <v/>
      </c>
      <c r="J64" s="56" t="n"/>
      <c r="K64" s="57" t="n"/>
      <c r="L64" s="124">
        <f>SUM(L4:L63)</f>
        <v/>
      </c>
      <c r="M64" s="58" t="n"/>
      <c r="N64" s="63" t="n"/>
      <c r="O64" s="60" t="n"/>
      <c r="P64" s="74">
        <f>SUBTOTAL(9,P4:P63)</f>
        <v/>
      </c>
      <c r="R64" s="153" t="inlineStr">
        <is>
          <t>TOTAL HMR</t>
        </is>
      </c>
      <c r="S64" s="154" t="n"/>
      <c r="T64" s="154" t="n"/>
      <c r="U64" s="155" t="n"/>
      <c r="V64" s="74">
        <f>SUBTOTAL(9,V4:V63)</f>
        <v/>
      </c>
      <c r="W64" s="74">
        <f>SUBTOTAL(9,W4:W63)</f>
        <v/>
      </c>
      <c r="X64" s="74" t="n"/>
      <c r="Y64" s="74">
        <f>SUBTOTAL(9,Y4:Y63)</f>
        <v/>
      </c>
      <c r="Z64" s="59">
        <f>IFERROR(W64/Y64,"")</f>
        <v/>
      </c>
      <c r="AA64" s="56" t="n"/>
      <c r="AB64" s="57" t="n"/>
      <c r="AC64" s="124">
        <f>SUM(AC4:AC63)</f>
        <v/>
      </c>
      <c r="AD64" s="58" t="n"/>
      <c r="AE64" s="63" t="n"/>
      <c r="AF64" s="1" t="n"/>
      <c r="AG64" s="74">
        <f>SUBTOTAL(9,AG4:AG63)</f>
        <v/>
      </c>
    </row>
    <row r="65">
      <c r="A65" s="144" t="inlineStr">
        <is>
          <t>FIX HMR INVOICE NO….........................</t>
        </is>
      </c>
      <c r="B65" s="145" t="n"/>
      <c r="C65" s="145" t="n"/>
      <c r="D65" s="146" t="n"/>
      <c r="E65" s="73" t="n">
        <v>520</v>
      </c>
      <c r="F65" s="22" t="n"/>
      <c r="G65" s="22" t="n"/>
      <c r="H65" s="22" t="n"/>
      <c r="I65" s="23">
        <f>IFERROR(F64/E64,"")</f>
        <v/>
      </c>
      <c r="J65" s="38" t="n"/>
      <c r="K65" s="23" t="n"/>
      <c r="L65" s="23" t="n"/>
      <c r="M65" s="39" t="n"/>
      <c r="N65" s="64" t="n"/>
      <c r="O65" s="23" t="n"/>
      <c r="P65" s="39" t="n"/>
      <c r="R65" s="144" t="inlineStr">
        <is>
          <t>FIX HMR INVOICE NO….........................</t>
        </is>
      </c>
      <c r="S65" s="145" t="n"/>
      <c r="T65" s="145" t="n"/>
      <c r="U65" s="146" t="n"/>
      <c r="V65" s="73" t="n">
        <v>520</v>
      </c>
      <c r="W65" s="22" t="n"/>
      <c r="X65" s="22" t="n"/>
      <c r="Y65" s="22" t="n"/>
      <c r="Z65" s="23">
        <f>IFERROR(W64/V64,"")</f>
        <v/>
      </c>
      <c r="AA65" s="38" t="n"/>
      <c r="AB65" s="23" t="n"/>
      <c r="AC65" s="23" t="n"/>
      <c r="AD65" s="39" t="n"/>
      <c r="AE65" s="64" t="n"/>
      <c r="AF65" s="64" t="n"/>
      <c r="AG65" s="39" t="n"/>
    </row>
    <row r="66" ht="15.75" customHeight="1" thickBot="1">
      <c r="A66" s="141" t="inlineStr">
        <is>
          <t>EXTRA HMR INVOICE NO. …..................</t>
        </is>
      </c>
      <c r="B66" s="142" t="n"/>
      <c r="C66" s="142" t="n"/>
      <c r="D66" s="143" t="n"/>
      <c r="E66" s="27">
        <f>IF(E64-E65&lt;0,0,E64-E65)</f>
        <v/>
      </c>
      <c r="F66" s="27" t="n"/>
      <c r="G66" s="27" t="n"/>
      <c r="H66" s="27" t="n"/>
      <c r="I66" s="45" t="n"/>
      <c r="J66" s="141" t="n"/>
      <c r="K66" s="27" t="n"/>
      <c r="L66" s="27" t="n"/>
      <c r="M66" s="21" t="n"/>
      <c r="N66" s="65" t="n"/>
      <c r="O66" s="27" t="n"/>
      <c r="P66" s="21" t="n"/>
      <c r="R66" s="141" t="inlineStr">
        <is>
          <t>EXTRA HMR INVOICE NO. …..................</t>
        </is>
      </c>
      <c r="S66" s="142" t="n"/>
      <c r="T66" s="142" t="n"/>
      <c r="U66" s="143" t="n"/>
      <c r="V66" s="27">
        <f>IF(V64-V65&lt;0,0,V64-V65)</f>
        <v/>
      </c>
      <c r="W66" s="27" t="n"/>
      <c r="X66" s="27" t="n"/>
      <c r="Y66" s="27" t="n"/>
      <c r="Z66" s="27" t="n"/>
      <c r="AA66" s="141" t="n"/>
      <c r="AB66" s="27" t="n"/>
      <c r="AC66" s="27" t="n"/>
      <c r="AD66" s="21" t="n"/>
      <c r="AE66" s="65" t="n"/>
      <c r="AF66" s="65" t="n"/>
      <c r="AG66" s="21" t="n"/>
    </row>
  </sheetData>
  <mergeCells count="10">
    <mergeCell ref="R66:U66"/>
    <mergeCell ref="R65:U65"/>
    <mergeCell ref="A1:M1"/>
    <mergeCell ref="M19:M20"/>
    <mergeCell ref="AD29:AD31"/>
    <mergeCell ref="A64:D64"/>
    <mergeCell ref="R64:U64"/>
    <mergeCell ref="R1:AG1"/>
    <mergeCell ref="A65:D65"/>
    <mergeCell ref="A66:D66"/>
  </mergeCells>
  <conditionalFormatting sqref="I3:I65">
    <cfRule type="colorScale" priority="1">
      <colorScale>
        <cfvo type="num" val="15"/>
        <cfvo type="num" val="18"/>
        <color rgb="FFFCFCFF"/>
        <color rgb="FFF8696B"/>
      </colorScale>
    </cfRule>
  </conditionalFormatting>
  <conditionalFormatting sqref="Z3:Z65">
    <cfRule type="colorScale" priority="2">
      <colorScale>
        <cfvo type="num" val="15"/>
        <cfvo type="num" val="18"/>
        <color rgb="FFFCFCFF"/>
        <color rgb="FFF8696B"/>
      </colorScale>
    </cfRule>
  </conditionalFormatting>
  <pageMargins left="0.7" right="0.7" top="0.75" bottom="0.75" header="0.3" footer="0.3"/>
</worksheet>
</file>

<file path=xl/worksheets/sheet11.xml><?xml version="1.0" encoding="utf-8"?>
<worksheet xmlns="http://schemas.openxmlformats.org/spreadsheetml/2006/main">
  <sheetPr>
    <outlinePr summaryBelow="1" summaryRight="1"/>
    <pageSetUpPr fitToPage="1"/>
  </sheetPr>
  <dimension ref="A1:O16"/>
  <sheetViews>
    <sheetView zoomScaleNormal="100" workbookViewId="0">
      <selection activeCell="H15" sqref="H15"/>
    </sheetView>
  </sheetViews>
  <sheetFormatPr baseColWidth="8" defaultRowHeight="15"/>
  <cols>
    <col width="8.5703125" bestFit="1" customWidth="1" min="1" max="1"/>
    <col width="7.7109375" customWidth="1" min="2" max="2"/>
    <col width="10.5703125" customWidth="1" min="3" max="3"/>
    <col width="10.28515625" customWidth="1" min="4" max="4"/>
    <col width="13.28515625" bestFit="1" customWidth="1" min="5" max="5"/>
    <col width="10.140625" bestFit="1" customWidth="1" min="6" max="6"/>
    <col width="10.140625" customWidth="1" min="7" max="7"/>
    <col width="26.140625" bestFit="1" customWidth="1" min="8" max="8"/>
    <col width="9.140625" bestFit="1" customWidth="1" min="9" max="9"/>
    <col width="12.140625" bestFit="1" customWidth="1" min="10" max="10"/>
    <col width="14" bestFit="1" customWidth="1" min="11" max="11"/>
    <col width="20.28515625" bestFit="1" customWidth="1" min="12" max="12"/>
    <col width="19.42578125" bestFit="1" customWidth="1" min="13" max="13"/>
    <col width="22.85546875" bestFit="1" customWidth="1" min="14" max="14"/>
    <col width="43.28515625" customWidth="1" min="15" max="15"/>
  </cols>
  <sheetData>
    <row r="1" ht="26.25" customHeight="1">
      <c r="A1" s="156" t="inlineStr">
        <is>
          <t xml:space="preserve"> Chennai (Ennore)-Adani-Machine Average</t>
        </is>
      </c>
      <c r="B1" s="157" t="n"/>
      <c r="C1" s="157" t="n"/>
      <c r="D1" s="157" t="n"/>
      <c r="E1" s="157" t="n"/>
      <c r="F1" s="157" t="n"/>
      <c r="G1" s="157" t="n"/>
      <c r="H1" s="157" t="n"/>
      <c r="I1" s="157" t="n"/>
      <c r="J1" s="157" t="n"/>
      <c r="K1" s="157" t="n"/>
      <c r="L1" s="157" t="n"/>
      <c r="M1" s="157" t="n"/>
      <c r="N1" s="157" t="n"/>
      <c r="O1" s="157" t="n"/>
    </row>
    <row r="2" ht="19.5" customFormat="1" customHeight="1" s="98">
      <c r="A2" s="97" t="inlineStr">
        <is>
          <t>Machine</t>
        </is>
      </c>
      <c r="B2" s="97" t="inlineStr">
        <is>
          <t>Month</t>
        </is>
      </c>
      <c r="C2" s="97" t="inlineStr">
        <is>
          <t>Start HMR</t>
        </is>
      </c>
      <c r="D2" s="97" t="inlineStr">
        <is>
          <t>End HMR</t>
        </is>
      </c>
      <c r="E2" s="97" t="inlineStr">
        <is>
          <t>Total Running</t>
        </is>
      </c>
      <c r="F2" s="97" t="inlineStr">
        <is>
          <t>Diesel Qty</t>
        </is>
      </c>
      <c r="G2" s="97" t="inlineStr">
        <is>
          <t>Diesel Cap</t>
        </is>
      </c>
      <c r="H2" s="97" t="inlineStr">
        <is>
          <t>Diesel Average as per Adani</t>
        </is>
      </c>
      <c r="I2" s="97" t="inlineStr">
        <is>
          <t>Total B/D</t>
        </is>
      </c>
      <c r="J2" s="97" t="inlineStr">
        <is>
          <t>Allowed B/D</t>
        </is>
      </c>
      <c r="K2" s="97" t="inlineStr">
        <is>
          <t>B/D Deduction</t>
        </is>
      </c>
      <c r="L2" s="97" t="inlineStr">
        <is>
          <t>Container Start Count</t>
        </is>
      </c>
      <c r="M2" s="97" t="inlineStr">
        <is>
          <t>Container End Count</t>
        </is>
      </c>
      <c r="N2" s="97" t="inlineStr">
        <is>
          <t>Total Container Handled</t>
        </is>
      </c>
      <c r="O2" s="97" t="inlineStr">
        <is>
          <t>Remark</t>
        </is>
      </c>
    </row>
    <row r="3" ht="19.5" customHeight="1">
      <c r="A3" s="1" t="inlineStr">
        <is>
          <t>SANY</t>
        </is>
      </c>
      <c r="B3" s="49" t="n">
        <v>46023</v>
      </c>
      <c r="C3" s="1" t="n">
        <v>3555</v>
      </c>
      <c r="D3" s="1" t="n">
        <v>3903</v>
      </c>
      <c r="E3" s="1">
        <f>D3-C3</f>
        <v/>
      </c>
      <c r="F3" s="1" t="n">
        <v>4520</v>
      </c>
      <c r="G3" s="1" t="n">
        <v>18</v>
      </c>
      <c r="H3" s="95">
        <f>F3/E3</f>
        <v/>
      </c>
      <c r="I3" s="1" t="n">
        <v>12</v>
      </c>
      <c r="J3" s="1" t="n">
        <v>48</v>
      </c>
      <c r="K3" s="1" t="n">
        <v>0</v>
      </c>
      <c r="L3" s="1" t="n">
        <v>50519</v>
      </c>
      <c r="M3" s="1" t="n">
        <v>55459</v>
      </c>
      <c r="N3" s="1">
        <f>M3-L3</f>
        <v/>
      </c>
      <c r="O3" s="1" t="n"/>
    </row>
    <row r="4" ht="19.5" customHeight="1">
      <c r="A4" s="1" t="inlineStr">
        <is>
          <t>SANY</t>
        </is>
      </c>
      <c r="B4" s="49" t="n">
        <v>46054</v>
      </c>
      <c r="C4" s="1">
        <f>D3</f>
        <v/>
      </c>
      <c r="D4" s="1" t="n">
        <v>4211</v>
      </c>
      <c r="E4" s="1">
        <f>D4-C4</f>
        <v/>
      </c>
      <c r="F4" s="1" t="n">
        <v>3792</v>
      </c>
      <c r="G4" s="1" t="n">
        <v>18</v>
      </c>
      <c r="H4" s="95">
        <f>F4/E4</f>
        <v/>
      </c>
      <c r="I4" s="1" t="n">
        <v>24</v>
      </c>
      <c r="J4" s="1" t="n">
        <v>48</v>
      </c>
      <c r="K4" s="1" t="n">
        <v>0</v>
      </c>
      <c r="L4" s="1">
        <f>M3</f>
        <v/>
      </c>
      <c r="M4" s="1" t="n">
        <v>59722</v>
      </c>
      <c r="N4" s="1">
        <f>M4-L4</f>
        <v/>
      </c>
      <c r="O4" s="99" t="inlineStr">
        <is>
          <t>CN Issued of RS.1000-1 Day due to No Operator</t>
        </is>
      </c>
    </row>
    <row r="5" ht="19.5" customHeight="1">
      <c r="A5" s="1" t="inlineStr">
        <is>
          <t>SANY</t>
        </is>
      </c>
      <c r="B5" s="49" t="n">
        <v>46082</v>
      </c>
      <c r="C5" s="1">
        <f>D4</f>
        <v/>
      </c>
      <c r="D5" s="1" t="n">
        <v>4620</v>
      </c>
      <c r="E5" s="1">
        <f>D5-C5</f>
        <v/>
      </c>
      <c r="F5" s="1" t="n">
        <v>5320</v>
      </c>
      <c r="G5" s="1" t="n">
        <v>18</v>
      </c>
      <c r="H5" s="95">
        <f>F5/E5</f>
        <v/>
      </c>
      <c r="I5" s="1" t="n">
        <v>24</v>
      </c>
      <c r="J5" s="1" t="n">
        <v>48</v>
      </c>
      <c r="K5" s="1" t="n">
        <v>0</v>
      </c>
      <c r="L5" s="1">
        <f>M4</f>
        <v/>
      </c>
      <c r="M5" s="1" t="n">
        <v>65308</v>
      </c>
      <c r="N5" s="1">
        <f>M5-L5</f>
        <v/>
      </c>
      <c r="O5" s="99" t="inlineStr">
        <is>
          <t>CN Issued of RS.2000-2 Day due to No Operator</t>
        </is>
      </c>
    </row>
    <row r="6" ht="19.5" customHeight="1">
      <c r="A6" s="1" t="inlineStr">
        <is>
          <t>SANY</t>
        </is>
      </c>
      <c r="B6" s="49" t="n">
        <v>46113</v>
      </c>
      <c r="C6" s="1">
        <f>D5</f>
        <v/>
      </c>
      <c r="D6" s="1" t="n">
        <v>5023</v>
      </c>
      <c r="E6" s="1">
        <f>D6-C6</f>
        <v/>
      </c>
      <c r="F6" s="1" t="n">
        <v>5222</v>
      </c>
      <c r="G6" s="1" t="n">
        <v>18</v>
      </c>
      <c r="H6" s="95">
        <f>F6/E6</f>
        <v/>
      </c>
      <c r="I6" s="1" t="n">
        <v>60</v>
      </c>
      <c r="J6" s="1" t="n">
        <v>48</v>
      </c>
      <c r="K6" s="1">
        <f>I6-J6</f>
        <v/>
      </c>
      <c r="L6" s="1">
        <f>M5</f>
        <v/>
      </c>
      <c r="M6" s="1" t="n">
        <v>70859</v>
      </c>
      <c r="N6" s="1">
        <f>M6-L6</f>
        <v/>
      </c>
      <c r="O6" s="1" t="n"/>
    </row>
    <row r="7" ht="19.5" customHeight="1">
      <c r="A7" s="1" t="inlineStr">
        <is>
          <t>SANY</t>
        </is>
      </c>
      <c r="B7" s="49" t="n">
        <v>46143</v>
      </c>
      <c r="C7" s="1">
        <f>D6</f>
        <v/>
      </c>
      <c r="D7" s="1" t="n">
        <v>5478</v>
      </c>
      <c r="E7" s="1">
        <f>D7-C7</f>
        <v/>
      </c>
      <c r="F7" s="1" t="n">
        <v>5366</v>
      </c>
      <c r="G7" s="1" t="n">
        <v>18</v>
      </c>
      <c r="H7" s="95">
        <f>F7/E7</f>
        <v/>
      </c>
      <c r="I7" s="1" t="n">
        <v>24</v>
      </c>
      <c r="J7" s="1" t="n">
        <v>48</v>
      </c>
      <c r="K7" s="1" t="n">
        <v>0</v>
      </c>
      <c r="L7" s="1">
        <f>M6</f>
        <v/>
      </c>
      <c r="M7" s="1" t="n">
        <v>77187</v>
      </c>
      <c r="N7" s="1">
        <f>M7-L7</f>
        <v/>
      </c>
      <c r="O7" s="1" t="n"/>
    </row>
    <row r="8" ht="19.5" customHeight="1">
      <c r="A8" s="1" t="inlineStr">
        <is>
          <t>SANY</t>
        </is>
      </c>
      <c r="B8" s="49" t="n">
        <v>46174</v>
      </c>
      <c r="C8" s="1">
        <f>D7</f>
        <v/>
      </c>
      <c r="D8" s="1" t="n">
        <v>5891</v>
      </c>
      <c r="E8" s="1">
        <f>D8-C8</f>
        <v/>
      </c>
      <c r="F8" s="1" t="n">
        <v>5220</v>
      </c>
      <c r="G8" s="1" t="n">
        <v>18</v>
      </c>
      <c r="H8" s="95">
        <f>F8/E8</f>
        <v/>
      </c>
      <c r="I8" s="1" t="n"/>
      <c r="J8" s="1" t="n"/>
      <c r="K8" s="1">
        <f>I8-J8</f>
        <v/>
      </c>
      <c r="L8" s="1">
        <f>M7</f>
        <v/>
      </c>
      <c r="M8" s="1" t="n">
        <v>82870</v>
      </c>
      <c r="N8" s="1">
        <f>M8-L8</f>
        <v/>
      </c>
      <c r="O8" s="1" t="n"/>
    </row>
    <row r="9" ht="19.5" customHeight="1">
      <c r="A9" s="1" t="inlineStr">
        <is>
          <t>HYSTER</t>
        </is>
      </c>
      <c r="B9" s="49" t="n">
        <v>46023</v>
      </c>
      <c r="C9" s="1" t="n">
        <v>2280</v>
      </c>
      <c r="D9" s="1" t="n">
        <v>2528</v>
      </c>
      <c r="E9" s="1">
        <f>D9-C9</f>
        <v/>
      </c>
      <c r="F9" s="1" t="n">
        <v>3930</v>
      </c>
      <c r="G9" s="1" t="n">
        <v>18</v>
      </c>
      <c r="H9" s="95">
        <f>F9/E9</f>
        <v/>
      </c>
      <c r="I9" s="1" t="n">
        <v>12</v>
      </c>
      <c r="J9" s="1" t="n">
        <v>48</v>
      </c>
      <c r="K9" s="1" t="n">
        <v>0</v>
      </c>
      <c r="L9" s="1" t="n">
        <v>36810</v>
      </c>
      <c r="M9" s="1" t="n">
        <v>41094</v>
      </c>
      <c r="N9" s="1">
        <f>M9-L9</f>
        <v/>
      </c>
      <c r="O9" s="1" t="n"/>
    </row>
    <row r="10" ht="19.5" customHeight="1">
      <c r="A10" s="1" t="inlineStr">
        <is>
          <t>HYSTER</t>
        </is>
      </c>
      <c r="B10" s="49" t="n">
        <v>46054</v>
      </c>
      <c r="C10" s="1">
        <f>D9</f>
        <v/>
      </c>
      <c r="D10" s="1" t="n">
        <v>2839</v>
      </c>
      <c r="E10" s="1">
        <f>D10-C10</f>
        <v/>
      </c>
      <c r="F10" s="1" t="n">
        <v>4530</v>
      </c>
      <c r="G10" s="1" t="n">
        <v>18</v>
      </c>
      <c r="H10" s="95">
        <f>F10/E10</f>
        <v/>
      </c>
      <c r="I10" s="96" t="n">
        <v>0.7840277777777778</v>
      </c>
      <c r="J10" s="1" t="n">
        <v>48</v>
      </c>
      <c r="K10" s="1" t="n">
        <v>0</v>
      </c>
      <c r="L10" s="1">
        <f>M9</f>
        <v/>
      </c>
      <c r="M10" s="1" t="n">
        <v>46011</v>
      </c>
      <c r="N10" s="1">
        <f>M10-L10</f>
        <v/>
      </c>
      <c r="O10" s="1" t="n"/>
    </row>
    <row r="11" ht="19.5" customHeight="1">
      <c r="A11" s="1" t="inlineStr">
        <is>
          <t>HYSTER</t>
        </is>
      </c>
      <c r="B11" s="49" t="n">
        <v>46082</v>
      </c>
      <c r="C11" s="1">
        <f>D10</f>
        <v/>
      </c>
      <c r="D11" s="1" t="n">
        <v>3136</v>
      </c>
      <c r="E11" s="1">
        <f>D11-C11</f>
        <v/>
      </c>
      <c r="F11" s="1" t="n">
        <v>4900</v>
      </c>
      <c r="G11" s="1" t="n">
        <v>18</v>
      </c>
      <c r="H11" s="95">
        <f>F11/E11</f>
        <v/>
      </c>
      <c r="I11" s="1" t="n">
        <v>0</v>
      </c>
      <c r="J11" s="1" t="n">
        <v>48</v>
      </c>
      <c r="K11" s="1" t="n">
        <v>0</v>
      </c>
      <c r="L11" s="1">
        <f>M10</f>
        <v/>
      </c>
      <c r="M11" s="1" t="n">
        <v>50713</v>
      </c>
      <c r="N11" s="1">
        <f>M11-L11</f>
        <v/>
      </c>
      <c r="O11" s="1" t="n"/>
    </row>
    <row r="12" ht="19.5" customHeight="1">
      <c r="A12" s="1" t="inlineStr">
        <is>
          <t>HYSTER</t>
        </is>
      </c>
      <c r="B12" s="49" t="n">
        <v>46113</v>
      </c>
      <c r="C12" s="1">
        <f>D11</f>
        <v/>
      </c>
      <c r="D12" s="1" t="n">
        <v>3413</v>
      </c>
      <c r="E12" s="1">
        <f>D12-C12</f>
        <v/>
      </c>
      <c r="F12" s="1" t="n">
        <v>3726</v>
      </c>
      <c r="G12" s="1" t="n">
        <v>18</v>
      </c>
      <c r="H12" s="95">
        <f>F12/E12</f>
        <v/>
      </c>
      <c r="I12" s="96" t="n">
        <v>0.3888888888888889</v>
      </c>
      <c r="J12" s="1" t="n">
        <v>48</v>
      </c>
      <c r="K12" s="1" t="n">
        <v>0</v>
      </c>
      <c r="L12" s="1">
        <f>M11</f>
        <v/>
      </c>
      <c r="M12" s="1" t="n">
        <v>55075</v>
      </c>
      <c r="N12" s="1">
        <f>M12-L12</f>
        <v/>
      </c>
      <c r="O12" s="1" t="n"/>
    </row>
    <row r="13" ht="19.5" customHeight="1">
      <c r="A13" s="1" t="inlineStr">
        <is>
          <t>HYSTER</t>
        </is>
      </c>
      <c r="B13" s="49" t="n">
        <v>46143</v>
      </c>
      <c r="C13" s="1">
        <f>D12</f>
        <v/>
      </c>
      <c r="D13" s="1" t="n">
        <v>3752</v>
      </c>
      <c r="E13" s="1">
        <f>D13-C13</f>
        <v/>
      </c>
      <c r="F13" s="1" t="n">
        <v>5299</v>
      </c>
      <c r="G13" s="1" t="n">
        <v>18</v>
      </c>
      <c r="H13" s="95">
        <f>F13/E13</f>
        <v/>
      </c>
      <c r="I13" s="1" t="n"/>
      <c r="J13" s="1" t="n"/>
      <c r="K13" s="1">
        <f>I13-J13</f>
        <v/>
      </c>
      <c r="L13" s="1">
        <f>M12</f>
        <v/>
      </c>
      <c r="M13" s="1" t="n">
        <v>60024</v>
      </c>
      <c r="N13" s="1">
        <f>M13-L13</f>
        <v/>
      </c>
      <c r="O13" s="1" t="n"/>
    </row>
    <row r="14" ht="19.5" customHeight="1">
      <c r="A14" s="1" t="inlineStr">
        <is>
          <t>HYSTER</t>
        </is>
      </c>
      <c r="B14" s="49" t="n">
        <v>46174</v>
      </c>
      <c r="C14" s="1">
        <f>D13</f>
        <v/>
      </c>
      <c r="D14" s="1" t="n">
        <v>4083</v>
      </c>
      <c r="E14" s="1">
        <f>D14-C14</f>
        <v/>
      </c>
      <c r="F14" s="1" t="n">
        <v>4708</v>
      </c>
      <c r="G14" s="1" t="n">
        <v>18</v>
      </c>
      <c r="H14" s="95">
        <f>F14/E14</f>
        <v/>
      </c>
      <c r="I14" s="1" t="n"/>
      <c r="J14" s="1" t="n"/>
      <c r="K14" s="1">
        <f>I14-J14</f>
        <v/>
      </c>
      <c r="L14" s="1">
        <f>M13</f>
        <v/>
      </c>
      <c r="M14" s="1" t="n">
        <v>64955</v>
      </c>
      <c r="N14" s="1">
        <f>M14-L14</f>
        <v/>
      </c>
      <c r="O14" s="1" t="n"/>
    </row>
    <row r="15" ht="19.5" customHeight="1">
      <c r="A15" s="1" t="inlineStr">
        <is>
          <t>HYSTER</t>
        </is>
      </c>
      <c r="B15" s="49" t="n">
        <v>46204</v>
      </c>
      <c r="C15" s="1">
        <f>D14</f>
        <v/>
      </c>
      <c r="D15" s="1" t="n"/>
      <c r="E15" s="1">
        <f>D15-C15</f>
        <v/>
      </c>
      <c r="F15" s="1" t="n"/>
      <c r="G15" s="1" t="n">
        <v>18</v>
      </c>
      <c r="H15" s="95">
        <f>F15/E15</f>
        <v/>
      </c>
      <c r="I15" s="1" t="n"/>
      <c r="J15" s="1" t="n"/>
      <c r="K15" s="1">
        <f>I15-J15</f>
        <v/>
      </c>
      <c r="L15" s="1">
        <f>M14</f>
        <v/>
      </c>
      <c r="M15" s="1" t="n"/>
      <c r="N15" s="1">
        <f>M15-L15</f>
        <v/>
      </c>
      <c r="O15" s="1" t="n"/>
    </row>
    <row r="16">
      <c r="A16" s="1" t="inlineStr">
        <is>
          <t>SANY</t>
        </is>
      </c>
      <c r="B16" s="49" t="n">
        <v>46204</v>
      </c>
      <c r="C16" s="1">
        <f>D8</f>
        <v/>
      </c>
      <c r="D16" s="1" t="n"/>
      <c r="E16" s="1">
        <f>D16-C16</f>
        <v/>
      </c>
      <c r="F16" s="1" t="n"/>
      <c r="G16" s="1" t="n">
        <v>18</v>
      </c>
      <c r="H16" s="95">
        <f>F16/E16</f>
        <v/>
      </c>
      <c r="I16" s="1" t="n"/>
      <c r="J16" s="1" t="n"/>
      <c r="K16" s="1">
        <f>I16-J16</f>
        <v/>
      </c>
      <c r="L16" s="1">
        <f>M8</f>
        <v/>
      </c>
      <c r="M16" s="1" t="n"/>
      <c r="N16" s="1">
        <f>M16-L16</f>
        <v/>
      </c>
      <c r="O16" s="1" t="n"/>
    </row>
  </sheetData>
  <mergeCells count="1">
    <mergeCell ref="A1:O1"/>
  </mergeCells>
  <pageMargins left="0.17" right="0.17" top="0.7480314960629921" bottom="0.7480314960629921" header="0.3149606299212598" footer="0.3149606299212598"/>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annu singh chauhan</dc:creator>
  <dcterms:created xmlns:dcterms="http://purl.org/dc/terms/" xmlns:xsi="http://www.w3.org/2001/XMLSchema-instance" xsi:type="dcterms:W3CDTF">2023-09-11T08:35:48Z</dcterms:created>
  <dcterms:modified xmlns:dcterms="http://purl.org/dc/terms/" xmlns:xsi="http://www.w3.org/2001/XMLSchema-instance" xsi:type="dcterms:W3CDTF">2026-09-28T06:25:02Z</dcterms:modified>
  <cp:lastModifiedBy>MIS.TEAM</cp:lastModifiedBy>
  <cp:lastPrinted>2026-09-03T10:50:55Z</cp:lastPrinted>
</cp:coreProperties>
</file>