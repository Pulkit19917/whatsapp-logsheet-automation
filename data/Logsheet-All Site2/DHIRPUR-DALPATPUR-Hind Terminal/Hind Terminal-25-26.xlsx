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733" firstSheet="0" activeTab="11" autoFilterDateGrouping="1"/>
  </bookViews>
  <sheets>
    <sheet xmlns:r="http://schemas.openxmlformats.org/officeDocument/2006/relationships" name="PO" sheetId="1" state="visible" r:id="rId1"/>
    <sheet xmlns:r="http://schemas.openxmlformats.org/officeDocument/2006/relationships" name="NOV-25" sheetId="2" state="visible" r:id="rId2"/>
    <sheet xmlns:r="http://schemas.openxmlformats.org/officeDocument/2006/relationships" name="DEC-25" sheetId="3" state="visible" r:id="rId3"/>
    <sheet xmlns:r="http://schemas.openxmlformats.org/officeDocument/2006/relationships" name="JAN-2026" sheetId="4" state="visible" r:id="rId4"/>
    <sheet xmlns:r="http://schemas.openxmlformats.org/officeDocument/2006/relationships" name="FEB-26" sheetId="5" state="visible" r:id="rId5"/>
    <sheet xmlns:r="http://schemas.openxmlformats.org/officeDocument/2006/relationships" name="MAR26" sheetId="6" state="visible" r:id="rId6"/>
    <sheet xmlns:r="http://schemas.openxmlformats.org/officeDocument/2006/relationships" name="APR-26" sheetId="7" state="visible" r:id="rId7"/>
    <sheet xmlns:r="http://schemas.openxmlformats.org/officeDocument/2006/relationships" name="May-26" sheetId="8" state="visible" r:id="rId8"/>
    <sheet xmlns:r="http://schemas.openxmlformats.org/officeDocument/2006/relationships" name="JUNE-26" sheetId="9" state="visible" r:id="rId9"/>
    <sheet xmlns:r="http://schemas.openxmlformats.org/officeDocument/2006/relationships" name="July-26" sheetId="10" state="visible" r:id="rId10"/>
    <sheet xmlns:r="http://schemas.openxmlformats.org/officeDocument/2006/relationships" name="Aug-26" sheetId="11" state="visible" r:id="rId11"/>
    <sheet xmlns:r="http://schemas.openxmlformats.org/officeDocument/2006/relationships" name="Sep-26" sheetId="12" state="visible" r:id="rId12"/>
    <sheet xmlns:r="http://schemas.openxmlformats.org/officeDocument/2006/relationships" name="SUMMARY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Times New Roman"/>
      <family val="1"/>
      <color rgb="FF000000"/>
      <sz val="12"/>
    </font>
    <font>
      <name val="Arial"/>
      <family val="2"/>
      <color rgb="FF222222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</fonts>
  <fills count="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1" fillId="0" borderId="0"/>
    <xf numFmtId="0" fontId="2" fillId="2" borderId="0"/>
    <xf numFmtId="0" fontId="9" fillId="0" borderId="0"/>
  </cellStyleXfs>
  <cellXfs count="141">
    <xf numFmtId="0" fontId="0" fillId="0" borderId="0" pivotButton="0" quotePrefix="0" xfId="0"/>
    <xf numFmtId="1" fontId="0" fillId="0" borderId="1" applyAlignment="1" pivotButton="0" quotePrefix="0" xfId="0">
      <alignment horizontal="center" vertical="center"/>
    </xf>
    <xf numFmtId="0" fontId="4" fillId="4" borderId="1" applyAlignment="1" pivotButton="0" quotePrefix="0" xfId="1">
      <alignment horizontal="center" vertical="center" wrapText="1"/>
    </xf>
    <xf numFmtId="14" fontId="3" fillId="5" borderId="1" applyAlignment="1" pivotButton="0" quotePrefix="0" xfId="1">
      <alignment horizontal="center" vertical="center"/>
    </xf>
    <xf numFmtId="0" fontId="1" fillId="5" borderId="1" applyAlignment="1" pivotButton="0" quotePrefix="0" xfId="0">
      <alignment horizontal="center"/>
    </xf>
    <xf numFmtId="0" fontId="0" fillId="5" borderId="1" applyAlignment="1" pivotButton="0" quotePrefix="0" xfId="1">
      <alignment horizontal="center" vertical="center" wrapText="1"/>
    </xf>
    <xf numFmtId="1" fontId="1" fillId="5" borderId="1" applyAlignment="1" pivotButton="0" quotePrefix="0" xfId="0">
      <alignment horizontal="center"/>
    </xf>
    <xf numFmtId="20" fontId="1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" fontId="0" fillId="5" borderId="1" applyAlignment="1" pivotButton="0" quotePrefix="0" xfId="0">
      <alignment horizontal="center"/>
    </xf>
    <xf numFmtId="2" fontId="4" fillId="4" borderId="1" applyAlignment="1" pivotButton="0" quotePrefix="0" xfId="1">
      <alignment horizontal="center" vertical="center" wrapText="1"/>
    </xf>
    <xf numFmtId="2" fontId="4" fillId="4" borderId="1" applyAlignment="1" pivotButton="0" quotePrefix="0" xfId="1">
      <alignment horizontal="center" vertical="center"/>
    </xf>
    <xf numFmtId="14" fontId="3" fillId="4" borderId="1" applyAlignment="1" pivotButton="0" quotePrefix="0" xfId="1">
      <alignment horizontal="center" vertical="center"/>
    </xf>
    <xf numFmtId="0" fontId="4" fillId="4" borderId="1" applyAlignment="1" pivotButton="0" quotePrefix="0" xfId="1">
      <alignment horizontal="center" vertical="center"/>
    </xf>
    <xf numFmtId="1" fontId="4" fillId="4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5" borderId="5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4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/>
    </xf>
    <xf numFmtId="20" fontId="0" fillId="6" borderId="1" applyAlignment="1" pivotButton="0" quotePrefix="0" xfId="0">
      <alignment horizontal="center"/>
    </xf>
    <xf numFmtId="20" fontId="1" fillId="6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7" borderId="1" applyAlignment="1" pivotButton="0" quotePrefix="0" xfId="1">
      <alignment horizontal="center" vertical="center" wrapText="1"/>
    </xf>
    <xf numFmtId="2" fontId="3" fillId="7" borderId="1" applyAlignment="1" pivotButton="0" quotePrefix="0" xfId="1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0" fontId="4" fillId="6" borderId="1" applyAlignment="1" pivotButton="0" quotePrefix="0" xfId="1">
      <alignment horizontal="center" vertical="center" wrapText="1"/>
    </xf>
    <xf numFmtId="0" fontId="3" fillId="6" borderId="1" applyAlignment="1" pivotButton="0" quotePrefix="0" xfId="1">
      <alignment horizontal="center" vertical="center" wrapText="1"/>
    </xf>
    <xf numFmtId="2" fontId="1" fillId="6" borderId="1" applyAlignment="1" pivotButton="0" quotePrefix="0" xfId="0">
      <alignment horizontal="center"/>
    </xf>
    <xf numFmtId="2" fontId="4" fillId="6" borderId="1" applyAlignment="1" pivotButton="0" quotePrefix="0" xfId="1">
      <alignment horizontal="center" vertical="center"/>
    </xf>
    <xf numFmtId="2" fontId="4" fillId="6" borderId="1" applyAlignment="1" pivotButton="0" quotePrefix="0" xfId="1">
      <alignment horizontal="center" vertical="center" wrapText="1"/>
    </xf>
    <xf numFmtId="2" fontId="3" fillId="6" borderId="1" applyAlignment="1" pivotButton="0" quotePrefix="0" xfId="1">
      <alignment horizontal="center" vertical="center" wrapText="1"/>
    </xf>
    <xf numFmtId="164" fontId="4" fillId="6" borderId="1" applyAlignment="1" pivotButton="0" quotePrefix="0" xfId="1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2" fontId="0" fillId="5" borderId="1" applyAlignment="1" pivotButton="0" quotePrefix="0" xfId="0">
      <alignment horizontal="center"/>
    </xf>
    <xf numFmtId="0" fontId="9" fillId="0" borderId="0" pivotButton="0" quotePrefix="0" xfId="2"/>
    <xf numFmtId="2" fontId="0" fillId="0" borderId="0" pivotButton="0" quotePrefix="0" xfId="0"/>
    <xf numFmtId="164" fontId="4" fillId="4" borderId="1" applyAlignment="1" pivotButton="0" quotePrefix="0" xfId="1">
      <alignment horizontal="center" vertical="center"/>
    </xf>
    <xf numFmtId="0" fontId="10" fillId="0" borderId="0" pivotButton="0" quotePrefix="0" xfId="0"/>
    <xf numFmtId="1" fontId="0" fillId="0" borderId="0" pivotButton="0" quotePrefix="0" xfId="0"/>
    <xf numFmtId="0" fontId="3" fillId="7" borderId="2" applyAlignment="1" pivotButton="0" quotePrefix="0" xfId="1">
      <alignment horizontal="center" vertical="center" wrapText="1"/>
    </xf>
    <xf numFmtId="0" fontId="1" fillId="5" borderId="2" applyAlignment="1" pivotButton="0" quotePrefix="0" xfId="0">
      <alignment horizontal="center"/>
    </xf>
    <xf numFmtId="14" fontId="3" fillId="4" borderId="2" applyAlignment="1" pivotButton="0" quotePrefix="0" xfId="1">
      <alignment horizontal="center" vertical="center"/>
    </xf>
    <xf numFmtId="17" fontId="4" fillId="4" borderId="7" applyAlignment="1" pivotButton="0" quotePrefix="0" xfId="1">
      <alignment horizontal="center" vertical="center" wrapText="1"/>
    </xf>
    <xf numFmtId="0" fontId="4" fillId="6" borderId="8" applyAlignment="1" pivotButton="0" quotePrefix="0" xfId="1">
      <alignment horizontal="center" vertical="center" wrapText="1"/>
    </xf>
    <xf numFmtId="0" fontId="3" fillId="7" borderId="7" applyAlignment="1" pivotButton="0" quotePrefix="0" xfId="1">
      <alignment horizontal="center" vertical="center" wrapText="1"/>
    </xf>
    <xf numFmtId="0" fontId="3" fillId="6" borderId="8" applyAlignment="1" pivotButton="0" quotePrefix="0" xfId="1">
      <alignment horizontal="center" vertical="center" wrapText="1"/>
    </xf>
    <xf numFmtId="14" fontId="3" fillId="5" borderId="7" applyAlignment="1" pivotButton="0" quotePrefix="0" xfId="1">
      <alignment horizontal="center" vertical="center"/>
    </xf>
    <xf numFmtId="14" fontId="3" fillId="4" borderId="9" applyAlignment="1" pivotButton="0" quotePrefix="0" xfId="1">
      <alignment horizontal="center" vertical="center"/>
    </xf>
    <xf numFmtId="14" fontId="3" fillId="4" borderId="10" applyAlignment="1" pivotButton="0" quotePrefix="0" xfId="1">
      <alignment horizontal="center" vertical="center"/>
    </xf>
    <xf numFmtId="0" fontId="4" fillId="4" borderId="10" applyAlignment="1" pivotButton="0" quotePrefix="0" xfId="1">
      <alignment horizontal="center" vertical="center"/>
    </xf>
    <xf numFmtId="1" fontId="4" fillId="4" borderId="10" applyAlignment="1" pivotButton="0" quotePrefix="0" xfId="1">
      <alignment horizontal="center" vertical="center"/>
    </xf>
    <xf numFmtId="2" fontId="4" fillId="4" borderId="10" applyAlignment="1" pivotButton="0" quotePrefix="0" xfId="1">
      <alignment horizontal="center" vertical="center"/>
    </xf>
    <xf numFmtId="2" fontId="4" fillId="6" borderId="11" applyAlignment="1" pivotButton="0" quotePrefix="0" xfId="1">
      <alignment horizontal="center" vertical="center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1">
      <alignment horizontal="center" vertical="center" wrapText="1"/>
    </xf>
    <xf numFmtId="1" fontId="3" fillId="5" borderId="1" applyAlignment="1" pivotButton="0" quotePrefix="0" xfId="0">
      <alignment horizontal="center"/>
    </xf>
    <xf numFmtId="20" fontId="3" fillId="5" borderId="1" applyAlignment="1" pivotButton="0" quotePrefix="0" xfId="0">
      <alignment horizontal="center"/>
    </xf>
    <xf numFmtId="20" fontId="3" fillId="6" borderId="1" applyAlignment="1" pivotButton="0" quotePrefix="0" xfId="0">
      <alignment horizontal="center"/>
    </xf>
    <xf numFmtId="2" fontId="3" fillId="6" borderId="8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5" borderId="5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1" fontId="1" fillId="6" borderId="1" applyAlignment="1" pivotButton="0" quotePrefix="0" xfId="0">
      <alignment horizontal="center"/>
    </xf>
    <xf numFmtId="0" fontId="3" fillId="5" borderId="12" applyAlignment="1" pivotButton="0" quotePrefix="0" xfId="0">
      <alignment horizontal="center"/>
    </xf>
    <xf numFmtId="1" fontId="3" fillId="5" borderId="12" applyAlignment="1" pivotButton="0" quotePrefix="0" xfId="0">
      <alignment horizontal="center"/>
    </xf>
    <xf numFmtId="20" fontId="3" fillId="5" borderId="12" applyAlignment="1" pivotButton="0" quotePrefix="0" xfId="0">
      <alignment horizontal="center"/>
    </xf>
    <xf numFmtId="20" fontId="3" fillId="6" borderId="12" applyAlignment="1" pivotButton="0" quotePrefix="0" xfId="0">
      <alignment horizontal="center"/>
    </xf>
    <xf numFmtId="2" fontId="3" fillId="6" borderId="13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4" fillId="4" borderId="6" applyAlignment="1" pivotButton="0" quotePrefix="0" xfId="1">
      <alignment horizontal="center" vertical="center" wrapText="1"/>
    </xf>
    <xf numFmtId="0" fontId="4" fillId="4" borderId="2" applyAlignment="1" pivotButton="0" quotePrefix="0" xfId="1">
      <alignment horizontal="center" vertical="center" wrapText="1"/>
    </xf>
    <xf numFmtId="1" fontId="0" fillId="0" borderId="15" applyAlignment="1" pivotButton="0" quotePrefix="0" xfId="0">
      <alignment horizontal="center" vertical="center"/>
    </xf>
    <xf numFmtId="2" fontId="0" fillId="3" borderId="15" applyAlignment="1" pivotButton="0" quotePrefix="0" xfId="0">
      <alignment horizontal="center"/>
    </xf>
    <xf numFmtId="0" fontId="3" fillId="3" borderId="17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3" fillId="3" borderId="19" applyAlignment="1" pivotButton="0" quotePrefix="0" xfId="0">
      <alignment horizontal="center" vertical="center" wrapText="1"/>
    </xf>
    <xf numFmtId="2" fontId="0" fillId="0" borderId="15" applyAlignment="1" pivotButton="0" quotePrefix="0" xfId="0">
      <alignment horizontal="center"/>
    </xf>
    <xf numFmtId="2" fontId="0" fillId="5" borderId="15" applyAlignment="1" pivotButton="0" quotePrefix="0" xfId="0">
      <alignment horizontal="center"/>
    </xf>
    <xf numFmtId="1" fontId="0" fillId="5" borderId="15" applyAlignment="1" pivotButton="0" quotePrefix="0" xfId="0">
      <alignment horizontal="center"/>
    </xf>
    <xf numFmtId="0" fontId="3" fillId="3" borderId="20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17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vertical="center" wrapText="1"/>
    </xf>
    <xf numFmtId="17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vertical="center" wrapText="1"/>
    </xf>
    <xf numFmtId="17" fontId="0" fillId="0" borderId="9" applyAlignment="1" pivotButton="0" quotePrefix="0" xfId="0">
      <alignment horizontal="center"/>
    </xf>
    <xf numFmtId="1" fontId="0" fillId="0" borderId="10" applyAlignment="1" pivotButton="0" quotePrefix="0" xfId="0">
      <alignment horizontal="center" vertical="center"/>
    </xf>
    <xf numFmtId="2" fontId="0" fillId="3" borderId="10" applyAlignment="1" pivotButton="0" quotePrefix="0" xfId="0">
      <alignment horizontal="center"/>
    </xf>
    <xf numFmtId="2" fontId="0" fillId="0" borderId="10" applyAlignment="1" pivotButton="0" quotePrefix="0" xfId="0">
      <alignment horizontal="center"/>
    </xf>
    <xf numFmtId="2" fontId="0" fillId="5" borderId="10" applyAlignment="1" pivotButton="0" quotePrefix="0" xfId="0">
      <alignment horizontal="center"/>
    </xf>
    <xf numFmtId="1" fontId="0" fillId="5" borderId="10" applyAlignment="1" pivotButton="0" quotePrefix="0" xfId="0">
      <alignment horizontal="center"/>
    </xf>
    <xf numFmtId="0" fontId="0" fillId="0" borderId="11" applyAlignment="1" pivotButton="0" quotePrefix="0" xfId="0">
      <alignment vertical="center" wrapText="1"/>
    </xf>
    <xf numFmtId="1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4" fillId="4" borderId="2" applyAlignment="1" pivotButton="0" quotePrefix="0" xfId="1">
      <alignment vertical="center"/>
    </xf>
    <xf numFmtId="2" fontId="4" fillId="4" borderId="1" applyAlignment="1" pivotButton="0" quotePrefix="0" xfId="1">
      <alignment vertical="center"/>
    </xf>
    <xf numFmtId="164" fontId="4" fillId="4" borderId="10" applyAlignment="1" pivotButton="0" quotePrefix="0" xfId="1">
      <alignment horizontal="center" vertical="center"/>
    </xf>
    <xf numFmtId="0" fontId="1" fillId="0" borderId="1" applyAlignment="1" pivotButton="0" quotePrefix="0" xfId="0">
      <alignment horizontal="center"/>
    </xf>
    <xf numFmtId="17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 vertical="center"/>
    </xf>
    <xf numFmtId="2" fontId="0" fillId="3" borderId="0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1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2" fontId="3" fillId="6" borderId="6" applyAlignment="1" pivotButton="0" quotePrefix="0" xfId="0">
      <alignment horizontal="center"/>
    </xf>
    <xf numFmtId="2" fontId="4" fillId="6" borderId="23" applyAlignment="1" pivotButton="0" quotePrefix="0" xfId="1">
      <alignment horizontal="center" vertical="center"/>
    </xf>
    <xf numFmtId="0" fontId="4" fillId="4" borderId="1" applyAlignment="1" pivotButton="0" quotePrefix="0" xfId="1">
      <alignment vertical="center" wrapText="1"/>
    </xf>
    <xf numFmtId="0" fontId="4" fillId="4" borderId="1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2" pivotButton="0" quotePrefix="0" xfId="0"/>
    <xf numFmtId="0" fontId="4" fillId="4" borderId="2" applyAlignment="1" pivotButton="0" quotePrefix="0" xfId="1">
      <alignment horizontal="center" vertical="center" wrapText="1"/>
    </xf>
    <xf numFmtId="0" fontId="6" fillId="3" borderId="1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4" applyAlignment="1" pivotButton="0" quotePrefix="0" xfId="0">
      <alignment horizontal="center"/>
    </xf>
    <xf numFmtId="0" fontId="11" fillId="3" borderId="14" applyAlignment="1" pivotButton="0" quotePrefix="0" xfId="0">
      <alignment horizontal="center"/>
    </xf>
    <xf numFmtId="0" fontId="3" fillId="3" borderId="14" applyAlignment="1" pivotButton="0" quotePrefix="0" xfId="0">
      <alignment horizontal="center" vertical="center" wrapText="1"/>
    </xf>
    <xf numFmtId="0" fontId="0" fillId="0" borderId="16" pivotButton="0" quotePrefix="0" xfId="0"/>
  </cellXfs>
  <cellStyles count="3">
    <cellStyle name="Normal" xfId="0" builtinId="0"/>
    <cellStyle name="Good" xfId="1" builtinId="26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ahil.jain@hindterminals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6.7109375" bestFit="1" customWidth="1" min="1" max="1"/>
    <col width="59.7109375" bestFit="1" customWidth="1" style="16" min="2" max="2"/>
    <col width="24.42578125" bestFit="1" customWidth="1" min="5" max="5"/>
  </cols>
  <sheetData>
    <row r="1" ht="15.75" customHeight="1">
      <c r="A1" s="18" t="inlineStr">
        <is>
          <t>Company Name</t>
        </is>
      </c>
      <c r="B1" s="26" t="n"/>
    </row>
    <row r="2" ht="15.75" customHeight="1">
      <c r="A2" s="18" t="inlineStr">
        <is>
          <t>Site Location</t>
        </is>
      </c>
      <c r="B2" s="26" t="n"/>
    </row>
    <row r="3" ht="15.75" customHeight="1">
      <c r="A3" s="18" t="inlineStr">
        <is>
          <t>State</t>
        </is>
      </c>
      <c r="B3" s="26" t="n"/>
    </row>
    <row r="4">
      <c r="A4" s="24" t="inlineStr">
        <is>
          <t>PO Start Date</t>
        </is>
      </c>
      <c r="B4" s="27" t="n">
        <v>45962</v>
      </c>
    </row>
    <row r="5">
      <c r="A5" s="24" t="inlineStr">
        <is>
          <t>PO End Date</t>
        </is>
      </c>
      <c r="B5" s="27" t="n">
        <v>48153</v>
      </c>
    </row>
    <row r="6" ht="15.75" customHeight="1">
      <c r="A6" s="18" t="inlineStr">
        <is>
          <t xml:space="preserve">Asset Type </t>
        </is>
      </c>
      <c r="B6" s="26" t="n"/>
    </row>
    <row r="7" ht="15.75" customHeight="1">
      <c r="A7" s="18" t="inlineStr">
        <is>
          <t>Make</t>
        </is>
      </c>
      <c r="B7" s="26" t="inlineStr">
        <is>
          <t>RST</t>
        </is>
      </c>
    </row>
    <row r="8" ht="15.75" customHeight="1">
      <c r="A8" s="18" t="inlineStr">
        <is>
          <t>Asset Qty</t>
        </is>
      </c>
      <c r="B8" s="26" t="inlineStr">
        <is>
          <t>1, 2=3</t>
        </is>
      </c>
    </row>
    <row r="9" ht="15.75" customHeight="1">
      <c r="A9" s="18" t="inlineStr">
        <is>
          <t>Location</t>
        </is>
      </c>
      <c r="B9" s="26" t="inlineStr">
        <is>
          <t>Dhirpur, Dalpatpur</t>
        </is>
      </c>
    </row>
    <row r="10" ht="15.75" customHeight="1">
      <c r="A10" s="18" t="inlineStr">
        <is>
          <t>Model</t>
        </is>
      </c>
      <c r="B10" s="26" t="n"/>
    </row>
    <row r="11" ht="15.75" customHeight="1">
      <c r="A11" s="18" t="inlineStr">
        <is>
          <t>Asset#</t>
        </is>
      </c>
      <c r="B11" s="26" t="n"/>
    </row>
    <row r="12" ht="15.75" customHeight="1">
      <c r="A12" s="18" t="inlineStr">
        <is>
          <t>Loading Capacity</t>
        </is>
      </c>
      <c r="B12" s="26" t="n"/>
    </row>
    <row r="13" ht="15.75" customHeight="1">
      <c r="A13" s="19" t="inlineStr">
        <is>
          <t>Work Type</t>
        </is>
      </c>
      <c r="B13" s="28" t="n"/>
    </row>
    <row r="14" ht="15.75" customHeight="1">
      <c r="A14" s="18" t="inlineStr">
        <is>
          <t>Monthly Hiring Charges</t>
        </is>
      </c>
      <c r="B14" s="26" t="inlineStr">
        <is>
          <t>9,00,000</t>
        </is>
      </c>
    </row>
    <row r="15" ht="15.75" customHeight="1">
      <c r="A15" s="18" t="inlineStr">
        <is>
          <t>Diesel</t>
        </is>
      </c>
      <c r="B15" s="26" t="inlineStr">
        <is>
          <t>Hind Terminal</t>
        </is>
      </c>
    </row>
    <row r="16" ht="15.75" customHeight="1">
      <c r="A16" s="18" t="inlineStr">
        <is>
          <t>Diesel Tank Full</t>
        </is>
      </c>
      <c r="B16" s="26" t="inlineStr">
        <is>
          <t>Yes</t>
        </is>
      </c>
    </row>
    <row r="17" ht="15.75" customHeight="1">
      <c r="A17" s="43" t="inlineStr">
        <is>
          <t>Maximum Running Hour</t>
        </is>
      </c>
      <c r="B17" s="44" t="inlineStr">
        <is>
          <t>520 Hours</t>
        </is>
      </c>
    </row>
    <row r="18" ht="15.75" customHeight="1">
      <c r="A18" s="43" t="inlineStr">
        <is>
          <t>Breakdwon Allowed</t>
        </is>
      </c>
      <c r="B18" s="42" t="inlineStr">
        <is>
          <t xml:space="preserve">120 Hours </t>
        </is>
      </c>
    </row>
    <row r="19" ht="15.75" customHeight="1">
      <c r="A19" s="18" t="inlineStr">
        <is>
          <t>Moves per Hour</t>
        </is>
      </c>
      <c r="B19" s="26" t="n"/>
    </row>
    <row r="20" ht="15.75" customHeight="1">
      <c r="A20" s="18" t="inlineStr">
        <is>
          <t>Supervisor</t>
        </is>
      </c>
      <c r="B20" s="26" t="n"/>
    </row>
    <row r="21" ht="15.75" customHeight="1">
      <c r="A21" s="18" t="inlineStr">
        <is>
          <t>Supervisor Contact Number</t>
        </is>
      </c>
      <c r="B21" s="25" t="n"/>
    </row>
    <row r="22" ht="15.75" customHeight="1">
      <c r="A22" s="18" t="inlineStr">
        <is>
          <t>Operator</t>
        </is>
      </c>
      <c r="B22" s="25" t="n"/>
    </row>
    <row r="23" ht="15.75" customHeight="1">
      <c r="A23" s="18" t="inlineStr">
        <is>
          <t>Helper</t>
        </is>
      </c>
      <c r="B23" s="25" t="n"/>
    </row>
    <row r="24" ht="15.75" customHeight="1">
      <c r="A24" s="19" t="inlineStr">
        <is>
          <t>Shift</t>
        </is>
      </c>
      <c r="B24" s="29" t="n"/>
    </row>
    <row r="25" ht="15.75" customHeight="1">
      <c r="A25" s="19" t="inlineStr">
        <is>
          <t>Machine Billing</t>
        </is>
      </c>
      <c r="B25" s="29" t="n"/>
    </row>
    <row r="26" ht="15.75" customHeight="1">
      <c r="A26" s="19" t="inlineStr">
        <is>
          <t>Diesel Billing</t>
        </is>
      </c>
      <c r="B26" s="29" t="n"/>
    </row>
    <row r="27" ht="15.75" customHeight="1">
      <c r="A27" s="18" t="inlineStr">
        <is>
          <t>Billing Cycle</t>
        </is>
      </c>
      <c r="B27" s="26" t="n"/>
    </row>
    <row r="28" ht="15.75" customHeight="1">
      <c r="A28" s="19" t="inlineStr">
        <is>
          <t>Billing</t>
        </is>
      </c>
      <c r="B28" s="30" t="n"/>
    </row>
    <row r="29" ht="15.75" customHeight="1">
      <c r="A29" s="19" t="inlineStr">
        <is>
          <t>Billing Medium</t>
        </is>
      </c>
      <c r="B29" s="30" t="n"/>
    </row>
    <row r="30" ht="31.5" customFormat="1" customHeight="1" s="22">
      <c r="A30" s="23" t="inlineStr">
        <is>
          <t xml:space="preserve">Document Required for billing </t>
        </is>
      </c>
      <c r="B30" s="31" t="n"/>
    </row>
    <row r="31" ht="15.75" customHeight="1">
      <c r="A31" s="21" t="inlineStr">
        <is>
          <t>Email ID Used</t>
        </is>
      </c>
      <c r="B31" s="26" t="n"/>
    </row>
    <row r="32" ht="15.75" customHeight="1">
      <c r="A32" s="21" t="inlineStr">
        <is>
          <t xml:space="preserve">Sent to </t>
        </is>
      </c>
      <c r="B32" s="56" t="inlineStr">
        <is>
          <t>Sahil.jain@hindterminals.com</t>
        </is>
      </c>
    </row>
    <row r="33" ht="15.75" customHeight="1">
      <c r="A33" s="21" t="inlineStr">
        <is>
          <t>CC</t>
        </is>
      </c>
      <c r="B33" s="32" t="inlineStr">
        <is>
          <t>-</t>
        </is>
      </c>
    </row>
    <row r="34" ht="15.75" customHeight="1">
      <c r="A34" s="21" t="inlineStr">
        <is>
          <t>Subject Line</t>
        </is>
      </c>
      <c r="B34" s="32" t="inlineStr">
        <is>
          <t>Hind Terminal-Dhirpur-NOV25-Invoice Submission</t>
        </is>
      </c>
    </row>
    <row r="35" ht="15.75" customHeight="1">
      <c r="A35" s="21" t="inlineStr">
        <is>
          <t>Dhirpur Billing Address</t>
        </is>
      </c>
      <c r="B35" s="32" t="n"/>
    </row>
    <row r="36" ht="15.75" customHeight="1">
      <c r="A36" s="21" t="inlineStr">
        <is>
          <t>Dalpatpur Billing Address 1</t>
        </is>
      </c>
      <c r="B36" s="32" t="n"/>
    </row>
    <row r="37" ht="15.75" customHeight="1">
      <c r="A37" s="21" t="inlineStr">
        <is>
          <t>Dalpatpur Billing Address 2</t>
        </is>
      </c>
      <c r="B37" s="32" t="n"/>
    </row>
    <row r="38" ht="15.75" customHeight="1">
      <c r="A38" s="21" t="inlineStr">
        <is>
          <t>Company's Contact Person</t>
        </is>
      </c>
      <c r="B38" s="32" t="inlineStr">
        <is>
          <t>Sahil Jain</t>
        </is>
      </c>
    </row>
    <row r="39" ht="15.75" customFormat="1" customHeight="1" s="33">
      <c r="A39" s="20" t="inlineStr">
        <is>
          <t>Company's Contact Number</t>
        </is>
      </c>
      <c r="B39" s="34" t="n"/>
    </row>
    <row r="40" ht="120" customFormat="1" customHeight="1" s="33">
      <c r="A40" s="20" t="inlineStr">
        <is>
          <t xml:space="preserve">Document Required for billing </t>
        </is>
      </c>
      <c r="B40" s="32" t="inlineStr">
        <is>
          <t>Labour Wellfare fund
Attendance
ESI 
PF Reciept
ECR PF Challan
Daily Logsheet
Monthly maintanance Logsheet
Invoice</t>
        </is>
      </c>
    </row>
    <row r="41" ht="15.75" customHeight="1">
      <c r="A41" s="20" t="inlineStr">
        <is>
          <t>Billing Step</t>
        </is>
      </c>
      <c r="B41" s="31" t="n"/>
    </row>
    <row r="42" ht="15.75" customHeight="1">
      <c r="A42" s="20" t="inlineStr">
        <is>
          <t xml:space="preserve">Termination </t>
        </is>
      </c>
      <c r="B42" s="32" t="n"/>
    </row>
  </sheetData>
  <hyperlinks>
    <hyperlink xmlns:r="http://schemas.openxmlformats.org/officeDocument/2006/relationships" ref="B32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L33" sqref="L33"/>
    </sheetView>
  </sheetViews>
  <sheetFormatPr baseColWidth="8" defaultRowHeight="15"/>
  <cols>
    <col width="22.140625" bestFit="1" customWidth="1" min="1" max="1"/>
    <col width="13" customWidth="1" min="2" max="3"/>
    <col width="12.42578125" customWidth="1" min="4" max="4"/>
    <col hidden="1" width="15.42578125" customWidth="1" min="5" max="5"/>
    <col hidden="1" width="13.5703125" customWidth="1" min="6" max="6"/>
    <col hidden="1" width="14.42578125" customWidth="1" min="7" max="7"/>
    <col hidden="1" width="20" customWidth="1" min="8" max="8"/>
    <col width="11.140625" bestFit="1" customWidth="1" min="9" max="9"/>
    <col width="8.7109375" customWidth="1" min="10" max="10"/>
    <col width="6.7109375" bestFit="1" customWidth="1" min="11" max="11"/>
    <col width="9" bestFit="1" customWidth="1" min="12" max="12"/>
    <col width="10.5703125" bestFit="1" customWidth="1" min="13" max="14"/>
  </cols>
  <sheetData>
    <row r="1" ht="47.25" customHeight="1">
      <c r="A1" s="130" t="inlineStr">
        <is>
          <t>DATE</t>
        </is>
      </c>
      <c r="B1" s="130" t="inlineStr">
        <is>
          <t>KAMLAR-</t>
        </is>
      </c>
      <c r="C1" s="132" t="n"/>
      <c r="D1" s="10" t="inlineStr">
        <is>
          <t>Daily Running Hours</t>
        </is>
      </c>
      <c r="E1" s="10" t="inlineStr">
        <is>
          <t>Breakdown start time</t>
        </is>
      </c>
      <c r="F1" s="10" t="inlineStr">
        <is>
          <t>Breakdown end time</t>
        </is>
      </c>
      <c r="G1" s="49" t="inlineStr">
        <is>
          <t>Total Breakdown Hour</t>
        </is>
      </c>
      <c r="H1" s="49" t="inlineStr">
        <is>
          <t>Breakdown Reason</t>
        </is>
      </c>
      <c r="I1" s="130" t="inlineStr">
        <is>
          <t>DIESEL Consumed</t>
        </is>
      </c>
      <c r="J1" s="130" t="inlineStr">
        <is>
          <t>Diesel HMR</t>
        </is>
      </c>
      <c r="K1" s="130" t="inlineStr">
        <is>
          <t xml:space="preserve">Hours </t>
        </is>
      </c>
      <c r="L1" s="45" t="inlineStr">
        <is>
          <t>Average</t>
        </is>
      </c>
      <c r="M1" s="130" t="inlineStr">
        <is>
          <t>Container Reading</t>
        </is>
      </c>
      <c r="N1" s="45" t="inlineStr">
        <is>
          <t>Container Count</t>
        </is>
      </c>
    </row>
    <row r="2">
      <c r="A2" s="38" t="inlineStr">
        <is>
          <t>PREV  Stock</t>
        </is>
      </c>
      <c r="B2" s="38" t="inlineStr">
        <is>
          <t>Start HMR</t>
        </is>
      </c>
      <c r="C2" s="38" t="inlineStr">
        <is>
          <t>End HMR</t>
        </is>
      </c>
      <c r="D2" s="39" t="n"/>
      <c r="E2" s="39" t="n"/>
      <c r="F2" s="39" t="n"/>
      <c r="G2" s="50" t="n"/>
      <c r="H2" s="50" t="n"/>
      <c r="I2" s="38" t="n"/>
      <c r="J2" s="40" t="n"/>
      <c r="K2" s="38" t="n"/>
      <c r="L2" s="46" t="n"/>
      <c r="M2" s="40" t="n"/>
      <c r="N2" s="52" t="n"/>
    </row>
    <row r="3">
      <c r="A3" s="3" t="n">
        <v>45962</v>
      </c>
      <c r="B3" s="4" t="n"/>
      <c r="C3" s="5" t="n"/>
      <c r="D3" s="6">
        <f>C3-B3</f>
        <v/>
      </c>
      <c r="E3" s="7" t="n"/>
      <c r="F3" s="7" t="n"/>
      <c r="G3" s="36" t="n"/>
      <c r="H3" s="36" t="n"/>
      <c r="I3" s="4" t="n"/>
      <c r="J3" s="4" t="n"/>
      <c r="K3" s="4" t="n"/>
      <c r="L3" s="47" t="n"/>
      <c r="M3" s="8" t="n"/>
      <c r="N3" s="53" t="n"/>
    </row>
    <row r="4">
      <c r="A4" s="3">
        <f>A3+1</f>
        <v/>
      </c>
      <c r="B4" s="4" t="n"/>
      <c r="C4" s="4" t="n"/>
      <c r="D4" s="6">
        <f>C4-B4</f>
        <v/>
      </c>
      <c r="E4" s="7" t="n"/>
      <c r="F4" s="7" t="n"/>
      <c r="G4" s="36" t="n"/>
      <c r="H4" s="36" t="n"/>
      <c r="I4" s="4" t="n"/>
      <c r="J4" s="4" t="n"/>
      <c r="K4" s="4" t="n"/>
      <c r="L4" s="47" t="n"/>
      <c r="M4" s="17" t="n"/>
      <c r="N4" s="53" t="n"/>
    </row>
    <row r="5">
      <c r="A5" s="3">
        <f>A4+1</f>
        <v/>
      </c>
      <c r="B5" s="4" t="n"/>
      <c r="C5" s="37" t="n"/>
      <c r="D5" s="6">
        <f>C5-B5</f>
        <v/>
      </c>
      <c r="E5" s="7" t="n"/>
      <c r="F5" s="7" t="n"/>
      <c r="G5" s="36" t="n"/>
      <c r="H5" s="36" t="n"/>
      <c r="I5" s="4" t="n"/>
      <c r="J5" s="4" t="n"/>
      <c r="K5" s="4" t="n"/>
      <c r="L5" s="47" t="n"/>
      <c r="M5" s="8" t="n"/>
      <c r="N5" s="53" t="n"/>
    </row>
    <row r="6">
      <c r="A6" s="3">
        <f>A5+1</f>
        <v/>
      </c>
      <c r="B6" s="4" t="n"/>
      <c r="C6" s="4" t="n"/>
      <c r="D6" s="6">
        <f>C6-B6</f>
        <v/>
      </c>
      <c r="E6" s="7" t="n"/>
      <c r="F6" s="7" t="n"/>
      <c r="G6" s="36" t="n"/>
      <c r="H6" s="36" t="n"/>
      <c r="I6" s="4" t="n"/>
      <c r="J6" s="4" t="n"/>
      <c r="K6" s="4" t="n"/>
      <c r="L6" s="47" t="n"/>
      <c r="M6" s="8" t="n"/>
      <c r="N6" s="53" t="n"/>
    </row>
    <row r="7">
      <c r="A7" s="3">
        <f>A6+1</f>
        <v/>
      </c>
      <c r="B7" s="4" t="n"/>
      <c r="C7" s="4" t="n"/>
      <c r="D7" s="6">
        <f>C7-B7</f>
        <v/>
      </c>
      <c r="E7" s="7" t="n"/>
      <c r="F7" s="7" t="n"/>
      <c r="G7" s="36" t="n"/>
      <c r="H7" s="36" t="n"/>
      <c r="I7" s="4" t="n"/>
      <c r="J7" s="4" t="n"/>
      <c r="K7" s="4" t="n"/>
      <c r="L7" s="47" t="n"/>
      <c r="M7" s="8" t="n"/>
      <c r="N7" s="53" t="n"/>
    </row>
    <row r="8">
      <c r="A8" s="3">
        <f>A7+1</f>
        <v/>
      </c>
      <c r="B8" s="4" t="n"/>
      <c r="C8" s="4" t="n"/>
      <c r="D8" s="6">
        <f>C8-B8</f>
        <v/>
      </c>
      <c r="E8" s="7" t="n"/>
      <c r="F8" s="7" t="n"/>
      <c r="G8" s="36" t="n"/>
      <c r="H8" s="36" t="n"/>
      <c r="I8" s="4" t="n"/>
      <c r="J8" s="4" t="n"/>
      <c r="K8" s="4" t="n"/>
      <c r="L8" s="47" t="n"/>
      <c r="M8" s="17" t="n"/>
      <c r="N8" s="53" t="n"/>
    </row>
    <row r="9">
      <c r="A9" s="3">
        <f>A8+1</f>
        <v/>
      </c>
      <c r="B9" s="4" t="n">
        <v>22</v>
      </c>
      <c r="C9" s="4" t="n">
        <v>22</v>
      </c>
      <c r="D9" s="6">
        <f>C9-B9</f>
        <v/>
      </c>
      <c r="E9" s="7" t="n"/>
      <c r="F9" s="7" t="n"/>
      <c r="G9" s="36" t="n"/>
      <c r="H9" s="35" t="n"/>
      <c r="I9" s="4" t="n">
        <v>470</v>
      </c>
      <c r="J9" s="4" t="n">
        <v>22</v>
      </c>
      <c r="K9" s="4" t="n"/>
      <c r="L9" s="47" t="n"/>
      <c r="M9" s="8" t="n"/>
      <c r="N9" s="53" t="n"/>
    </row>
    <row r="10">
      <c r="A10" s="3">
        <f>A9+1</f>
        <v/>
      </c>
      <c r="B10" s="4">
        <f>C9</f>
        <v/>
      </c>
      <c r="C10" s="4" t="n">
        <v>22</v>
      </c>
      <c r="D10" s="6">
        <f>C10-B10</f>
        <v/>
      </c>
      <c r="E10" s="7" t="n"/>
      <c r="F10" s="7" t="n"/>
      <c r="G10" s="36" t="n"/>
      <c r="H10" s="36" t="n"/>
      <c r="I10" s="4" t="n"/>
      <c r="J10" s="4" t="n"/>
      <c r="K10" s="4" t="n"/>
      <c r="L10" s="47" t="n"/>
      <c r="M10" s="8" t="n"/>
      <c r="N10" s="53" t="n"/>
    </row>
    <row r="11">
      <c r="A11" s="3">
        <f>A10+1</f>
        <v/>
      </c>
      <c r="B11" s="4">
        <f>C10</f>
        <v/>
      </c>
      <c r="C11" s="4" t="n">
        <v>35</v>
      </c>
      <c r="D11" s="6">
        <f>C11-B11</f>
        <v/>
      </c>
      <c r="E11" s="7" t="n"/>
      <c r="F11" s="7" t="n"/>
      <c r="G11" s="36" t="n"/>
      <c r="H11" s="36" t="n"/>
      <c r="I11" s="4" t="n"/>
      <c r="J11" s="4" t="n"/>
      <c r="K11" s="4" t="n"/>
      <c r="L11" s="47" t="n"/>
      <c r="M11" s="8" t="n"/>
      <c r="N11" s="53" t="n"/>
    </row>
    <row r="12">
      <c r="A12" s="3">
        <f>A11+1</f>
        <v/>
      </c>
      <c r="B12" s="4">
        <f>C11</f>
        <v/>
      </c>
      <c r="C12" s="4" t="n">
        <v>45</v>
      </c>
      <c r="D12" s="6">
        <f>C12-B12</f>
        <v/>
      </c>
      <c r="E12" s="7" t="n"/>
      <c r="F12" s="7" t="n"/>
      <c r="G12" s="36" t="n"/>
      <c r="H12" s="36" t="n"/>
      <c r="I12" s="4" t="n"/>
      <c r="J12" s="4" t="n"/>
      <c r="K12" s="4" t="n"/>
      <c r="L12" s="47" t="n"/>
      <c r="M12" s="8" t="n"/>
      <c r="N12" s="53" t="n"/>
    </row>
    <row r="13">
      <c r="A13" s="3">
        <f>A12+1</f>
        <v/>
      </c>
      <c r="B13" s="4">
        <f>C12</f>
        <v/>
      </c>
      <c r="C13" s="4" t="n">
        <v>48</v>
      </c>
      <c r="D13" s="6">
        <f>C13-B13</f>
        <v/>
      </c>
      <c r="E13" s="7" t="n"/>
      <c r="F13" s="7" t="n"/>
      <c r="G13" s="36" t="n"/>
      <c r="H13" s="35" t="n"/>
      <c r="I13" s="4" t="n">
        <v>260</v>
      </c>
      <c r="J13" s="4" t="n">
        <v>45</v>
      </c>
      <c r="K13" s="4">
        <f>J13-J9</f>
        <v/>
      </c>
      <c r="L13" s="47">
        <f>I13/K13</f>
        <v/>
      </c>
      <c r="M13" s="8" t="n"/>
      <c r="N13" s="53" t="n"/>
    </row>
    <row r="14">
      <c r="A14" s="3">
        <f>A13+1</f>
        <v/>
      </c>
      <c r="B14" s="4">
        <f>C13</f>
        <v/>
      </c>
      <c r="C14" s="4" t="n">
        <v>53</v>
      </c>
      <c r="D14" s="6">
        <f>C14-B14</f>
        <v/>
      </c>
      <c r="E14" s="7" t="n"/>
      <c r="F14" s="7" t="n"/>
      <c r="G14" s="36" t="n"/>
      <c r="H14" s="36" t="n"/>
      <c r="I14" s="4" t="n"/>
      <c r="J14" s="4" t="n"/>
      <c r="K14" s="4" t="n"/>
      <c r="L14" s="47" t="n"/>
      <c r="M14" s="8" t="n"/>
      <c r="N14" s="53" t="n"/>
    </row>
    <row r="15">
      <c r="A15" s="3">
        <f>A14+1</f>
        <v/>
      </c>
      <c r="B15" s="4">
        <f>C14</f>
        <v/>
      </c>
      <c r="C15" s="4" t="n">
        <v>65</v>
      </c>
      <c r="D15" s="6">
        <f>C15-B15</f>
        <v/>
      </c>
      <c r="E15" s="7" t="n"/>
      <c r="F15" s="7" t="n"/>
      <c r="G15" s="36" t="n"/>
      <c r="H15" s="36" t="n"/>
      <c r="I15" s="4" t="n"/>
      <c r="J15" s="4" t="n"/>
      <c r="K15" s="4" t="n"/>
      <c r="L15" s="47" t="n"/>
      <c r="M15" s="8" t="n"/>
      <c r="N15" s="53" t="n"/>
    </row>
    <row r="16">
      <c r="A16" s="3">
        <f>A15+1</f>
        <v/>
      </c>
      <c r="B16" s="4">
        <f>C15</f>
        <v/>
      </c>
      <c r="C16" s="4" t="n">
        <v>68</v>
      </c>
      <c r="D16" s="6">
        <f>C16-B16</f>
        <v/>
      </c>
      <c r="E16" s="7" t="n"/>
      <c r="F16" s="7" t="n"/>
      <c r="G16" s="36" t="n"/>
      <c r="H16" s="36" t="n"/>
      <c r="I16" s="4" t="n"/>
      <c r="J16" s="4" t="n"/>
      <c r="K16" s="4" t="n"/>
      <c r="L16" s="47" t="n"/>
      <c r="M16" s="8" t="n"/>
      <c r="N16" s="53" t="n"/>
    </row>
    <row r="17">
      <c r="A17" s="3">
        <f>A16+1</f>
        <v/>
      </c>
      <c r="B17" s="4">
        <f>C16</f>
        <v/>
      </c>
      <c r="C17" s="4" t="n">
        <v>68</v>
      </c>
      <c r="D17" s="6">
        <f>C17-B17</f>
        <v/>
      </c>
      <c r="E17" s="7" t="n"/>
      <c r="F17" s="7" t="n"/>
      <c r="G17" s="36" t="n"/>
      <c r="H17" s="36" t="n"/>
      <c r="I17" s="4" t="n"/>
      <c r="J17" s="4" t="n"/>
      <c r="K17" s="4" t="n"/>
      <c r="L17" s="47" t="n"/>
      <c r="M17" s="8" t="n"/>
      <c r="N17" s="53" t="n"/>
    </row>
    <row r="18">
      <c r="A18" s="3">
        <f>A17+1</f>
        <v/>
      </c>
      <c r="B18" s="4">
        <f>C17</f>
        <v/>
      </c>
      <c r="C18" s="4" t="n">
        <v>70</v>
      </c>
      <c r="D18" s="6">
        <f>C18-B18</f>
        <v/>
      </c>
      <c r="E18" s="7" t="n"/>
      <c r="F18" s="7" t="n"/>
      <c r="G18" s="36" t="n"/>
      <c r="H18" s="36" t="n"/>
      <c r="I18" s="4" t="n"/>
      <c r="J18" s="4" t="n"/>
      <c r="K18" s="4" t="n"/>
      <c r="L18" s="47" t="n"/>
      <c r="M18" s="8" t="n"/>
      <c r="N18" s="53" t="n"/>
    </row>
    <row r="19">
      <c r="A19" s="3">
        <f>A18+1</f>
        <v/>
      </c>
      <c r="B19" s="4">
        <f>C18</f>
        <v/>
      </c>
      <c r="C19" s="8" t="n">
        <v>83</v>
      </c>
      <c r="D19" s="6">
        <f>C19-B19</f>
        <v/>
      </c>
      <c r="E19" s="7" t="n"/>
      <c r="F19" s="7" t="n"/>
      <c r="G19" s="36" t="n"/>
      <c r="H19" s="36" t="n"/>
      <c r="I19" s="4" t="n">
        <v>320</v>
      </c>
      <c r="J19" s="4" t="n">
        <v>74</v>
      </c>
      <c r="K19" s="4">
        <f>J19-J13</f>
        <v/>
      </c>
      <c r="L19" s="47">
        <f>I19/K19</f>
        <v/>
      </c>
      <c r="M19" s="8" t="n"/>
      <c r="N19" s="53" t="n"/>
    </row>
    <row r="20">
      <c r="A20" s="3">
        <f>A19+1</f>
        <v/>
      </c>
      <c r="B20" s="4">
        <f>C19</f>
        <v/>
      </c>
      <c r="C20" s="8" t="n">
        <v>88</v>
      </c>
      <c r="D20" s="6">
        <f>C20-B20</f>
        <v/>
      </c>
      <c r="E20" s="7" t="n"/>
      <c r="F20" s="7" t="n"/>
      <c r="G20" s="36" t="n"/>
      <c r="H20" s="35" t="n"/>
      <c r="I20" s="4" t="n"/>
      <c r="J20" s="4" t="n"/>
      <c r="K20" s="4" t="n"/>
      <c r="L20" s="47" t="n"/>
      <c r="M20" s="8" t="n"/>
      <c r="N20" s="53" t="n"/>
    </row>
    <row r="21">
      <c r="A21" s="3">
        <f>A20+1</f>
        <v/>
      </c>
      <c r="B21" s="4">
        <f>C20</f>
        <v/>
      </c>
      <c r="C21" s="17" t="n">
        <v>93</v>
      </c>
      <c r="D21" s="6">
        <f>C21-B21</f>
        <v/>
      </c>
      <c r="E21" s="7" t="n"/>
      <c r="F21" s="7" t="n"/>
      <c r="G21" s="36" t="n"/>
      <c r="H21" s="36" t="n"/>
      <c r="I21" s="4" t="n"/>
      <c r="J21" s="4" t="n"/>
      <c r="K21" s="4" t="n"/>
      <c r="L21" s="47" t="n"/>
      <c r="M21" s="8" t="n"/>
      <c r="N21" s="53" t="n"/>
    </row>
    <row r="22">
      <c r="A22" s="3">
        <f>A21+1</f>
        <v/>
      </c>
      <c r="B22" s="4">
        <f>C21</f>
        <v/>
      </c>
      <c r="C22" s="4" t="n">
        <v>105</v>
      </c>
      <c r="D22" s="6">
        <f>C22-B22</f>
        <v/>
      </c>
      <c r="E22" s="7" t="n"/>
      <c r="F22" s="7" t="n"/>
      <c r="G22" s="36" t="n"/>
      <c r="H22" s="36" t="n"/>
      <c r="I22" s="4" t="n"/>
      <c r="J22" s="4" t="n"/>
      <c r="K22" s="4" t="n"/>
      <c r="L22" s="47" t="n"/>
      <c r="M22" s="17" t="n"/>
      <c r="N22" s="53" t="n"/>
    </row>
    <row r="23">
      <c r="A23" s="3">
        <f>A22+1</f>
        <v/>
      </c>
      <c r="B23" s="4">
        <f>C22</f>
        <v/>
      </c>
      <c r="C23" s="4" t="n">
        <v>110</v>
      </c>
      <c r="D23" s="6">
        <f>C23-B23</f>
        <v/>
      </c>
      <c r="E23" s="7" t="n"/>
      <c r="F23" s="7" t="n"/>
      <c r="G23" s="36" t="n"/>
      <c r="H23" s="36" t="n"/>
      <c r="I23" s="4" t="n">
        <v>380</v>
      </c>
      <c r="J23" s="4" t="n">
        <v>105</v>
      </c>
      <c r="K23" s="4">
        <f>J23-J19</f>
        <v/>
      </c>
      <c r="L23" s="47">
        <f>I23/K23</f>
        <v/>
      </c>
      <c r="M23" s="8" t="n"/>
      <c r="N23" s="53" t="n"/>
    </row>
    <row r="24">
      <c r="A24" s="3">
        <f>A23+1</f>
        <v/>
      </c>
      <c r="B24" s="4">
        <f>C23</f>
        <v/>
      </c>
      <c r="C24" s="4" t="n">
        <v>121</v>
      </c>
      <c r="D24" s="6">
        <f>C24-B24</f>
        <v/>
      </c>
      <c r="E24" s="7" t="n"/>
      <c r="F24" s="7" t="n"/>
      <c r="G24" s="36" t="n"/>
      <c r="H24" s="36" t="n"/>
      <c r="I24" s="4" t="n"/>
      <c r="J24" s="4" t="n"/>
      <c r="K24" s="4" t="n"/>
      <c r="L24" s="47" t="n"/>
      <c r="M24" s="8" t="n"/>
      <c r="N24" s="53" t="n"/>
    </row>
    <row r="25">
      <c r="A25" s="3">
        <f>A24+1</f>
        <v/>
      </c>
      <c r="B25" s="4">
        <f>C24</f>
        <v/>
      </c>
      <c r="C25" s="4" t="n">
        <v>129</v>
      </c>
      <c r="D25" s="6">
        <f>C25-B25</f>
        <v/>
      </c>
      <c r="E25" s="7" t="n"/>
      <c r="F25" s="7" t="n"/>
      <c r="G25" s="36" t="n"/>
      <c r="H25" s="36" t="n"/>
      <c r="I25" s="4" t="n"/>
      <c r="J25" s="4" t="n"/>
      <c r="K25" s="4" t="n"/>
      <c r="L25" s="47" t="n"/>
      <c r="M25" s="17" t="n"/>
      <c r="N25" s="53" t="n"/>
    </row>
    <row r="26">
      <c r="A26" s="3">
        <f>A25+1</f>
        <v/>
      </c>
      <c r="B26" s="4">
        <f>C25</f>
        <v/>
      </c>
      <c r="C26" s="6" t="n">
        <v>137</v>
      </c>
      <c r="D26" s="6">
        <f>C26-B26</f>
        <v/>
      </c>
      <c r="E26" s="7" t="n"/>
      <c r="F26" s="7" t="n"/>
      <c r="G26" s="36" t="n"/>
      <c r="H26" s="36" t="n"/>
      <c r="I26" s="4" t="n"/>
      <c r="J26" s="4" t="n"/>
      <c r="K26" s="4" t="n"/>
      <c r="L26" s="47" t="n"/>
      <c r="M26" s="8" t="n"/>
      <c r="N26" s="53" t="n"/>
    </row>
    <row r="27">
      <c r="A27" s="3">
        <f>A26+1</f>
        <v/>
      </c>
      <c r="B27" s="4">
        <f>C26</f>
        <v/>
      </c>
      <c r="C27" s="4" t="n">
        <v>143</v>
      </c>
      <c r="D27" s="6">
        <f>C27-B27</f>
        <v/>
      </c>
      <c r="E27" s="7" t="n"/>
      <c r="F27" s="7" t="n"/>
      <c r="G27" s="36" t="n"/>
      <c r="H27" s="36" t="n"/>
      <c r="I27" s="4" t="n">
        <v>395.01</v>
      </c>
      <c r="J27" s="4" t="n">
        <v>136</v>
      </c>
      <c r="K27" s="4">
        <f>J27-J23</f>
        <v/>
      </c>
      <c r="L27" s="47">
        <f>I27/K27</f>
        <v/>
      </c>
      <c r="M27" s="8" t="n"/>
      <c r="N27" s="53" t="n"/>
    </row>
    <row r="28">
      <c r="A28" s="3">
        <f>A27+1</f>
        <v/>
      </c>
      <c r="B28" s="4">
        <f>C27</f>
        <v/>
      </c>
      <c r="C28" s="4" t="n">
        <v>150</v>
      </c>
      <c r="D28" s="6">
        <f>C28-B28</f>
        <v/>
      </c>
      <c r="E28" s="7" t="n"/>
      <c r="F28" s="7" t="n"/>
      <c r="G28" s="36" t="n"/>
      <c r="H28" s="35" t="n"/>
      <c r="I28" s="4" t="n"/>
      <c r="J28" s="4" t="n"/>
      <c r="K28" s="4" t="n"/>
      <c r="L28" s="47" t="n"/>
      <c r="M28" s="8" t="n"/>
      <c r="N28" s="53" t="n"/>
    </row>
    <row r="29">
      <c r="A29" s="3">
        <f>A28+1</f>
        <v/>
      </c>
      <c r="B29" s="4">
        <f>C28</f>
        <v/>
      </c>
      <c r="C29" s="4" t="n">
        <v>158</v>
      </c>
      <c r="D29" s="6">
        <f>C29-B29</f>
        <v/>
      </c>
      <c r="E29" s="7" t="n"/>
      <c r="F29" s="7" t="n"/>
      <c r="G29" s="36" t="n"/>
      <c r="H29" s="36" t="n"/>
      <c r="I29" s="4" t="n"/>
      <c r="J29" s="4" t="n"/>
      <c r="K29" s="4" t="n"/>
      <c r="L29" s="47" t="n"/>
      <c r="M29" s="8" t="n"/>
      <c r="N29" s="53" t="n"/>
    </row>
    <row r="30">
      <c r="A30" s="3">
        <f>A29+1</f>
        <v/>
      </c>
      <c r="B30" s="4">
        <f>C29</f>
        <v/>
      </c>
      <c r="C30" s="4" t="n">
        <v>170</v>
      </c>
      <c r="D30" s="6">
        <f>C30-B30</f>
        <v/>
      </c>
      <c r="E30" s="7" t="n"/>
      <c r="F30" s="7" t="n"/>
      <c r="G30" s="36" t="n"/>
      <c r="H30" s="35" t="n"/>
      <c r="I30" s="4" t="n"/>
      <c r="J30" s="4" t="n"/>
      <c r="K30" s="4" t="n"/>
      <c r="L30" s="47" t="n"/>
      <c r="M30" s="8" t="n"/>
      <c r="N30" s="53" t="n"/>
    </row>
    <row r="31">
      <c r="A31" s="3">
        <f>A30+1</f>
        <v/>
      </c>
      <c r="B31" s="4">
        <f>C30</f>
        <v/>
      </c>
      <c r="C31" s="4" t="n">
        <v>182</v>
      </c>
      <c r="D31" s="6">
        <f>C31-B31</f>
        <v/>
      </c>
      <c r="E31" s="7" t="n"/>
      <c r="F31" s="7" t="n"/>
      <c r="G31" s="36" t="n"/>
      <c r="H31" s="35" t="n"/>
      <c r="I31" s="4" t="n"/>
      <c r="J31" s="4" t="n"/>
      <c r="K31" s="4" t="n"/>
      <c r="L31" s="47" t="n"/>
      <c r="M31" s="8" t="n"/>
      <c r="N31" s="53" t="n"/>
    </row>
    <row r="32">
      <c r="A32" s="3">
        <f>A31+1</f>
        <v/>
      </c>
      <c r="B32" s="4">
        <f>C31</f>
        <v/>
      </c>
      <c r="C32" s="4" t="n">
        <v>190</v>
      </c>
      <c r="D32" s="6">
        <f>C32-B32</f>
        <v/>
      </c>
      <c r="E32" s="7" t="n"/>
      <c r="F32" s="7" t="n"/>
      <c r="G32" s="36" t="n"/>
      <c r="H32" s="35" t="n"/>
      <c r="I32" s="4" t="n"/>
      <c r="J32" s="4" t="n"/>
      <c r="K32" s="4" t="n"/>
      <c r="L32" s="47" t="n"/>
      <c r="M32" s="8" t="n"/>
      <c r="N32" s="53" t="n"/>
    </row>
    <row r="33" ht="15.75" customHeight="1">
      <c r="A33" s="12" t="n"/>
      <c r="B33" s="12" t="n"/>
      <c r="C33" s="13" t="n"/>
      <c r="D33" s="14">
        <f>SUM(D3:D32)</f>
        <v/>
      </c>
      <c r="E33" s="11" t="n"/>
      <c r="F33" s="11" t="n"/>
      <c r="G33" s="51">
        <f>SUM(G4:G32)</f>
        <v/>
      </c>
      <c r="H33" s="51" t="n"/>
      <c r="I33" s="14">
        <f>SUM(I3:I32)</f>
        <v/>
      </c>
      <c r="J33" s="14" t="n"/>
      <c r="K33" s="14">
        <f>SUM(K3:K32)</f>
        <v/>
      </c>
      <c r="L33" s="48">
        <f>I33/K33</f>
        <v/>
      </c>
      <c r="M33" s="15" t="n"/>
      <c r="N33" s="54">
        <f>SUM(N3:N32)</f>
        <v/>
      </c>
    </row>
    <row r="35">
      <c r="A35" s="24" t="inlineStr">
        <is>
          <t>Monthly Hiring Charges</t>
        </is>
      </c>
      <c r="B35" s="24" t="n">
        <v>900000</v>
      </c>
    </row>
    <row r="36">
      <c r="A36" s="24" t="inlineStr">
        <is>
          <t>1 Day Hiring Charges/31</t>
        </is>
      </c>
      <c r="B36" s="24">
        <f>B35/30</f>
        <v/>
      </c>
    </row>
    <row r="37">
      <c r="A37" s="24" t="inlineStr">
        <is>
          <t>24 Days Hiring Charges</t>
        </is>
      </c>
      <c r="B37" s="24">
        <f>B36*24</f>
        <v/>
      </c>
    </row>
    <row r="38">
      <c r="A38" s="24" t="inlineStr">
        <is>
          <t>Bill Amount</t>
        </is>
      </c>
      <c r="B38" s="24">
        <f>B37</f>
        <v/>
      </c>
    </row>
  </sheetData>
  <mergeCells count="1">
    <mergeCell ref="B1:C1"/>
  </mergeCells>
  <conditionalFormatting sqref="A3:A17 A19:A32">
    <cfRule type="duplicateValues" priority="30"/>
  </conditionalFormatting>
  <conditionalFormatting sqref="A18">
    <cfRule type="duplicateValues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J3" sqref="J3"/>
    </sheetView>
  </sheetViews>
  <sheetFormatPr baseColWidth="8" defaultRowHeight="15"/>
  <cols>
    <col width="11.140625" bestFit="1" customWidth="1" min="1" max="1"/>
    <col width="9.85546875" bestFit="1" customWidth="1" min="2" max="2"/>
    <col width="9" bestFit="1" customWidth="1" min="3" max="3"/>
    <col width="9.140625" bestFit="1" customWidth="1" min="4" max="4"/>
    <col width="12.140625" bestFit="1" customWidth="1" min="5" max="6"/>
    <col width="14.42578125" customWidth="1" min="7" max="7"/>
    <col width="12.140625" customWidth="1" min="8" max="8"/>
    <col width="11.140625" bestFit="1" customWidth="1" min="9" max="9"/>
    <col width="8.7109375" customWidth="1" min="10" max="10"/>
    <col width="6.7109375" bestFit="1" customWidth="1" min="11" max="11"/>
    <col width="9" bestFit="1" customWidth="1" min="12" max="12"/>
    <col width="10.5703125" bestFit="1" customWidth="1" min="13" max="14"/>
  </cols>
  <sheetData>
    <row r="1" ht="47.25" customHeight="1">
      <c r="A1" s="130" t="inlineStr">
        <is>
          <t>DATE</t>
        </is>
      </c>
      <c r="B1" s="130" t="inlineStr">
        <is>
          <t>KAMLAR-2</t>
        </is>
      </c>
      <c r="C1" s="132" t="n"/>
      <c r="D1" s="10" t="inlineStr">
        <is>
          <t>Daily Running Hours</t>
        </is>
      </c>
      <c r="E1" s="10" t="inlineStr">
        <is>
          <t>Breakdown start time</t>
        </is>
      </c>
      <c r="F1" s="10" t="inlineStr">
        <is>
          <t>Breakdown end time</t>
        </is>
      </c>
      <c r="G1" s="49" t="inlineStr">
        <is>
          <t>Total Breakdown Hour</t>
        </is>
      </c>
      <c r="H1" s="49" t="inlineStr">
        <is>
          <t>Breakdown Reason</t>
        </is>
      </c>
      <c r="I1" s="130" t="inlineStr">
        <is>
          <t>DIESEL Consumed</t>
        </is>
      </c>
      <c r="J1" s="130" t="inlineStr">
        <is>
          <t>Diesel HMR</t>
        </is>
      </c>
      <c r="K1" s="130" t="inlineStr">
        <is>
          <t xml:space="preserve">Hours </t>
        </is>
      </c>
      <c r="L1" s="45" t="inlineStr">
        <is>
          <t>Average</t>
        </is>
      </c>
      <c r="M1" s="130" t="inlineStr">
        <is>
          <t>Container Reading</t>
        </is>
      </c>
      <c r="N1" s="45" t="inlineStr">
        <is>
          <t>Container Count</t>
        </is>
      </c>
    </row>
    <row r="2">
      <c r="A2" s="38" t="inlineStr">
        <is>
          <t>PREV  Stock</t>
        </is>
      </c>
      <c r="B2" s="38" t="inlineStr">
        <is>
          <t>Start HMR</t>
        </is>
      </c>
      <c r="C2" s="38" t="inlineStr">
        <is>
          <t>End HMR</t>
        </is>
      </c>
      <c r="D2" s="39" t="n"/>
      <c r="E2" s="39" t="n"/>
      <c r="F2" s="39" t="n"/>
      <c r="G2" s="50" t="n"/>
      <c r="H2" s="50" t="n"/>
      <c r="I2" s="38" t="n"/>
      <c r="J2" s="40" t="n">
        <v>136</v>
      </c>
      <c r="K2" s="38" t="n"/>
      <c r="L2" s="46" t="n"/>
      <c r="M2" s="40" t="n"/>
      <c r="N2" s="52" t="n"/>
    </row>
    <row r="3">
      <c r="A3" s="3" t="n">
        <v>45992</v>
      </c>
      <c r="B3" s="4" t="n">
        <v>190</v>
      </c>
      <c r="C3" s="5" t="n">
        <v>205</v>
      </c>
      <c r="D3" s="6">
        <f>C3-B3</f>
        <v/>
      </c>
      <c r="E3" s="7" t="n"/>
      <c r="F3" s="7" t="n"/>
      <c r="G3" s="36" t="n"/>
      <c r="H3" s="36" t="n"/>
      <c r="I3" s="4" t="n"/>
      <c r="J3" s="4" t="n"/>
      <c r="K3" s="4" t="n"/>
      <c r="L3" s="47" t="n"/>
      <c r="M3" s="8" t="n"/>
      <c r="N3" s="53" t="n"/>
    </row>
    <row r="4">
      <c r="A4" s="3">
        <f>A3+1</f>
        <v/>
      </c>
      <c r="B4" s="4">
        <f>C3</f>
        <v/>
      </c>
      <c r="C4" s="4" t="n">
        <v>218</v>
      </c>
      <c r="D4" s="6">
        <f>C4-B4</f>
        <v/>
      </c>
      <c r="E4" s="7" t="n"/>
      <c r="F4" s="7" t="n"/>
      <c r="G4" s="36" t="n"/>
      <c r="H4" s="36" t="n"/>
      <c r="I4" s="4" t="n"/>
      <c r="J4" s="4" t="n"/>
      <c r="K4" s="4" t="n"/>
      <c r="L4" s="47" t="n"/>
      <c r="M4" s="17" t="n"/>
      <c r="N4" s="53" t="n"/>
    </row>
    <row r="5">
      <c r="A5" s="3">
        <f>A4+1</f>
        <v/>
      </c>
      <c r="B5" s="4">
        <f>C4</f>
        <v/>
      </c>
      <c r="C5" s="37" t="n">
        <v>219</v>
      </c>
      <c r="D5" s="6">
        <f>C5-B5</f>
        <v/>
      </c>
      <c r="E5" s="7" t="n"/>
      <c r="F5" s="7" t="n"/>
      <c r="G5" s="36" t="n"/>
      <c r="H5" s="36" t="n"/>
      <c r="I5" s="4" t="n"/>
      <c r="J5" s="4" t="n"/>
      <c r="K5" s="4" t="n"/>
      <c r="L5" s="47" t="n"/>
      <c r="M5" s="8" t="n"/>
      <c r="N5" s="53" t="n"/>
    </row>
    <row r="6">
      <c r="A6" s="3">
        <f>A5+1</f>
        <v/>
      </c>
      <c r="B6" s="4">
        <f>C5</f>
        <v/>
      </c>
      <c r="C6" s="4" t="n">
        <v>226</v>
      </c>
      <c r="D6" s="6">
        <f>C6-B6</f>
        <v/>
      </c>
      <c r="E6" s="7" t="n"/>
      <c r="F6" s="7" t="n"/>
      <c r="G6" s="36" t="n"/>
      <c r="H6" s="36" t="n"/>
      <c r="I6" s="4" t="n">
        <v>218</v>
      </c>
      <c r="J6" s="37" t="n">
        <v>219</v>
      </c>
      <c r="K6" s="4">
        <f>J6-J2</f>
        <v/>
      </c>
      <c r="L6" s="47" t="n"/>
      <c r="M6" s="8" t="n"/>
      <c r="N6" s="53" t="n"/>
    </row>
    <row r="7">
      <c r="A7" s="3">
        <f>A6+1</f>
        <v/>
      </c>
      <c r="B7" s="4">
        <f>C6</f>
        <v/>
      </c>
      <c r="C7" s="4" t="n">
        <v>241</v>
      </c>
      <c r="D7" s="6">
        <f>C7-B7</f>
        <v/>
      </c>
      <c r="E7" s="7" t="n"/>
      <c r="F7" s="7" t="n"/>
      <c r="G7" s="36" t="n"/>
      <c r="H7" s="36" t="n"/>
      <c r="I7" s="4" t="n"/>
      <c r="J7" s="4" t="n"/>
      <c r="K7" s="4" t="n"/>
      <c r="L7" s="47" t="n"/>
      <c r="M7" s="8" t="n"/>
      <c r="N7" s="53" t="n"/>
    </row>
    <row r="8">
      <c r="A8" s="3">
        <f>A7+1</f>
        <v/>
      </c>
      <c r="B8" s="4">
        <f>C7</f>
        <v/>
      </c>
      <c r="C8" s="4" t="n">
        <v>250</v>
      </c>
      <c r="D8" s="6">
        <f>C8-B8</f>
        <v/>
      </c>
      <c r="E8" s="7" t="n"/>
      <c r="F8" s="7" t="n"/>
      <c r="G8" s="36" t="n"/>
      <c r="H8" s="36" t="n"/>
      <c r="I8" s="4" t="n"/>
      <c r="J8" s="4" t="n"/>
      <c r="K8" s="4" t="n"/>
      <c r="L8" s="47" t="n"/>
      <c r="M8" s="17" t="n"/>
      <c r="N8" s="53" t="n"/>
    </row>
    <row r="9">
      <c r="A9" s="3">
        <f>A8+1</f>
        <v/>
      </c>
      <c r="B9" s="4">
        <f>C8</f>
        <v/>
      </c>
      <c r="C9" s="4" t="n">
        <v>266</v>
      </c>
      <c r="D9" s="6">
        <f>C9-B9</f>
        <v/>
      </c>
      <c r="E9" s="7" t="n"/>
      <c r="F9" s="7" t="n"/>
      <c r="G9" s="36" t="n"/>
      <c r="H9" s="35" t="n"/>
      <c r="I9" s="4" t="n">
        <v>400</v>
      </c>
      <c r="J9" s="4" t="n">
        <v>250</v>
      </c>
      <c r="K9" s="4">
        <f>J9-J6</f>
        <v/>
      </c>
      <c r="L9" s="47">
        <f>I9/K9</f>
        <v/>
      </c>
      <c r="M9" s="8" t="n"/>
      <c r="N9" s="53" t="n"/>
    </row>
    <row r="10">
      <c r="A10" s="3">
        <f>A9+1</f>
        <v/>
      </c>
      <c r="B10" s="4">
        <f>C9</f>
        <v/>
      </c>
      <c r="C10" s="4" t="n">
        <v>278</v>
      </c>
      <c r="D10" s="6">
        <f>C10-B10</f>
        <v/>
      </c>
      <c r="E10" s="7" t="n"/>
      <c r="F10" s="7" t="n"/>
      <c r="G10" s="36" t="n"/>
      <c r="H10" s="36" t="n"/>
      <c r="I10" s="4" t="n"/>
      <c r="J10" s="4" t="n"/>
      <c r="K10" s="4" t="n"/>
      <c r="L10" s="47" t="n"/>
      <c r="M10" s="8" t="n"/>
      <c r="N10" s="53" t="n"/>
    </row>
    <row r="11">
      <c r="A11" s="3">
        <f>A10+1</f>
        <v/>
      </c>
      <c r="B11" s="4">
        <f>C10</f>
        <v/>
      </c>
      <c r="C11" s="4" t="n">
        <v>293</v>
      </c>
      <c r="D11" s="6">
        <f>C11-B11</f>
        <v/>
      </c>
      <c r="E11" s="7" t="n"/>
      <c r="F11" s="7" t="n"/>
      <c r="G11" s="36" t="n"/>
      <c r="H11" s="36" t="n"/>
      <c r="I11" s="4" t="n">
        <v>385</v>
      </c>
      <c r="J11" s="4" t="n">
        <v>282</v>
      </c>
      <c r="K11" s="4">
        <f>J11-J9</f>
        <v/>
      </c>
      <c r="L11" s="47">
        <f>I11/K11</f>
        <v/>
      </c>
      <c r="M11" s="8" t="n"/>
      <c r="N11" s="53" t="n"/>
    </row>
    <row r="12">
      <c r="A12" s="3">
        <f>A11+1</f>
        <v/>
      </c>
      <c r="B12" s="4">
        <f>C11</f>
        <v/>
      </c>
      <c r="C12" s="4" t="n">
        <v>302</v>
      </c>
      <c r="D12" s="6">
        <f>C12-B12</f>
        <v/>
      </c>
      <c r="E12" s="7" t="n"/>
      <c r="F12" s="7" t="n"/>
      <c r="G12" s="36" t="n"/>
      <c r="H12" s="36" t="n"/>
      <c r="I12" s="4" t="n">
        <v>360</v>
      </c>
      <c r="J12" s="4" t="n">
        <v>307</v>
      </c>
      <c r="K12" s="4">
        <f>J12-J11</f>
        <v/>
      </c>
      <c r="L12" s="47">
        <f>I12/K12</f>
        <v/>
      </c>
      <c r="M12" s="8" t="n"/>
      <c r="N12" s="53" t="n"/>
    </row>
    <row r="13">
      <c r="A13" s="3">
        <f>A12+1</f>
        <v/>
      </c>
      <c r="B13" s="4">
        <f>C12</f>
        <v/>
      </c>
      <c r="C13" s="4" t="n">
        <v>319</v>
      </c>
      <c r="D13" s="6">
        <f>C13-B13</f>
        <v/>
      </c>
      <c r="E13" s="7" t="n"/>
      <c r="F13" s="7" t="n"/>
      <c r="G13" s="36" t="n"/>
      <c r="H13" s="35" t="n"/>
      <c r="I13" s="4" t="n"/>
      <c r="J13" s="4" t="n"/>
      <c r="K13" s="4" t="n"/>
      <c r="L13" s="47" t="n"/>
      <c r="M13" s="8" t="n"/>
      <c r="N13" s="53" t="n"/>
    </row>
    <row r="14">
      <c r="A14" s="3">
        <f>A13+1</f>
        <v/>
      </c>
      <c r="B14" s="4">
        <f>C13</f>
        <v/>
      </c>
      <c r="C14" s="4" t="n">
        <v>331</v>
      </c>
      <c r="D14" s="6">
        <f>C14-B14</f>
        <v/>
      </c>
      <c r="E14" s="7" t="n"/>
      <c r="F14" s="7" t="n"/>
      <c r="G14" s="36" t="n"/>
      <c r="H14" s="36" t="n"/>
      <c r="I14" s="4" t="n">
        <v>428</v>
      </c>
      <c r="J14" s="4" t="n">
        <v>337</v>
      </c>
      <c r="K14" s="4">
        <f>J14-J12</f>
        <v/>
      </c>
      <c r="L14" s="47">
        <f>I14/K14</f>
        <v/>
      </c>
      <c r="M14" s="8" t="n"/>
      <c r="N14" s="53" t="n"/>
    </row>
    <row r="15">
      <c r="A15" s="3">
        <f>A14+1</f>
        <v/>
      </c>
      <c r="B15" s="4">
        <f>C14</f>
        <v/>
      </c>
      <c r="C15" s="4" t="n">
        <v>348</v>
      </c>
      <c r="D15" s="6">
        <f>C15-B15</f>
        <v/>
      </c>
      <c r="E15" s="7" t="n"/>
      <c r="F15" s="7" t="n"/>
      <c r="G15" s="36" t="n"/>
      <c r="H15" s="36" t="n"/>
      <c r="I15" s="4" t="n"/>
      <c r="J15" s="4" t="n"/>
      <c r="K15" s="4" t="n"/>
      <c r="L15" s="47" t="n"/>
      <c r="M15" s="8" t="n"/>
      <c r="N15" s="53" t="n"/>
    </row>
    <row r="16">
      <c r="A16" s="3">
        <f>A15+1</f>
        <v/>
      </c>
      <c r="B16" s="4">
        <f>C15</f>
        <v/>
      </c>
      <c r="C16" s="4" t="n">
        <v>355</v>
      </c>
      <c r="D16" s="6">
        <f>C16-B16</f>
        <v/>
      </c>
      <c r="E16" s="7" t="n"/>
      <c r="F16" s="7" t="n"/>
      <c r="G16" s="36" t="n"/>
      <c r="H16" s="36" t="n"/>
      <c r="I16" s="4" t="n"/>
      <c r="J16" s="4" t="n"/>
      <c r="K16" s="4" t="n"/>
      <c r="L16" s="47" t="n"/>
      <c r="M16" s="8" t="n"/>
      <c r="N16" s="53" t="n"/>
    </row>
    <row r="17">
      <c r="A17" s="3">
        <f>A16+1</f>
        <v/>
      </c>
      <c r="B17" s="4">
        <f>C16</f>
        <v/>
      </c>
      <c r="C17" s="4" t="n">
        <v>369</v>
      </c>
      <c r="D17" s="6">
        <f>C17-B17</f>
        <v/>
      </c>
      <c r="E17" s="7" t="n"/>
      <c r="F17" s="7" t="n"/>
      <c r="G17" s="36" t="n"/>
      <c r="H17" s="36" t="n"/>
      <c r="I17" s="4" t="n">
        <v>310</v>
      </c>
      <c r="J17" s="4" t="n">
        <v>362</v>
      </c>
      <c r="K17" s="4">
        <f>J17-J14</f>
        <v/>
      </c>
      <c r="L17" s="47">
        <f>I17/K17</f>
        <v/>
      </c>
      <c r="M17" s="8" t="n"/>
      <c r="N17" s="53" t="n"/>
    </row>
    <row r="18">
      <c r="A18" s="3">
        <f>A17+1</f>
        <v/>
      </c>
      <c r="B18" s="4">
        <f>C17</f>
        <v/>
      </c>
      <c r="C18" s="4" t="n">
        <v>376</v>
      </c>
      <c r="D18" s="6">
        <f>C18-B18</f>
        <v/>
      </c>
      <c r="E18" s="7" t="n"/>
      <c r="F18" s="7" t="n"/>
      <c r="G18" s="36" t="n"/>
      <c r="H18" s="36" t="n"/>
      <c r="I18" s="4" t="n"/>
      <c r="J18" s="4" t="n"/>
      <c r="K18" s="4" t="n"/>
      <c r="L18" s="47" t="n"/>
      <c r="M18" s="8" t="n"/>
      <c r="N18" s="53" t="n"/>
    </row>
    <row r="19">
      <c r="A19" s="3">
        <f>A18+1</f>
        <v/>
      </c>
      <c r="B19" s="4">
        <f>C18</f>
        <v/>
      </c>
      <c r="C19" s="8" t="n">
        <v>380</v>
      </c>
      <c r="D19" s="6">
        <f>C19-B19</f>
        <v/>
      </c>
      <c r="E19" s="7" t="n"/>
      <c r="F19" s="7" t="n"/>
      <c r="G19" s="36" t="n"/>
      <c r="H19" s="36" t="n"/>
      <c r="I19" s="4" t="n"/>
      <c r="J19" s="4" t="n"/>
      <c r="K19" s="4" t="n"/>
      <c r="L19" s="47" t="n"/>
      <c r="M19" s="8" t="n"/>
      <c r="N19" s="53" t="n"/>
    </row>
    <row r="20">
      <c r="A20" s="3">
        <f>A19+1</f>
        <v/>
      </c>
      <c r="B20" s="4">
        <f>C19</f>
        <v/>
      </c>
      <c r="C20" s="8" t="n">
        <v>393</v>
      </c>
      <c r="D20" s="6">
        <f>C20-B20</f>
        <v/>
      </c>
      <c r="E20" s="7" t="n"/>
      <c r="F20" s="7" t="n"/>
      <c r="G20" s="36" t="n"/>
      <c r="H20" s="35" t="n"/>
      <c r="I20" s="4" t="n"/>
      <c r="J20" s="4" t="n"/>
      <c r="K20" s="4" t="n"/>
      <c r="L20" s="47" t="n"/>
      <c r="M20" s="8" t="n"/>
      <c r="N20" s="53" t="n"/>
    </row>
    <row r="21">
      <c r="A21" s="3">
        <f>A20+1</f>
        <v/>
      </c>
      <c r="B21" s="4">
        <f>C20</f>
        <v/>
      </c>
      <c r="C21" s="17" t="n">
        <v>403</v>
      </c>
      <c r="D21" s="6">
        <f>C21-B21</f>
        <v/>
      </c>
      <c r="E21" s="7" t="n"/>
      <c r="F21" s="7" t="n"/>
      <c r="G21" s="36" t="n"/>
      <c r="H21" s="36" t="n"/>
      <c r="I21" s="4" t="n">
        <v>367.01</v>
      </c>
      <c r="J21" s="4" t="n">
        <v>395</v>
      </c>
      <c r="K21" s="4">
        <f>J21-J17</f>
        <v/>
      </c>
      <c r="L21" s="47">
        <f>I21/K21</f>
        <v/>
      </c>
      <c r="M21" s="8" t="n"/>
      <c r="N21" s="53" t="n"/>
    </row>
    <row r="22">
      <c r="A22" s="3">
        <f>A21+1</f>
        <v/>
      </c>
      <c r="B22" s="4">
        <f>C21</f>
        <v/>
      </c>
      <c r="C22" s="4" t="n">
        <v>416</v>
      </c>
      <c r="D22" s="6">
        <f>C22-B22</f>
        <v/>
      </c>
      <c r="E22" s="7" t="n"/>
      <c r="F22" s="7" t="n"/>
      <c r="G22" s="36" t="n"/>
      <c r="H22" s="36" t="n"/>
      <c r="I22" s="4" t="n"/>
      <c r="J22" s="4" t="n"/>
      <c r="K22" s="4" t="n"/>
      <c r="L22" s="47" t="n"/>
      <c r="M22" s="17" t="n"/>
      <c r="N22" s="53" t="n"/>
    </row>
    <row r="23">
      <c r="A23" s="3">
        <f>A22+1</f>
        <v/>
      </c>
      <c r="B23" s="4">
        <f>C22</f>
        <v/>
      </c>
      <c r="C23" s="4" t="n">
        <v>419</v>
      </c>
      <c r="D23" s="6">
        <f>C23-B23</f>
        <v/>
      </c>
      <c r="E23" s="7" t="n"/>
      <c r="F23" s="7" t="n"/>
      <c r="G23" s="36" t="n"/>
      <c r="H23" s="36" t="n"/>
      <c r="I23" s="4" t="n"/>
      <c r="J23" s="4" t="n"/>
      <c r="K23" s="4" t="n"/>
      <c r="L23" s="47" t="n"/>
      <c r="M23" s="8" t="n"/>
      <c r="N23" s="53" t="n"/>
    </row>
    <row r="24">
      <c r="A24" s="3">
        <f>A23+1</f>
        <v/>
      </c>
      <c r="B24" s="4">
        <f>C23</f>
        <v/>
      </c>
      <c r="C24" s="4" t="n">
        <v>423</v>
      </c>
      <c r="D24" s="6">
        <f>C24-B24</f>
        <v/>
      </c>
      <c r="E24" s="7" t="n"/>
      <c r="F24" s="7" t="n"/>
      <c r="G24" s="36" t="n"/>
      <c r="H24" s="36" t="n"/>
      <c r="I24" s="4" t="n"/>
      <c r="J24" s="4" t="n"/>
      <c r="K24" s="4" t="n"/>
      <c r="L24" s="47" t="n"/>
      <c r="M24" s="8" t="n"/>
      <c r="N24" s="53" t="n"/>
    </row>
    <row r="25">
      <c r="A25" s="3">
        <f>A24+1</f>
        <v/>
      </c>
      <c r="B25" s="4">
        <f>C24</f>
        <v/>
      </c>
      <c r="C25" s="4" t="n">
        <v>435</v>
      </c>
      <c r="D25" s="6">
        <f>C25-B25</f>
        <v/>
      </c>
      <c r="E25" s="7" t="n"/>
      <c r="F25" s="7" t="n"/>
      <c r="G25" s="36" t="n"/>
      <c r="H25" s="36" t="n"/>
      <c r="I25" s="4" t="n">
        <v>430</v>
      </c>
      <c r="J25" s="4" t="n">
        <v>429</v>
      </c>
      <c r="K25" s="4">
        <f>J25-J21</f>
        <v/>
      </c>
      <c r="L25" s="47">
        <f>I25/K25</f>
        <v/>
      </c>
      <c r="M25" s="17" t="n"/>
      <c r="N25" s="53" t="n"/>
    </row>
    <row r="26">
      <c r="A26" s="3">
        <f>A25+1</f>
        <v/>
      </c>
      <c r="B26" s="4">
        <f>C25</f>
        <v/>
      </c>
      <c r="C26" s="6" t="n">
        <v>441</v>
      </c>
      <c r="D26" s="6">
        <f>C26-B26</f>
        <v/>
      </c>
      <c r="E26" s="7" t="n"/>
      <c r="F26" s="7" t="n"/>
      <c r="G26" s="36" t="n"/>
      <c r="H26" s="36" t="n"/>
      <c r="I26" s="4" t="n"/>
      <c r="J26" s="4" t="n"/>
      <c r="K26" s="4" t="n"/>
      <c r="L26" s="47" t="n"/>
      <c r="M26" s="8" t="n"/>
      <c r="N26" s="53" t="n"/>
    </row>
    <row r="27">
      <c r="A27" s="3">
        <f>A26+1</f>
        <v/>
      </c>
      <c r="B27" s="4">
        <f>C26</f>
        <v/>
      </c>
      <c r="C27" s="4" t="n">
        <v>444</v>
      </c>
      <c r="D27" s="6">
        <f>C27-B27</f>
        <v/>
      </c>
      <c r="E27" s="7" t="n"/>
      <c r="F27" s="7" t="n"/>
      <c r="G27" s="36" t="n"/>
      <c r="H27" s="36" t="n"/>
      <c r="I27" s="4" t="n"/>
      <c r="J27" s="4" t="n"/>
      <c r="K27" s="4" t="n"/>
      <c r="L27" s="47" t="n"/>
      <c r="M27" s="8" t="n"/>
      <c r="N27" s="53" t="n"/>
    </row>
    <row r="28">
      <c r="A28" s="3">
        <f>A27+1</f>
        <v/>
      </c>
      <c r="B28" s="4">
        <f>C27</f>
        <v/>
      </c>
      <c r="C28" s="4" t="n">
        <v>451</v>
      </c>
      <c r="D28" s="6">
        <f>C28-B28</f>
        <v/>
      </c>
      <c r="E28" s="7" t="n"/>
      <c r="F28" s="7" t="n"/>
      <c r="G28" s="36" t="n"/>
      <c r="H28" s="35" t="n"/>
      <c r="I28" s="4" t="n">
        <v>200</v>
      </c>
      <c r="J28" s="4" t="n">
        <v>445</v>
      </c>
      <c r="K28" s="4">
        <f>J28-J25</f>
        <v/>
      </c>
      <c r="L28" s="47">
        <f>I28/K28</f>
        <v/>
      </c>
      <c r="M28" s="8" t="n"/>
      <c r="N28" s="53" t="n"/>
    </row>
    <row r="29">
      <c r="A29" s="3">
        <f>A28+1</f>
        <v/>
      </c>
      <c r="B29" s="4">
        <f>C28</f>
        <v/>
      </c>
      <c r="C29" s="4" t="n">
        <v>461</v>
      </c>
      <c r="D29" s="6">
        <f>C29-B29</f>
        <v/>
      </c>
      <c r="E29" s="7" t="n"/>
      <c r="F29" s="7" t="n"/>
      <c r="G29" s="36" t="n"/>
      <c r="H29" s="36" t="n"/>
      <c r="I29" s="4" t="n"/>
      <c r="J29" s="4" t="n"/>
      <c r="K29" s="4" t="n"/>
      <c r="L29" s="47" t="n"/>
      <c r="M29" s="8" t="n"/>
      <c r="N29" s="53" t="n"/>
    </row>
    <row r="30">
      <c r="A30" s="3">
        <f>A29+1</f>
        <v/>
      </c>
      <c r="B30" s="4">
        <f>C29</f>
        <v/>
      </c>
      <c r="C30" s="4" t="n">
        <v>466</v>
      </c>
      <c r="D30" s="6">
        <f>C30-B30</f>
        <v/>
      </c>
      <c r="E30" s="7" t="n"/>
      <c r="F30" s="7" t="n"/>
      <c r="G30" s="36" t="n"/>
      <c r="H30" s="35" t="n"/>
      <c r="I30" s="4" t="n">
        <v>300</v>
      </c>
      <c r="J30" s="4" t="n">
        <v>463</v>
      </c>
      <c r="K30" s="4">
        <f>J30-J28</f>
        <v/>
      </c>
      <c r="L30" s="47">
        <f>I30/K30</f>
        <v/>
      </c>
      <c r="M30" s="8" t="n"/>
      <c r="N30" s="53" t="n"/>
    </row>
    <row r="31">
      <c r="A31" s="3">
        <f>A30+1</f>
        <v/>
      </c>
      <c r="B31" s="4">
        <f>C30</f>
        <v/>
      </c>
      <c r="C31" s="4" t="n">
        <v>480</v>
      </c>
      <c r="D31" s="6">
        <f>C31-B31</f>
        <v/>
      </c>
      <c r="E31" s="7" t="n"/>
      <c r="F31" s="7" t="n"/>
      <c r="G31" s="36" t="n"/>
      <c r="H31" s="35" t="n"/>
      <c r="I31" s="4" t="n"/>
      <c r="J31" s="4" t="n"/>
      <c r="K31" s="4" t="n"/>
      <c r="L31" s="47" t="n"/>
      <c r="M31" s="8" t="n"/>
      <c r="N31" s="53" t="n"/>
    </row>
    <row r="32" ht="15.75" customHeight="1">
      <c r="A32" s="3">
        <f>A31+1</f>
        <v/>
      </c>
      <c r="B32" s="4">
        <f>C31</f>
        <v/>
      </c>
      <c r="C32" s="4" t="n">
        <v>489</v>
      </c>
      <c r="D32" s="6">
        <f>C32-B32</f>
        <v/>
      </c>
      <c r="E32" s="7" t="n"/>
      <c r="F32" s="7" t="n"/>
      <c r="G32" s="36" t="n"/>
      <c r="H32" s="35" t="n"/>
      <c r="I32" s="4" t="n">
        <v>225</v>
      </c>
      <c r="J32" s="4" t="n">
        <v>485</v>
      </c>
      <c r="K32" s="4">
        <f>J32-J30</f>
        <v/>
      </c>
      <c r="L32" s="47">
        <f>I32/K32</f>
        <v/>
      </c>
      <c r="M32" s="8" t="n"/>
      <c r="N32" s="53" t="n"/>
    </row>
    <row r="33" ht="15.75" customHeight="1">
      <c r="A33" s="3">
        <f>A32+1</f>
        <v/>
      </c>
      <c r="B33" s="4">
        <f>C32</f>
        <v/>
      </c>
      <c r="C33" s="4" t="n">
        <v>498</v>
      </c>
      <c r="D33" s="6">
        <f>C33-B33</f>
        <v/>
      </c>
      <c r="E33" s="7" t="n"/>
      <c r="F33" s="7" t="n"/>
      <c r="G33" s="36" t="n"/>
      <c r="H33" s="35" t="n"/>
      <c r="I33" s="4" t="n"/>
      <c r="J33" s="4" t="n"/>
      <c r="K33" s="4" t="n"/>
      <c r="L33" s="47" t="n"/>
      <c r="M33" s="8" t="n"/>
      <c r="N33" s="53" t="n"/>
    </row>
    <row r="34" ht="15.75" customHeight="1">
      <c r="A34" s="12" t="n"/>
      <c r="B34" s="12" t="n"/>
      <c r="C34" s="13" t="n"/>
      <c r="D34" s="14">
        <f>SUM(D3:D33)</f>
        <v/>
      </c>
      <c r="E34" s="11" t="n"/>
      <c r="F34" s="11" t="n"/>
      <c r="G34" s="14">
        <f>SUM(G3:G33)</f>
        <v/>
      </c>
      <c r="H34" s="51" t="n"/>
      <c r="I34" s="14">
        <f>SUM(I3:I33)</f>
        <v/>
      </c>
      <c r="J34" s="14" t="n"/>
      <c r="K34" s="14">
        <f>SUM(K3:K33)</f>
        <v/>
      </c>
      <c r="L34" s="48">
        <f>I34/K34</f>
        <v/>
      </c>
      <c r="M34" s="15" t="n"/>
      <c r="N34" s="14">
        <f>SUM(N3:N33)</f>
        <v/>
      </c>
    </row>
  </sheetData>
  <mergeCells count="1">
    <mergeCell ref="B1:C1"/>
  </mergeCells>
  <conditionalFormatting sqref="A3:A17 A19:A33">
    <cfRule type="duplicateValues" priority="2"/>
  </conditionalFormatting>
  <conditionalFormatting sqref="A18">
    <cfRule type="duplicateValues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6"/>
  <sheetViews>
    <sheetView topLeftCell="A2" workbookViewId="0">
      <selection activeCell="J35" sqref="J35"/>
    </sheetView>
  </sheetViews>
  <sheetFormatPr baseColWidth="8" defaultRowHeight="15"/>
  <cols>
    <col width="9.28515625" customWidth="1" min="1" max="1"/>
    <col width="10.5703125" customWidth="1" min="2" max="2"/>
    <col width="9.140625" bestFit="1" customWidth="1" min="4" max="4"/>
    <col width="12.140625" bestFit="1" customWidth="1" min="5" max="5"/>
    <col width="12.28515625" customWidth="1" min="6" max="6"/>
    <col width="12.42578125" customWidth="1" min="7" max="7"/>
    <col width="12" customWidth="1" min="8" max="8"/>
    <col width="11.7109375" customWidth="1" min="13" max="13"/>
    <col width="11.85546875" customWidth="1" min="16" max="16"/>
    <col width="10.5703125" customWidth="1" min="24" max="24"/>
  </cols>
  <sheetData>
    <row r="1" ht="63" customHeight="1">
      <c r="A1" s="130" t="inlineStr">
        <is>
          <t>DATE</t>
        </is>
      </c>
      <c r="B1" s="130" t="inlineStr">
        <is>
          <t>KAMLAR- Dhirpur</t>
        </is>
      </c>
      <c r="C1" s="132" t="n"/>
      <c r="D1" s="10" t="inlineStr">
        <is>
          <t>Daily Running Hours</t>
        </is>
      </c>
      <c r="E1" s="10" t="inlineStr">
        <is>
          <t>Breakdown start time</t>
        </is>
      </c>
      <c r="F1" s="10" t="inlineStr">
        <is>
          <t>Breakdown end time</t>
        </is>
      </c>
      <c r="G1" s="49" t="inlineStr">
        <is>
          <t>Total Breakdown Hour</t>
        </is>
      </c>
      <c r="H1" s="49" t="inlineStr">
        <is>
          <t>Breakdown Reason</t>
        </is>
      </c>
      <c r="I1" s="130" t="inlineStr">
        <is>
          <t>DIESEL Consumed</t>
        </is>
      </c>
      <c r="J1" s="130" t="inlineStr">
        <is>
          <t>Diesel HMR</t>
        </is>
      </c>
      <c r="K1" s="130" t="inlineStr">
        <is>
          <t xml:space="preserve">Hours </t>
        </is>
      </c>
      <c r="L1" s="45" t="inlineStr">
        <is>
          <t>Average</t>
        </is>
      </c>
      <c r="M1" s="130" t="inlineStr">
        <is>
          <t>KAMLAR-1-Dalpatpur</t>
        </is>
      </c>
      <c r="N1" s="132" t="n"/>
      <c r="O1" s="10" t="inlineStr">
        <is>
          <t>Daily Running Hours</t>
        </is>
      </c>
      <c r="P1" s="10" t="inlineStr">
        <is>
          <t>Breakdown start time</t>
        </is>
      </c>
      <c r="Q1" s="10" t="inlineStr">
        <is>
          <t>Breakdown end time</t>
        </is>
      </c>
      <c r="R1" s="49" t="inlineStr">
        <is>
          <t>Total Breakdown Hour</t>
        </is>
      </c>
      <c r="S1" s="49" t="inlineStr">
        <is>
          <t>Breakdown Reason</t>
        </is>
      </c>
      <c r="T1" s="130" t="inlineStr">
        <is>
          <t>DIESEL Consumed</t>
        </is>
      </c>
      <c r="U1" s="130" t="inlineStr">
        <is>
          <t>Diesel HMR</t>
        </is>
      </c>
      <c r="V1" s="130" t="inlineStr">
        <is>
          <t xml:space="preserve">Hours </t>
        </is>
      </c>
      <c r="W1" s="45" t="inlineStr">
        <is>
          <t>Average</t>
        </is>
      </c>
      <c r="X1" s="130" t="inlineStr">
        <is>
          <t>KAMLAR-2-Dalpatpur</t>
        </is>
      </c>
      <c r="Y1" s="132" t="n"/>
      <c r="Z1" s="10" t="inlineStr">
        <is>
          <t>Daily Running Hours</t>
        </is>
      </c>
      <c r="AA1" s="10" t="inlineStr">
        <is>
          <t>Breakdown start time</t>
        </is>
      </c>
      <c r="AB1" s="10" t="inlineStr">
        <is>
          <t>Breakdown end time</t>
        </is>
      </c>
      <c r="AC1" s="49" t="inlineStr">
        <is>
          <t>Total Breakdown Hour</t>
        </is>
      </c>
      <c r="AD1" s="49" t="inlineStr">
        <is>
          <t>Breakdown Reason</t>
        </is>
      </c>
      <c r="AE1" s="130" t="inlineStr">
        <is>
          <t>DIESEL Consumed</t>
        </is>
      </c>
      <c r="AF1" s="130" t="inlineStr">
        <is>
          <t>Diesel HMR</t>
        </is>
      </c>
      <c r="AG1" s="130" t="inlineStr">
        <is>
          <t xml:space="preserve">Hours </t>
        </is>
      </c>
      <c r="AH1" s="45" t="inlineStr">
        <is>
          <t>Average</t>
        </is>
      </c>
    </row>
    <row r="2" ht="30" customHeight="1">
      <c r="A2" s="38" t="inlineStr">
        <is>
          <t>PREV  Stock</t>
        </is>
      </c>
      <c r="B2" s="38" t="inlineStr">
        <is>
          <t>Start HMR</t>
        </is>
      </c>
      <c r="C2" s="38" t="inlineStr">
        <is>
          <t>End HMR</t>
        </is>
      </c>
      <c r="D2" s="39" t="n"/>
      <c r="E2" s="39" t="n"/>
      <c r="F2" s="39" t="n"/>
      <c r="G2" s="50" t="n"/>
      <c r="H2" s="50" t="n"/>
      <c r="I2" s="38" t="n"/>
      <c r="J2" s="40" t="n">
        <v>485</v>
      </c>
      <c r="K2" s="38" t="n"/>
      <c r="L2" s="46" t="n"/>
      <c r="M2" s="38" t="inlineStr">
        <is>
          <t>Start HMR</t>
        </is>
      </c>
      <c r="N2" s="38" t="inlineStr">
        <is>
          <t>End HMR</t>
        </is>
      </c>
      <c r="O2" s="39" t="n"/>
      <c r="P2" s="39" t="n"/>
      <c r="Q2" s="39" t="n"/>
      <c r="R2" s="50" t="n"/>
      <c r="S2" s="50" t="n"/>
      <c r="T2" s="38" t="n"/>
      <c r="U2" s="40" t="n"/>
      <c r="V2" s="38" t="n"/>
      <c r="W2" s="46" t="n"/>
      <c r="X2" s="38" t="inlineStr">
        <is>
          <t>Start HMR</t>
        </is>
      </c>
      <c r="Y2" s="38" t="inlineStr">
        <is>
          <t>End HMR</t>
        </is>
      </c>
      <c r="Z2" s="39" t="n"/>
      <c r="AA2" s="39" t="n"/>
      <c r="AB2" s="39" t="n"/>
      <c r="AC2" s="50" t="n"/>
      <c r="AD2" s="50" t="n"/>
      <c r="AE2" s="38" t="n"/>
      <c r="AF2" s="40" t="n"/>
      <c r="AG2" s="38" t="n"/>
      <c r="AH2" s="46" t="n"/>
    </row>
    <row r="3">
      <c r="A3" s="3" t="n">
        <v>46023</v>
      </c>
      <c r="B3" s="4" t="n">
        <v>498</v>
      </c>
      <c r="C3" s="5" t="n">
        <v>501</v>
      </c>
      <c r="D3" s="6">
        <f>C3-B3</f>
        <v/>
      </c>
      <c r="E3" s="7" t="n"/>
      <c r="F3" s="7" t="n"/>
      <c r="G3" s="36" t="n"/>
      <c r="H3" s="36" t="n"/>
      <c r="I3" s="4" t="n">
        <v>178</v>
      </c>
      <c r="J3" s="4" t="n">
        <v>498</v>
      </c>
      <c r="K3" s="4">
        <f>J3-J2</f>
        <v/>
      </c>
      <c r="L3" s="47">
        <f>I3/K3</f>
        <v/>
      </c>
      <c r="M3" s="4" t="n"/>
      <c r="N3" s="5" t="n"/>
      <c r="O3" s="6" t="n"/>
      <c r="P3" s="7" t="n"/>
      <c r="Q3" s="7" t="n"/>
      <c r="R3" s="36" t="n"/>
      <c r="S3" s="36" t="n"/>
      <c r="T3" s="4" t="n"/>
      <c r="U3" s="4" t="n"/>
      <c r="V3" s="4" t="n"/>
      <c r="W3" s="47" t="n"/>
      <c r="X3" s="4" t="n"/>
      <c r="Y3" s="5" t="n"/>
      <c r="Z3" s="6" t="n"/>
      <c r="AA3" s="7" t="n"/>
      <c r="AB3" s="7" t="n"/>
      <c r="AC3" s="36" t="n"/>
      <c r="AD3" s="36" t="n"/>
      <c r="AE3" s="4" t="n"/>
      <c r="AF3" s="4" t="n"/>
      <c r="AG3" s="4" t="n"/>
      <c r="AH3" s="47" t="n"/>
    </row>
    <row r="4">
      <c r="A4" s="3">
        <f>A3+1</f>
        <v/>
      </c>
      <c r="B4" s="4">
        <f>C3</f>
        <v/>
      </c>
      <c r="C4" s="4" t="n">
        <v>506</v>
      </c>
      <c r="D4" s="6">
        <f>C4-B4</f>
        <v/>
      </c>
      <c r="E4" s="7" t="n"/>
      <c r="F4" s="7" t="n"/>
      <c r="G4" s="36" t="n"/>
      <c r="H4" s="36" t="n"/>
      <c r="I4" s="4" t="n"/>
      <c r="J4" s="4" t="n"/>
      <c r="K4" s="4" t="n"/>
      <c r="L4" s="47" t="n"/>
      <c r="M4" s="4" t="n"/>
      <c r="N4" s="4" t="n"/>
      <c r="O4" s="6" t="n"/>
      <c r="P4" s="7" t="n"/>
      <c r="Q4" s="7" t="n"/>
      <c r="R4" s="36" t="n"/>
      <c r="S4" s="36" t="n"/>
      <c r="T4" s="4" t="n"/>
      <c r="U4" s="4" t="n"/>
      <c r="V4" s="4" t="n"/>
      <c r="W4" s="47" t="n"/>
      <c r="X4" s="4" t="n"/>
      <c r="Y4" s="4" t="n"/>
      <c r="Z4" s="6" t="n"/>
      <c r="AA4" s="7" t="n"/>
      <c r="AB4" s="7" t="n"/>
      <c r="AC4" s="36" t="n"/>
      <c r="AD4" s="36" t="n"/>
      <c r="AE4" s="4" t="n"/>
      <c r="AF4" s="4" t="n"/>
      <c r="AG4" s="4" t="n"/>
      <c r="AH4" s="47" t="n"/>
    </row>
    <row r="5">
      <c r="A5" s="3">
        <f>A4+1</f>
        <v/>
      </c>
      <c r="B5" s="4">
        <f>C4</f>
        <v/>
      </c>
      <c r="C5" s="37" t="n">
        <v>510</v>
      </c>
      <c r="D5" s="6">
        <f>C5-B5</f>
        <v/>
      </c>
      <c r="E5" s="7" t="n"/>
      <c r="F5" s="7" t="n"/>
      <c r="G5" s="36" t="n"/>
      <c r="H5" s="36" t="n"/>
      <c r="I5" s="4" t="n">
        <v>105</v>
      </c>
      <c r="J5" s="4" t="n">
        <v>506</v>
      </c>
      <c r="K5" s="4">
        <f>J5-J3</f>
        <v/>
      </c>
      <c r="L5" s="47">
        <f>I5/K5</f>
        <v/>
      </c>
      <c r="M5" s="4" t="n"/>
      <c r="N5" s="37" t="n"/>
      <c r="O5" s="6" t="n"/>
      <c r="P5" s="7" t="n"/>
      <c r="Q5" s="7" t="n"/>
      <c r="R5" s="36" t="n"/>
      <c r="S5" s="36" t="n"/>
      <c r="T5" s="4" t="n"/>
      <c r="U5" s="4" t="n"/>
      <c r="V5" s="4" t="n"/>
      <c r="W5" s="47" t="n"/>
      <c r="X5" s="4" t="n"/>
      <c r="Y5" s="37" t="n"/>
      <c r="Z5" s="6" t="n"/>
      <c r="AA5" s="7" t="n"/>
      <c r="AB5" s="7" t="n"/>
      <c r="AC5" s="36" t="n"/>
      <c r="AD5" s="36" t="n"/>
      <c r="AE5" s="4" t="n"/>
      <c r="AF5" s="4" t="n"/>
      <c r="AG5" s="4" t="n"/>
      <c r="AH5" s="47" t="n"/>
    </row>
    <row r="6">
      <c r="A6" s="3">
        <f>A5+1</f>
        <v/>
      </c>
      <c r="B6" s="4">
        <f>C5</f>
        <v/>
      </c>
      <c r="C6" s="4" t="n">
        <v>523</v>
      </c>
      <c r="D6" s="6">
        <f>C6-B6</f>
        <v/>
      </c>
      <c r="E6" s="7" t="n"/>
      <c r="F6" s="7" t="n"/>
      <c r="G6" s="36" t="n"/>
      <c r="H6" s="36" t="n"/>
      <c r="I6" s="4" t="n"/>
      <c r="J6" s="37" t="n"/>
      <c r="K6" s="4" t="n"/>
      <c r="L6" s="47" t="n"/>
      <c r="M6" s="4" t="n"/>
      <c r="N6" s="4" t="n"/>
      <c r="O6" s="6" t="n"/>
      <c r="P6" s="7" t="n"/>
      <c r="Q6" s="7" t="n"/>
      <c r="R6" s="36" t="n"/>
      <c r="S6" s="36" t="n"/>
      <c r="T6" s="4" t="n"/>
      <c r="U6" s="37" t="n"/>
      <c r="V6" s="4" t="n"/>
      <c r="W6" s="47" t="n"/>
      <c r="X6" s="4" t="n"/>
      <c r="Y6" s="4" t="n"/>
      <c r="Z6" s="6" t="n"/>
      <c r="AA6" s="7" t="n"/>
      <c r="AB6" s="7" t="n"/>
      <c r="AC6" s="36" t="n"/>
      <c r="AD6" s="36" t="n"/>
      <c r="AE6" s="4" t="n"/>
      <c r="AF6" s="37" t="n"/>
      <c r="AG6" s="4" t="n"/>
      <c r="AH6" s="47" t="n"/>
    </row>
    <row r="7">
      <c r="A7" s="3">
        <f>A6+1</f>
        <v/>
      </c>
      <c r="B7" s="4">
        <f>C6</f>
        <v/>
      </c>
      <c r="C7" s="4" t="n">
        <v>531</v>
      </c>
      <c r="D7" s="6">
        <f>C7-B7</f>
        <v/>
      </c>
      <c r="E7" s="7" t="n"/>
      <c r="F7" s="7" t="n"/>
      <c r="G7" s="36" t="n"/>
      <c r="H7" s="36" t="n"/>
      <c r="I7" s="4" t="n">
        <v>225</v>
      </c>
      <c r="J7" s="4" t="n">
        <v>525</v>
      </c>
      <c r="K7" s="4">
        <f>J7-J5</f>
        <v/>
      </c>
      <c r="L7" s="47">
        <f>I7/K7</f>
        <v/>
      </c>
      <c r="M7" s="4" t="n"/>
      <c r="N7" s="4" t="n"/>
      <c r="O7" s="6" t="n"/>
      <c r="P7" s="7" t="n"/>
      <c r="Q7" s="7" t="n"/>
      <c r="R7" s="36" t="n"/>
      <c r="S7" s="36" t="n"/>
      <c r="T7" s="4" t="n"/>
      <c r="U7" s="4" t="n"/>
      <c r="V7" s="4" t="n"/>
      <c r="W7" s="47" t="n"/>
      <c r="X7" s="4" t="n"/>
      <c r="Y7" s="4" t="n"/>
      <c r="Z7" s="6" t="n"/>
      <c r="AA7" s="7" t="n"/>
      <c r="AB7" s="7" t="n"/>
      <c r="AC7" s="36" t="n"/>
      <c r="AD7" s="36" t="n"/>
      <c r="AE7" s="4" t="n"/>
      <c r="AF7" s="4" t="n"/>
      <c r="AG7" s="4" t="n"/>
      <c r="AH7" s="47" t="n"/>
    </row>
    <row r="8">
      <c r="A8" s="3">
        <f>A7+1</f>
        <v/>
      </c>
      <c r="B8" s="4">
        <f>C7</f>
        <v/>
      </c>
      <c r="C8" s="4" t="n">
        <v>541</v>
      </c>
      <c r="D8" s="6">
        <f>C8-B8</f>
        <v/>
      </c>
      <c r="E8" s="7" t="n"/>
      <c r="F8" s="7" t="n"/>
      <c r="G8" s="36" t="n"/>
      <c r="H8" s="36" t="n"/>
      <c r="I8" s="4" t="n"/>
      <c r="J8" s="4" t="n"/>
      <c r="K8" s="4" t="n"/>
      <c r="L8" s="47" t="n"/>
      <c r="M8" s="4" t="n"/>
      <c r="N8" s="4" t="n"/>
      <c r="O8" s="6" t="n"/>
      <c r="P8" s="7" t="n"/>
      <c r="Q8" s="7" t="n"/>
      <c r="R8" s="36" t="n"/>
      <c r="S8" s="36" t="n"/>
      <c r="T8" s="4" t="n"/>
      <c r="U8" s="4" t="n"/>
      <c r="V8" s="4" t="n"/>
      <c r="W8" s="47" t="n"/>
      <c r="X8" s="4" t="n"/>
      <c r="Y8" s="4" t="n"/>
      <c r="Z8" s="6" t="n"/>
      <c r="AA8" s="7" t="n"/>
      <c r="AB8" s="7" t="n"/>
      <c r="AC8" s="36" t="n"/>
      <c r="AD8" s="36" t="n"/>
      <c r="AE8" s="4" t="n"/>
      <c r="AF8" s="4" t="n"/>
      <c r="AG8" s="4" t="n"/>
      <c r="AH8" s="47" t="n"/>
    </row>
    <row r="9">
      <c r="A9" s="3">
        <f>A8+1</f>
        <v/>
      </c>
      <c r="B9" s="4">
        <f>C8</f>
        <v/>
      </c>
      <c r="C9" s="4" t="n">
        <v>548</v>
      </c>
      <c r="D9" s="6">
        <f>C9-B9</f>
        <v/>
      </c>
      <c r="E9" s="7" t="n"/>
      <c r="F9" s="7" t="n"/>
      <c r="G9" s="36" t="n"/>
      <c r="H9" s="35" t="n"/>
      <c r="I9" s="4" t="n"/>
      <c r="J9" s="4" t="n"/>
      <c r="K9" s="4" t="n"/>
      <c r="L9" s="47" t="n"/>
      <c r="M9" s="4" t="n"/>
      <c r="N9" s="4" t="n"/>
      <c r="O9" s="6" t="n"/>
      <c r="P9" s="7" t="n"/>
      <c r="Q9" s="7" t="n"/>
      <c r="R9" s="36" t="n"/>
      <c r="S9" s="35" t="n"/>
      <c r="T9" s="4" t="n"/>
      <c r="U9" s="4" t="n"/>
      <c r="V9" s="4" t="n"/>
      <c r="W9" s="47" t="n"/>
      <c r="X9" s="4" t="n"/>
      <c r="Y9" s="4" t="n"/>
      <c r="Z9" s="6" t="n"/>
      <c r="AA9" s="7" t="n"/>
      <c r="AB9" s="7" t="n"/>
      <c r="AC9" s="36" t="n"/>
      <c r="AD9" s="35" t="n"/>
      <c r="AE9" s="4" t="n"/>
      <c r="AF9" s="4" t="n"/>
      <c r="AG9" s="4" t="n"/>
      <c r="AH9" s="47" t="n"/>
    </row>
    <row r="10">
      <c r="A10" s="3">
        <f>A9+1</f>
        <v/>
      </c>
      <c r="B10" s="4">
        <f>C9</f>
        <v/>
      </c>
      <c r="C10" s="4" t="n">
        <v>559</v>
      </c>
      <c r="D10" s="6">
        <f>C10-B10</f>
        <v/>
      </c>
      <c r="E10" s="7" t="n"/>
      <c r="F10" s="7" t="n"/>
      <c r="G10" s="36" t="n"/>
      <c r="H10" s="36" t="n"/>
      <c r="I10" s="4" t="n"/>
      <c r="J10" s="4" t="n"/>
      <c r="K10" s="4" t="n"/>
      <c r="L10" s="47" t="n"/>
      <c r="M10" s="4" t="n"/>
      <c r="N10" s="4" t="n"/>
      <c r="O10" s="6" t="n"/>
      <c r="P10" s="7" t="n"/>
      <c r="Q10" s="7" t="n"/>
      <c r="R10" s="36" t="n"/>
      <c r="S10" s="36" t="n"/>
      <c r="T10" s="4" t="n"/>
      <c r="U10" s="4" t="n"/>
      <c r="V10" s="4" t="n"/>
      <c r="W10" s="47" t="n"/>
      <c r="X10" s="4" t="n"/>
      <c r="Y10" s="4" t="n"/>
      <c r="Z10" s="6" t="n"/>
      <c r="AA10" s="7" t="n"/>
      <c r="AB10" s="7" t="n"/>
      <c r="AC10" s="36" t="n"/>
      <c r="AD10" s="36" t="n"/>
      <c r="AE10" s="4" t="n"/>
      <c r="AF10" s="4" t="n"/>
      <c r="AG10" s="4" t="n"/>
      <c r="AH10" s="47" t="n"/>
    </row>
    <row r="11">
      <c r="A11" s="3">
        <f>A10+1</f>
        <v/>
      </c>
      <c r="B11" s="4">
        <f>C10</f>
        <v/>
      </c>
      <c r="C11" s="4" t="n">
        <v>565</v>
      </c>
      <c r="D11" s="6">
        <f>C11-B11</f>
        <v/>
      </c>
      <c r="E11" s="7" t="n"/>
      <c r="F11" s="7" t="n"/>
      <c r="G11" s="36" t="n"/>
      <c r="H11" s="36" t="n"/>
      <c r="I11" s="4" t="n">
        <v>205</v>
      </c>
      <c r="J11" s="4" t="n">
        <v>559</v>
      </c>
      <c r="K11" s="4">
        <f>J11-J7</f>
        <v/>
      </c>
      <c r="L11" s="47">
        <f>I11/K11</f>
        <v/>
      </c>
      <c r="M11" s="4" t="n"/>
      <c r="N11" s="4" t="n"/>
      <c r="O11" s="6" t="n"/>
      <c r="P11" s="7" t="n"/>
      <c r="Q11" s="7" t="n"/>
      <c r="R11" s="36" t="n"/>
      <c r="S11" s="36" t="n"/>
      <c r="T11" s="4" t="n"/>
      <c r="U11" s="4" t="n"/>
      <c r="V11" s="4" t="n"/>
      <c r="W11" s="47" t="n"/>
      <c r="X11" s="4" t="n"/>
      <c r="Y11" s="4" t="n"/>
      <c r="Z11" s="6" t="n"/>
      <c r="AA11" s="7" t="n"/>
      <c r="AB11" s="7" t="n"/>
      <c r="AC11" s="36" t="n"/>
      <c r="AD11" s="36" t="n"/>
      <c r="AE11" s="4" t="n"/>
      <c r="AF11" s="4" t="n"/>
      <c r="AG11" s="4" t="n"/>
      <c r="AH11" s="47" t="n"/>
    </row>
    <row r="12">
      <c r="A12" s="3">
        <f>A11+1</f>
        <v/>
      </c>
      <c r="B12" s="4">
        <f>C11</f>
        <v/>
      </c>
      <c r="C12" s="4" t="n">
        <v>573</v>
      </c>
      <c r="D12" s="6">
        <f>C12-B12</f>
        <v/>
      </c>
      <c r="E12" s="7" t="n"/>
      <c r="F12" s="7" t="n"/>
      <c r="G12" s="36" t="n"/>
      <c r="H12" s="36" t="n"/>
      <c r="I12" s="4" t="n">
        <v>140</v>
      </c>
      <c r="J12" s="4" t="n">
        <v>570</v>
      </c>
      <c r="K12" s="4">
        <f>J12-J11</f>
        <v/>
      </c>
      <c r="L12" s="47">
        <f>I12/K12</f>
        <v/>
      </c>
      <c r="M12" s="4" t="n"/>
      <c r="N12" s="4" t="n"/>
      <c r="O12" s="6" t="n"/>
      <c r="P12" s="7" t="n"/>
      <c r="Q12" s="7" t="n"/>
      <c r="R12" s="36" t="n"/>
      <c r="S12" s="36" t="n"/>
      <c r="T12" s="4" t="n"/>
      <c r="U12" s="4" t="n"/>
      <c r="V12" s="4" t="n"/>
      <c r="W12" s="47" t="n"/>
      <c r="X12" s="4" t="n"/>
      <c r="Y12" s="4" t="n"/>
      <c r="Z12" s="6" t="n"/>
      <c r="AA12" s="7" t="n"/>
      <c r="AB12" s="7" t="n"/>
      <c r="AC12" s="36" t="n"/>
      <c r="AD12" s="36" t="n"/>
      <c r="AE12" s="4" t="n"/>
      <c r="AF12" s="4" t="n"/>
      <c r="AG12" s="4" t="n"/>
      <c r="AH12" s="47" t="n"/>
    </row>
    <row r="13">
      <c r="A13" s="3">
        <f>A12+1</f>
        <v/>
      </c>
      <c r="B13" s="4">
        <f>C12</f>
        <v/>
      </c>
      <c r="C13" s="4" t="n">
        <v>575</v>
      </c>
      <c r="D13" s="6">
        <f>C13-B13</f>
        <v/>
      </c>
      <c r="E13" s="7" t="n"/>
      <c r="F13" s="7" t="n"/>
      <c r="G13" s="36" t="n"/>
      <c r="H13" s="35" t="n"/>
      <c r="I13" s="4" t="n"/>
      <c r="J13" s="4" t="n"/>
      <c r="K13" s="4" t="n"/>
      <c r="L13" s="47" t="n"/>
      <c r="M13" s="4" t="n"/>
      <c r="N13" s="4" t="n"/>
      <c r="O13" s="6" t="n"/>
      <c r="P13" s="7" t="n"/>
      <c r="Q13" s="7" t="n"/>
      <c r="R13" s="36" t="n"/>
      <c r="S13" s="35" t="n"/>
      <c r="T13" s="4" t="n"/>
      <c r="U13" s="4" t="n"/>
      <c r="V13" s="4" t="n"/>
      <c r="W13" s="47" t="n"/>
      <c r="X13" s="4" t="n"/>
      <c r="Y13" s="4" t="n"/>
      <c r="Z13" s="6" t="n"/>
      <c r="AA13" s="7" t="n"/>
      <c r="AB13" s="7" t="n"/>
      <c r="AC13" s="36" t="n"/>
      <c r="AD13" s="35" t="n"/>
      <c r="AE13" s="4" t="n"/>
      <c r="AF13" s="4" t="n"/>
      <c r="AG13" s="4" t="n"/>
      <c r="AH13" s="47" t="n"/>
    </row>
    <row r="14">
      <c r="A14" s="3">
        <f>A13+1</f>
        <v/>
      </c>
      <c r="B14" s="4">
        <f>C13</f>
        <v/>
      </c>
      <c r="C14" s="4" t="n">
        <v>583</v>
      </c>
      <c r="D14" s="6">
        <f>C14-B14</f>
        <v/>
      </c>
      <c r="E14" s="7" t="n"/>
      <c r="F14" s="7" t="n"/>
      <c r="G14" s="36" t="n"/>
      <c r="H14" s="36" t="n"/>
      <c r="I14" s="4" t="n"/>
      <c r="J14" s="4" t="n"/>
      <c r="K14" s="4" t="n"/>
      <c r="L14" s="47" t="n"/>
      <c r="M14" s="4" t="n"/>
      <c r="N14" s="4" t="n"/>
      <c r="O14" s="6" t="n"/>
      <c r="P14" s="7" t="n"/>
      <c r="Q14" s="7" t="n"/>
      <c r="R14" s="36" t="n"/>
      <c r="S14" s="36" t="n"/>
      <c r="T14" s="4" t="n"/>
      <c r="U14" s="4" t="n"/>
      <c r="V14" s="4" t="n"/>
      <c r="W14" s="47" t="n"/>
      <c r="X14" s="4" t="n"/>
      <c r="Y14" s="4" t="n"/>
      <c r="Z14" s="6" t="n"/>
      <c r="AA14" s="7" t="n"/>
      <c r="AB14" s="7" t="n"/>
      <c r="AC14" s="36" t="n"/>
      <c r="AD14" s="36" t="n"/>
      <c r="AE14" s="4" t="n"/>
      <c r="AF14" s="4" t="n"/>
      <c r="AG14" s="4" t="n"/>
      <c r="AH14" s="47" t="n"/>
    </row>
    <row r="15">
      <c r="A15" s="3">
        <f>A14+1</f>
        <v/>
      </c>
      <c r="B15" s="4">
        <f>C14</f>
        <v/>
      </c>
      <c r="C15" s="4" t="n">
        <v>590</v>
      </c>
      <c r="D15" s="6">
        <f>C15-B15</f>
        <v/>
      </c>
      <c r="E15" s="7" t="n"/>
      <c r="F15" s="7" t="n"/>
      <c r="G15" s="36" t="n"/>
      <c r="H15" s="36" t="n"/>
      <c r="I15" s="4" t="n">
        <v>170</v>
      </c>
      <c r="J15" s="4" t="n">
        <v>584</v>
      </c>
      <c r="K15" s="4">
        <f>J15-J12</f>
        <v/>
      </c>
      <c r="L15" s="47">
        <f>I15/K15</f>
        <v/>
      </c>
      <c r="M15" s="4" t="n"/>
      <c r="N15" s="4" t="n"/>
      <c r="O15" s="6" t="n"/>
      <c r="P15" s="7" t="n"/>
      <c r="Q15" s="7" t="n"/>
      <c r="R15" s="36" t="n"/>
      <c r="S15" s="36" t="n"/>
      <c r="T15" s="4" t="n"/>
      <c r="U15" s="4" t="n"/>
      <c r="V15" s="4" t="n"/>
      <c r="W15" s="47" t="n"/>
      <c r="X15" s="4" t="n"/>
      <c r="Y15" s="4" t="n"/>
      <c r="Z15" s="6" t="n"/>
      <c r="AA15" s="7" t="n"/>
      <c r="AB15" s="7" t="n"/>
      <c r="AC15" s="36" t="n"/>
      <c r="AD15" s="36" t="n"/>
      <c r="AE15" s="4" t="n"/>
      <c r="AF15" s="4" t="n"/>
      <c r="AG15" s="4" t="n"/>
      <c r="AH15" s="47" t="n"/>
    </row>
    <row r="16">
      <c r="A16" s="3">
        <f>A15+1</f>
        <v/>
      </c>
      <c r="B16" s="4">
        <f>C15</f>
        <v/>
      </c>
      <c r="C16" s="4" t="n">
        <v>602</v>
      </c>
      <c r="D16" s="6">
        <f>C16-B16</f>
        <v/>
      </c>
      <c r="E16" s="7" t="n"/>
      <c r="F16" s="7" t="n"/>
      <c r="G16" s="36" t="n"/>
      <c r="H16" s="36" t="n"/>
      <c r="I16" s="4" t="n"/>
      <c r="J16" s="4" t="n"/>
      <c r="K16" s="4" t="n"/>
      <c r="L16" s="47" t="n"/>
      <c r="M16" s="4" t="n"/>
      <c r="N16" s="4" t="n"/>
      <c r="O16" s="6" t="n"/>
      <c r="P16" s="7" t="n"/>
      <c r="Q16" s="7" t="n"/>
      <c r="R16" s="36" t="n"/>
      <c r="S16" s="36" t="n"/>
      <c r="T16" s="4" t="n"/>
      <c r="U16" s="4" t="n"/>
      <c r="V16" s="4" t="n"/>
      <c r="W16" s="47" t="n"/>
      <c r="X16" s="4" t="n"/>
      <c r="Y16" s="4" t="n"/>
      <c r="Z16" s="6" t="n"/>
      <c r="AA16" s="7" t="n"/>
      <c r="AB16" s="7" t="n"/>
      <c r="AC16" s="36" t="n"/>
      <c r="AD16" s="36" t="n"/>
      <c r="AE16" s="4" t="n"/>
      <c r="AF16" s="4" t="n"/>
      <c r="AG16" s="4" t="n"/>
      <c r="AH16" s="47" t="n"/>
    </row>
    <row r="17">
      <c r="A17" s="3">
        <f>A16+1</f>
        <v/>
      </c>
      <c r="B17" s="4">
        <f>C16</f>
        <v/>
      </c>
      <c r="C17" s="4" t="n">
        <v>612</v>
      </c>
      <c r="D17" s="6">
        <f>C17-B17</f>
        <v/>
      </c>
      <c r="E17" s="7" t="n"/>
      <c r="F17" s="7" t="n"/>
      <c r="G17" s="36" t="n"/>
      <c r="H17" s="36" t="n"/>
      <c r="I17" s="4" t="n">
        <v>260</v>
      </c>
      <c r="J17" s="4" t="n">
        <v>604</v>
      </c>
      <c r="K17" s="4">
        <f>J17-J15</f>
        <v/>
      </c>
      <c r="L17" s="47">
        <f>I17/K17</f>
        <v/>
      </c>
      <c r="M17" s="4" t="n"/>
      <c r="N17" s="4" t="n"/>
      <c r="O17" s="6" t="n"/>
      <c r="P17" s="7" t="n"/>
      <c r="Q17" s="7" t="n"/>
      <c r="R17" s="36" t="n"/>
      <c r="S17" s="36" t="n"/>
      <c r="T17" s="4" t="n"/>
      <c r="U17" s="4" t="n"/>
      <c r="V17" s="4" t="n"/>
      <c r="W17" s="47" t="n"/>
      <c r="X17" s="4" t="n"/>
      <c r="Y17" s="4" t="n"/>
      <c r="Z17" s="6" t="n"/>
      <c r="AA17" s="7" t="n"/>
      <c r="AB17" s="7" t="n"/>
      <c r="AC17" s="36" t="n"/>
      <c r="AD17" s="36" t="n"/>
      <c r="AE17" s="4" t="n"/>
      <c r="AF17" s="4" t="n"/>
      <c r="AG17" s="4" t="n"/>
      <c r="AH17" s="47" t="n"/>
    </row>
    <row r="18">
      <c r="A18" s="3">
        <f>A17+1</f>
        <v/>
      </c>
      <c r="B18" s="4">
        <f>C17</f>
        <v/>
      </c>
      <c r="C18" s="4" t="n">
        <v>620</v>
      </c>
      <c r="D18" s="6">
        <f>C18-B18</f>
        <v/>
      </c>
      <c r="E18" s="7" t="n"/>
      <c r="F18" s="7" t="n"/>
      <c r="G18" s="36" t="n"/>
      <c r="H18" s="36" t="n"/>
      <c r="I18" s="4" t="n"/>
      <c r="J18" s="4" t="n"/>
      <c r="K18" s="4" t="n"/>
      <c r="L18" s="47" t="n"/>
      <c r="M18" s="4" t="n"/>
      <c r="N18" s="4" t="n"/>
      <c r="O18" s="6" t="n"/>
      <c r="P18" s="7" t="n"/>
      <c r="Q18" s="7" t="n"/>
      <c r="R18" s="36" t="n"/>
      <c r="S18" s="36" t="n"/>
      <c r="T18" s="4" t="n"/>
      <c r="U18" s="4" t="n"/>
      <c r="V18" s="4" t="n"/>
      <c r="W18" s="47" t="n"/>
      <c r="X18" s="4" t="n"/>
      <c r="Y18" s="4" t="n"/>
      <c r="Z18" s="6" t="n"/>
      <c r="AA18" s="7" t="n"/>
      <c r="AB18" s="7" t="n"/>
      <c r="AC18" s="36" t="n"/>
      <c r="AD18" s="36" t="n"/>
      <c r="AE18" s="4" t="n"/>
      <c r="AF18" s="4" t="n"/>
      <c r="AG18" s="4" t="n"/>
      <c r="AH18" s="47" t="n"/>
    </row>
    <row r="19">
      <c r="A19" s="3">
        <f>A18+1</f>
        <v/>
      </c>
      <c r="B19" s="4">
        <f>C18</f>
        <v/>
      </c>
      <c r="C19" s="8" t="n">
        <v>624</v>
      </c>
      <c r="D19" s="6">
        <f>C19-B19</f>
        <v/>
      </c>
      <c r="E19" s="7" t="n"/>
      <c r="F19" s="7" t="n"/>
      <c r="G19" s="36" t="n"/>
      <c r="H19" s="36" t="n"/>
      <c r="I19" s="4" t="n">
        <v>157</v>
      </c>
      <c r="J19" s="4" t="n">
        <v>620</v>
      </c>
      <c r="K19" s="4">
        <f>J19-J17</f>
        <v/>
      </c>
      <c r="L19" s="47">
        <f>I19/K19</f>
        <v/>
      </c>
      <c r="M19" s="4" t="n"/>
      <c r="N19" s="8" t="n"/>
      <c r="O19" s="6" t="n"/>
      <c r="P19" s="7" t="n"/>
      <c r="Q19" s="7" t="n"/>
      <c r="R19" s="36" t="n"/>
      <c r="S19" s="36" t="n"/>
      <c r="T19" s="4" t="n"/>
      <c r="U19" s="4" t="n"/>
      <c r="V19" s="4" t="n"/>
      <c r="W19" s="47" t="n"/>
      <c r="X19" s="4" t="n"/>
      <c r="Y19" s="8" t="n"/>
      <c r="Z19" s="6" t="n"/>
      <c r="AA19" s="7" t="n"/>
      <c r="AB19" s="7" t="n"/>
      <c r="AC19" s="36" t="n"/>
      <c r="AD19" s="36" t="n"/>
      <c r="AE19" s="4" t="n"/>
      <c r="AF19" s="4" t="n"/>
      <c r="AG19" s="4" t="n"/>
      <c r="AH19" s="47" t="n"/>
    </row>
    <row r="20">
      <c r="A20" s="3">
        <f>A19+1</f>
        <v/>
      </c>
      <c r="B20" s="4">
        <f>C19</f>
        <v/>
      </c>
      <c r="C20" s="8" t="n">
        <v>624</v>
      </c>
      <c r="D20" s="6">
        <f>C20-B20</f>
        <v/>
      </c>
      <c r="E20" s="7" t="n"/>
      <c r="F20" s="7" t="n"/>
      <c r="G20" s="36" t="n"/>
      <c r="H20" s="35" t="n"/>
      <c r="I20" s="4" t="n"/>
      <c r="J20" s="4" t="n"/>
      <c r="K20" s="4" t="n"/>
      <c r="L20" s="47" t="n"/>
      <c r="M20" s="4" t="n"/>
      <c r="N20" s="8" t="n"/>
      <c r="O20" s="6" t="n"/>
      <c r="P20" s="7" t="n"/>
      <c r="Q20" s="7" t="n"/>
      <c r="R20" s="36" t="n"/>
      <c r="S20" s="35" t="n"/>
      <c r="T20" s="4" t="n"/>
      <c r="U20" s="4" t="n"/>
      <c r="V20" s="4" t="n"/>
      <c r="W20" s="47" t="n"/>
      <c r="X20" s="4" t="n"/>
      <c r="Y20" s="8" t="n"/>
      <c r="Z20" s="6" t="n"/>
      <c r="AA20" s="7" t="n"/>
      <c r="AB20" s="7" t="n"/>
      <c r="AC20" s="36" t="n"/>
      <c r="AD20" s="35" t="n"/>
      <c r="AE20" s="4" t="n"/>
      <c r="AF20" s="4" t="n"/>
      <c r="AG20" s="4" t="n"/>
      <c r="AH20" s="47" t="n"/>
    </row>
    <row r="21">
      <c r="A21" s="3">
        <f>A20+1</f>
        <v/>
      </c>
      <c r="B21" s="4">
        <f>C20</f>
        <v/>
      </c>
      <c r="C21" s="17" t="n">
        <v>629</v>
      </c>
      <c r="D21" s="6">
        <f>C21-B21</f>
        <v/>
      </c>
      <c r="E21" s="7" t="n"/>
      <c r="F21" s="7" t="n"/>
      <c r="G21" s="36" t="n"/>
      <c r="H21" s="36" t="n"/>
      <c r="I21" s="4" t="n"/>
      <c r="J21" s="4" t="n"/>
      <c r="K21" s="4" t="n"/>
      <c r="L21" s="47" t="n"/>
      <c r="M21" s="8" t="inlineStr">
        <is>
          <t xml:space="preserve">Assesmble </t>
        </is>
      </c>
      <c r="N21" s="17" t="n"/>
      <c r="O21" s="6" t="n"/>
      <c r="P21" s="7" t="n"/>
      <c r="Q21" s="7" t="n"/>
      <c r="R21" s="36" t="n"/>
      <c r="S21" s="36" t="n"/>
      <c r="T21" s="4" t="n"/>
      <c r="U21" s="4" t="n"/>
      <c r="V21" s="4" t="n"/>
      <c r="W21" s="47" t="n"/>
      <c r="X21" s="4" t="n"/>
      <c r="Y21" s="17" t="n"/>
      <c r="Z21" s="6" t="n"/>
      <c r="AA21" s="7" t="n"/>
      <c r="AB21" s="7" t="n"/>
      <c r="AC21" s="36" t="n"/>
      <c r="AD21" s="36" t="n"/>
      <c r="AE21" s="4" t="n"/>
      <c r="AF21" s="4" t="n"/>
      <c r="AG21" s="4" t="n"/>
      <c r="AH21" s="47" t="n"/>
    </row>
    <row r="22">
      <c r="A22" s="3">
        <f>A21+1</f>
        <v/>
      </c>
      <c r="B22" s="4">
        <f>C21</f>
        <v/>
      </c>
      <c r="C22" s="4" t="n">
        <v>637</v>
      </c>
      <c r="D22" s="6">
        <f>C22-B22</f>
        <v/>
      </c>
      <c r="E22" s="7" t="n"/>
      <c r="F22" s="7" t="n"/>
      <c r="G22" s="36" t="n"/>
      <c r="H22" s="36" t="n"/>
      <c r="I22" s="4" t="n">
        <v>120</v>
      </c>
      <c r="J22" s="4" t="n">
        <v>630</v>
      </c>
      <c r="K22" s="4">
        <f>J22-J19</f>
        <v/>
      </c>
      <c r="L22" s="47">
        <f>I22/K22</f>
        <v/>
      </c>
      <c r="M22" s="4" t="n"/>
      <c r="N22" s="4" t="n"/>
      <c r="O22" s="6" t="n"/>
      <c r="P22" s="7" t="n"/>
      <c r="Q22" s="7" t="n"/>
      <c r="R22" s="36" t="n"/>
      <c r="S22" s="36" t="n"/>
      <c r="T22" s="4" t="n"/>
      <c r="U22" s="4" t="n"/>
      <c r="V22" s="4" t="n"/>
      <c r="W22" s="47" t="n"/>
      <c r="X22" s="4" t="n"/>
      <c r="Y22" s="4" t="n"/>
      <c r="Z22" s="6" t="n"/>
      <c r="AA22" s="7" t="n"/>
      <c r="AB22" s="7" t="n"/>
      <c r="AC22" s="36" t="n"/>
      <c r="AD22" s="36" t="n"/>
      <c r="AE22" s="4" t="n"/>
      <c r="AF22" s="4" t="n"/>
      <c r="AG22" s="4" t="n"/>
      <c r="AH22" s="47" t="n"/>
    </row>
    <row r="23">
      <c r="A23" s="3">
        <f>A22+1</f>
        <v/>
      </c>
      <c r="B23" s="4">
        <f>C22</f>
        <v/>
      </c>
      <c r="C23" s="4" t="n">
        <v>644</v>
      </c>
      <c r="D23" s="6">
        <f>C23-B23</f>
        <v/>
      </c>
      <c r="E23" s="7" t="n"/>
      <c r="F23" s="7" t="n"/>
      <c r="G23" s="36" t="n"/>
      <c r="H23" s="36" t="n"/>
      <c r="I23" s="4" t="n"/>
      <c r="J23" s="4" t="n"/>
      <c r="K23" s="4" t="n"/>
      <c r="L23" s="47" t="n"/>
      <c r="M23" s="4" t="n"/>
      <c r="N23" s="4" t="n"/>
      <c r="O23" s="6" t="n"/>
      <c r="P23" s="7" t="n"/>
      <c r="Q23" s="7" t="n"/>
      <c r="R23" s="36" t="n"/>
      <c r="S23" s="36" t="n"/>
      <c r="T23" s="4" t="n"/>
      <c r="U23" s="4" t="n"/>
      <c r="V23" s="4" t="n"/>
      <c r="W23" s="47" t="n"/>
      <c r="X23" s="4" t="n"/>
      <c r="Y23" s="4" t="n"/>
      <c r="Z23" s="6" t="n"/>
      <c r="AA23" s="7" t="n"/>
      <c r="AB23" s="7" t="n"/>
      <c r="AC23" s="36" t="n"/>
      <c r="AD23" s="36" t="n"/>
      <c r="AE23" s="4" t="n"/>
      <c r="AF23" s="4" t="n"/>
      <c r="AG23" s="4" t="n"/>
      <c r="AH23" s="47" t="n"/>
    </row>
    <row r="24">
      <c r="A24" s="3">
        <f>A23+1</f>
        <v/>
      </c>
      <c r="B24" s="4">
        <f>C23</f>
        <v/>
      </c>
      <c r="C24" s="4" t="n">
        <v>659</v>
      </c>
      <c r="D24" s="6">
        <f>C24-B24</f>
        <v/>
      </c>
      <c r="E24" s="7" t="n"/>
      <c r="F24" s="7" t="n"/>
      <c r="G24" s="36" t="n"/>
      <c r="H24" s="36" t="n"/>
      <c r="I24" s="4" t="n">
        <v>286</v>
      </c>
      <c r="J24" s="4" t="n">
        <v>652</v>
      </c>
      <c r="K24" s="4">
        <f>J24-J22</f>
        <v/>
      </c>
      <c r="L24" s="47">
        <f>I24/K24</f>
        <v/>
      </c>
      <c r="M24" s="4" t="n"/>
      <c r="N24" s="4" t="n"/>
      <c r="O24" s="6" t="n"/>
      <c r="P24" s="7" t="n"/>
      <c r="Q24" s="7" t="n"/>
      <c r="R24" s="36" t="n"/>
      <c r="S24" s="36" t="n"/>
      <c r="T24" s="4" t="n"/>
      <c r="U24" s="4" t="n"/>
      <c r="V24" s="4" t="n"/>
      <c r="W24" s="47" t="n"/>
      <c r="X24" s="4" t="n"/>
      <c r="Y24" s="4" t="n"/>
      <c r="Z24" s="6" t="n"/>
      <c r="AA24" s="7" t="n"/>
      <c r="AB24" s="7" t="n"/>
      <c r="AC24" s="36" t="n"/>
      <c r="AD24" s="36" t="n"/>
      <c r="AE24" s="4" t="n"/>
      <c r="AF24" s="4" t="n"/>
      <c r="AG24" s="4" t="n"/>
      <c r="AH24" s="47" t="n"/>
    </row>
    <row r="25">
      <c r="A25" s="3">
        <f>A24+1</f>
        <v/>
      </c>
      <c r="B25" s="4">
        <f>C24</f>
        <v/>
      </c>
      <c r="C25" s="4" t="n">
        <v>665</v>
      </c>
      <c r="D25" s="6">
        <f>C25-B25</f>
        <v/>
      </c>
      <c r="E25" s="7" t="n"/>
      <c r="F25" s="7" t="n"/>
      <c r="G25" s="36" t="n"/>
      <c r="H25" s="36" t="n"/>
      <c r="I25" s="4" t="n"/>
      <c r="J25" s="4" t="n"/>
      <c r="K25" s="4" t="n"/>
      <c r="L25" s="47" t="n"/>
      <c r="M25" s="4" t="n"/>
      <c r="N25" s="4" t="n"/>
      <c r="O25" s="6" t="n"/>
      <c r="P25" s="7" t="n"/>
      <c r="Q25" s="7" t="n"/>
      <c r="R25" s="36" t="n"/>
      <c r="S25" s="36" t="n"/>
      <c r="T25" s="4" t="n"/>
      <c r="U25" s="4" t="n"/>
      <c r="V25" s="4" t="n"/>
      <c r="W25" s="47" t="n"/>
      <c r="X25" s="4" t="n"/>
      <c r="Y25" s="4" t="n"/>
      <c r="Z25" s="6" t="n"/>
      <c r="AA25" s="7" t="n"/>
      <c r="AB25" s="7" t="n"/>
      <c r="AC25" s="36" t="n"/>
      <c r="AD25" s="36" t="n"/>
      <c r="AE25" s="4" t="n"/>
      <c r="AF25" s="4" t="n"/>
      <c r="AG25" s="4" t="n"/>
      <c r="AH25" s="47" t="n"/>
    </row>
    <row r="26">
      <c r="A26" s="3">
        <f>A25+1</f>
        <v/>
      </c>
      <c r="B26" s="4">
        <f>C25</f>
        <v/>
      </c>
      <c r="C26" s="6" t="n">
        <v>674</v>
      </c>
      <c r="D26" s="6">
        <f>C26-B26</f>
        <v/>
      </c>
      <c r="E26" s="7" t="n"/>
      <c r="F26" s="7" t="n"/>
      <c r="G26" s="36" t="n"/>
      <c r="H26" s="36" t="n"/>
      <c r="I26" s="4" t="n">
        <v>240</v>
      </c>
      <c r="J26" s="4" t="n">
        <v>669</v>
      </c>
      <c r="K26" s="4">
        <f>J26-J24</f>
        <v/>
      </c>
      <c r="L26" s="47">
        <f>I26/K26</f>
        <v/>
      </c>
      <c r="M26" s="4" t="n"/>
      <c r="N26" s="6" t="n"/>
      <c r="O26" s="6" t="n"/>
      <c r="P26" s="7" t="n"/>
      <c r="Q26" s="7" t="n"/>
      <c r="R26" s="36" t="n"/>
      <c r="S26" s="36" t="n"/>
      <c r="T26" s="4" t="n"/>
      <c r="U26" s="4" t="n"/>
      <c r="V26" s="4" t="n"/>
      <c r="W26" s="47" t="n"/>
      <c r="X26" s="4" t="n"/>
      <c r="Y26" s="6" t="n"/>
      <c r="Z26" s="6" t="n"/>
      <c r="AA26" s="7" t="n"/>
      <c r="AB26" s="7" t="n"/>
      <c r="AC26" s="36" t="n"/>
      <c r="AD26" s="36" t="n"/>
      <c r="AE26" s="4" t="n"/>
      <c r="AF26" s="4" t="n"/>
      <c r="AG26" s="4" t="n"/>
      <c r="AH26" s="47" t="n"/>
    </row>
    <row r="27">
      <c r="A27" s="3">
        <f>A26+1</f>
        <v/>
      </c>
      <c r="B27" s="4">
        <f>C26</f>
        <v/>
      </c>
      <c r="C27" s="4" t="n">
        <v>694</v>
      </c>
      <c r="D27" s="6">
        <f>C27-B27</f>
        <v/>
      </c>
      <c r="E27" s="7" t="n"/>
      <c r="F27" s="7" t="n"/>
      <c r="G27" s="36" t="n"/>
      <c r="H27" s="36" t="n"/>
      <c r="I27" s="4" t="n"/>
      <c r="J27" s="4" t="n"/>
      <c r="K27" s="4" t="n"/>
      <c r="L27" s="47" t="n"/>
      <c r="M27" s="4" t="n"/>
      <c r="N27" s="4" t="n"/>
      <c r="O27" s="6" t="n"/>
      <c r="P27" s="7" t="n"/>
      <c r="Q27" s="7" t="n"/>
      <c r="R27" s="36" t="n"/>
      <c r="S27" s="36" t="n"/>
      <c r="T27" s="4" t="n"/>
      <c r="U27" s="4" t="n"/>
      <c r="V27" s="4" t="n"/>
      <c r="W27" s="47" t="n"/>
      <c r="X27" s="4" t="n"/>
      <c r="Y27" s="4" t="n"/>
      <c r="Z27" s="6" t="n"/>
      <c r="AA27" s="7" t="n"/>
      <c r="AB27" s="7" t="n"/>
      <c r="AC27" s="36" t="n"/>
      <c r="AD27" s="36" t="n"/>
      <c r="AE27" s="4" t="n"/>
      <c r="AF27" s="4" t="n"/>
      <c r="AG27" s="4" t="n"/>
      <c r="AH27" s="47" t="n"/>
    </row>
    <row r="28">
      <c r="A28" s="3">
        <f>A27+1</f>
        <v/>
      </c>
      <c r="B28" s="4">
        <f>C27</f>
        <v/>
      </c>
      <c r="C28" s="4" t="n">
        <v>698</v>
      </c>
      <c r="D28" s="6">
        <f>C28-B28</f>
        <v/>
      </c>
      <c r="E28" s="7" t="n"/>
      <c r="F28" s="7" t="n"/>
      <c r="G28" s="36" t="n"/>
      <c r="H28" s="35" t="n"/>
      <c r="I28" s="4" t="n">
        <v>325</v>
      </c>
      <c r="J28" s="4" t="n">
        <v>694</v>
      </c>
      <c r="K28" s="4">
        <f>J28-J26</f>
        <v/>
      </c>
      <c r="L28" s="47">
        <f>I28/K28</f>
        <v/>
      </c>
      <c r="M28" s="4" t="n"/>
      <c r="N28" s="4" t="n"/>
      <c r="O28" s="6" t="n"/>
      <c r="P28" s="7" t="n"/>
      <c r="Q28" s="7" t="n"/>
      <c r="R28" s="36" t="n"/>
      <c r="S28" s="35" t="n"/>
      <c r="T28" s="4" t="n"/>
      <c r="U28" s="4" t="n"/>
      <c r="V28" s="4" t="n"/>
      <c r="W28" s="47" t="n"/>
      <c r="X28" s="4" t="n"/>
      <c r="Y28" s="4" t="n"/>
      <c r="Z28" s="6" t="n"/>
      <c r="AA28" s="7" t="n"/>
      <c r="AB28" s="7" t="n"/>
      <c r="AC28" s="36" t="n"/>
      <c r="AD28" s="35" t="n"/>
      <c r="AE28" s="4" t="n"/>
      <c r="AF28" s="4" t="n"/>
      <c r="AG28" s="4" t="n"/>
      <c r="AH28" s="47" t="n"/>
    </row>
    <row r="29">
      <c r="A29" s="3">
        <f>A28+1</f>
        <v/>
      </c>
      <c r="B29" s="4">
        <f>C28</f>
        <v/>
      </c>
      <c r="C29" s="4" t="n">
        <v>705</v>
      </c>
      <c r="D29" s="6">
        <f>C29-B29</f>
        <v/>
      </c>
      <c r="E29" s="7" t="n"/>
      <c r="F29" s="7" t="n"/>
      <c r="G29" s="36" t="n"/>
      <c r="H29" s="36" t="n"/>
      <c r="I29" s="4" t="n"/>
      <c r="J29" s="4" t="n"/>
      <c r="K29" s="4" t="n"/>
      <c r="L29" s="47" t="n"/>
      <c r="M29" s="4" t="n"/>
      <c r="N29" s="4" t="n"/>
      <c r="O29" s="6" t="n"/>
      <c r="P29" s="7" t="n"/>
      <c r="Q29" s="7" t="n"/>
      <c r="R29" s="36" t="n"/>
      <c r="S29" s="36" t="n"/>
      <c r="T29" s="4" t="n"/>
      <c r="U29" s="4" t="n"/>
      <c r="V29" s="4" t="n"/>
      <c r="W29" s="47" t="n"/>
      <c r="X29" s="4" t="n"/>
      <c r="Y29" s="4" t="n"/>
      <c r="Z29" s="6" t="n"/>
      <c r="AA29" s="7" t="n"/>
      <c r="AB29" s="7" t="n"/>
      <c r="AC29" s="36" t="n"/>
      <c r="AD29" s="36" t="n"/>
      <c r="AE29" s="4" t="n"/>
      <c r="AF29" s="4" t="n"/>
      <c r="AG29" s="4" t="n"/>
      <c r="AH29" s="47" t="n"/>
    </row>
    <row r="30">
      <c r="A30" s="3">
        <f>A29+1</f>
        <v/>
      </c>
      <c r="B30" s="4">
        <f>C29</f>
        <v/>
      </c>
      <c r="C30" s="4" t="n">
        <v>721</v>
      </c>
      <c r="D30" s="6">
        <f>C30-B30</f>
        <v/>
      </c>
      <c r="E30" s="7" t="n"/>
      <c r="F30" s="7" t="n"/>
      <c r="G30" s="36" t="n"/>
      <c r="H30" s="35" t="n"/>
      <c r="I30" s="4" t="n">
        <v>200</v>
      </c>
      <c r="J30" s="4" t="n">
        <v>708</v>
      </c>
      <c r="K30" s="4">
        <f>J30-J28</f>
        <v/>
      </c>
      <c r="L30" s="47">
        <f>I30/K30</f>
        <v/>
      </c>
      <c r="M30" s="4" t="n"/>
      <c r="N30" s="4" t="n"/>
      <c r="O30" s="6" t="n"/>
      <c r="P30" s="7" t="n"/>
      <c r="Q30" s="7" t="n"/>
      <c r="R30" s="36" t="n"/>
      <c r="S30" s="35" t="n"/>
      <c r="T30" s="4" t="n"/>
      <c r="U30" s="4" t="n"/>
      <c r="V30" s="4" t="n"/>
      <c r="W30" s="47" t="n"/>
      <c r="X30" s="4" t="n"/>
      <c r="Y30" s="4" t="n"/>
      <c r="Z30" s="6" t="n"/>
      <c r="AA30" s="7" t="n"/>
      <c r="AB30" s="7" t="n"/>
      <c r="AC30" s="36" t="n"/>
      <c r="AD30" s="35" t="n"/>
      <c r="AE30" s="4" t="n"/>
      <c r="AF30" s="4" t="n"/>
      <c r="AG30" s="4" t="n"/>
      <c r="AH30" s="47" t="n"/>
    </row>
    <row r="31">
      <c r="A31" s="3">
        <f>A30+1</f>
        <v/>
      </c>
      <c r="B31" s="4">
        <f>C30</f>
        <v/>
      </c>
      <c r="C31" s="4" t="n">
        <v>742</v>
      </c>
      <c r="D31" s="6">
        <f>C31-B31</f>
        <v/>
      </c>
      <c r="E31" s="7" t="n"/>
      <c r="F31" s="7" t="n"/>
      <c r="G31" s="36" t="n"/>
      <c r="H31" s="35" t="n"/>
      <c r="I31" s="4" t="n"/>
      <c r="J31" s="4" t="n"/>
      <c r="K31" s="4" t="n"/>
      <c r="L31" s="47" t="n"/>
      <c r="M31" s="4" t="n"/>
      <c r="N31" s="4" t="n"/>
      <c r="O31" s="6" t="n"/>
      <c r="P31" s="7" t="n"/>
      <c r="Q31" s="7" t="n"/>
      <c r="R31" s="36" t="n"/>
      <c r="S31" s="35" t="n"/>
      <c r="T31" s="4" t="n"/>
      <c r="U31" s="4" t="n"/>
      <c r="V31" s="4" t="n"/>
      <c r="W31" s="47" t="n"/>
      <c r="X31" s="4" t="n"/>
      <c r="Y31" s="4" t="n"/>
      <c r="Z31" s="6" t="n"/>
      <c r="AA31" s="7" t="n"/>
      <c r="AB31" s="7" t="n"/>
      <c r="AC31" s="36" t="n"/>
      <c r="AD31" s="35" t="n"/>
      <c r="AE31" s="4" t="n"/>
      <c r="AF31" s="4" t="n"/>
      <c r="AG31" s="4" t="n"/>
      <c r="AH31" s="47" t="n"/>
    </row>
    <row r="32">
      <c r="A32" s="3">
        <f>A31+1</f>
        <v/>
      </c>
      <c r="B32" s="4">
        <f>C31</f>
        <v/>
      </c>
      <c r="C32" s="4" t="n">
        <v>755</v>
      </c>
      <c r="D32" s="6">
        <f>C32-B32</f>
        <v/>
      </c>
      <c r="E32" s="7" t="n"/>
      <c r="F32" s="7" t="n"/>
      <c r="G32" s="36" t="n"/>
      <c r="H32" s="35" t="n"/>
      <c r="I32" s="4" t="n">
        <v>482</v>
      </c>
      <c r="J32" s="4" t="n">
        <v>744</v>
      </c>
      <c r="K32" s="4">
        <f>J32-J30</f>
        <v/>
      </c>
      <c r="L32" s="47">
        <f>I32/K32</f>
        <v/>
      </c>
      <c r="M32" s="4" t="n"/>
      <c r="N32" s="4" t="n"/>
      <c r="O32" s="6" t="n"/>
      <c r="P32" s="7" t="n"/>
      <c r="Q32" s="7" t="n"/>
      <c r="R32" s="36" t="n"/>
      <c r="S32" s="35" t="n"/>
      <c r="T32" s="4" t="n"/>
      <c r="U32" s="4" t="n"/>
      <c r="V32" s="4" t="n"/>
      <c r="W32" s="47" t="n"/>
      <c r="X32" s="4" t="n"/>
      <c r="Y32" s="4" t="n"/>
      <c r="Z32" s="6" t="n"/>
      <c r="AA32" s="7" t="n"/>
      <c r="AB32" s="7" t="n"/>
      <c r="AC32" s="36" t="n"/>
      <c r="AD32" s="35" t="n"/>
      <c r="AE32" s="4" t="n"/>
      <c r="AF32" s="4" t="n"/>
      <c r="AG32" s="4" t="n"/>
      <c r="AH32" s="47" t="n"/>
    </row>
    <row r="33">
      <c r="A33" s="3">
        <f>A32+1</f>
        <v/>
      </c>
      <c r="B33" s="4">
        <f>C32</f>
        <v/>
      </c>
      <c r="C33" s="4" t="n">
        <v>762</v>
      </c>
      <c r="D33" s="6">
        <f>C33-B33</f>
        <v/>
      </c>
      <c r="E33" s="7" t="n"/>
      <c r="F33" s="7" t="n"/>
      <c r="G33" s="36" t="n"/>
      <c r="H33" s="35" t="n"/>
      <c r="I33" s="4" t="n"/>
      <c r="J33" s="4" t="n"/>
      <c r="K33" s="4" t="n"/>
      <c r="L33" s="47" t="n"/>
      <c r="M33" s="4" t="n"/>
      <c r="N33" s="4" t="n"/>
      <c r="O33" s="6" t="n"/>
      <c r="P33" s="7" t="n"/>
      <c r="Q33" s="7" t="n"/>
      <c r="R33" s="36" t="n"/>
      <c r="S33" s="35" t="n"/>
      <c r="T33" s="4" t="n"/>
      <c r="U33" s="4" t="n"/>
      <c r="V33" s="4" t="n"/>
      <c r="W33" s="47" t="n"/>
      <c r="X33" s="4" t="n"/>
      <c r="Y33" s="4" t="n"/>
      <c r="Z33" s="6" t="n"/>
      <c r="AA33" s="7" t="n"/>
      <c r="AB33" s="7" t="n"/>
      <c r="AC33" s="36" t="n"/>
      <c r="AD33" s="35" t="n"/>
      <c r="AE33" s="4" t="n"/>
      <c r="AF33" s="4" t="n"/>
      <c r="AG33" s="4" t="n"/>
      <c r="AH33" s="47" t="n"/>
    </row>
    <row r="34" ht="15.75" customHeight="1">
      <c r="A34" s="12" t="n"/>
      <c r="B34" s="12" t="n"/>
      <c r="C34" s="13" t="n"/>
      <c r="D34" s="14">
        <f>SUM(D3:D33)</f>
        <v/>
      </c>
      <c r="E34" s="11" t="n"/>
      <c r="F34" s="11" t="n"/>
      <c r="G34" s="14">
        <f>SUM(G3:G33)</f>
        <v/>
      </c>
      <c r="H34" s="11" t="n"/>
      <c r="I34" s="14">
        <f>SUM(I3:I33)</f>
        <v/>
      </c>
      <c r="J34" s="14" t="n"/>
      <c r="K34" s="14">
        <f>SUM(K3:K33)</f>
        <v/>
      </c>
      <c r="L34" s="48">
        <f>I34/K34</f>
        <v/>
      </c>
      <c r="M34" s="12" t="n"/>
      <c r="N34" s="13" t="n"/>
      <c r="O34" s="14">
        <f>SUM(O3:O33)</f>
        <v/>
      </c>
      <c r="P34" s="11" t="n"/>
      <c r="Q34" s="11" t="n"/>
      <c r="R34" s="14">
        <f>SUM(R3:R33)</f>
        <v/>
      </c>
      <c r="S34" s="58" t="n"/>
      <c r="T34" s="14">
        <f>SUM(T3:T33)</f>
        <v/>
      </c>
      <c r="U34" s="14" t="n"/>
      <c r="V34" s="14">
        <f>SUM(V3:V33)</f>
        <v/>
      </c>
      <c r="W34" s="48">
        <f>T34/V34</f>
        <v/>
      </c>
      <c r="X34" s="12" t="n"/>
      <c r="Y34" s="13" t="n"/>
      <c r="Z34" s="14">
        <f>SUM(Z3:Z33)</f>
        <v/>
      </c>
      <c r="AA34" s="11" t="n"/>
      <c r="AB34" s="11" t="n"/>
      <c r="AC34" s="14">
        <f>SUM(AC3:AC33)</f>
        <v/>
      </c>
      <c r="AD34" s="51" t="n"/>
      <c r="AE34" s="14">
        <f>SUM(AE3:AE33)</f>
        <v/>
      </c>
      <c r="AF34" s="14" t="n"/>
      <c r="AG34" s="14">
        <f>SUM(AG3:AG33)</f>
        <v/>
      </c>
      <c r="AH34" s="48">
        <f>AE34/AG34</f>
        <v/>
      </c>
    </row>
    <row r="36">
      <c r="B36" t="inlineStr">
        <is>
          <t>Ony Dhirpur invoice sent with full amount</t>
        </is>
      </c>
    </row>
  </sheetData>
  <mergeCells count="3">
    <mergeCell ref="M1:N1"/>
    <mergeCell ref="B1:C1"/>
    <mergeCell ref="X1:Y1"/>
  </mergeCells>
  <conditionalFormatting sqref="A3:A17 A19:A33">
    <cfRule type="duplicateValues" priority="6"/>
  </conditionalFormatting>
  <conditionalFormatting sqref="A18">
    <cfRule type="duplicateValues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P22" sqref="P22"/>
    </sheetView>
  </sheetViews>
  <sheetFormatPr baseColWidth="8" defaultRowHeight="15"/>
  <cols>
    <col width="11.140625" customWidth="1" min="2" max="2"/>
    <col width="9.140625" customWidth="1" min="3" max="12"/>
  </cols>
  <sheetData>
    <row r="1" ht="63" customHeight="1">
      <c r="A1" s="130" t="inlineStr">
        <is>
          <t>DATE</t>
        </is>
      </c>
      <c r="B1" s="130" t="inlineStr">
        <is>
          <t>KAMLAR- Dhirpur
FEB-2025</t>
        </is>
      </c>
      <c r="C1" s="132" t="n"/>
      <c r="D1" s="10" t="inlineStr">
        <is>
          <t>Daily Running Hours</t>
        </is>
      </c>
      <c r="E1" s="10" t="inlineStr">
        <is>
          <t>Breakdown start time</t>
        </is>
      </c>
      <c r="F1" s="10" t="inlineStr">
        <is>
          <t>Breakdown end time</t>
        </is>
      </c>
      <c r="G1" s="49" t="inlineStr">
        <is>
          <t>Total Breakdown Hour</t>
        </is>
      </c>
      <c r="H1" s="49" t="inlineStr">
        <is>
          <t>Breakdown Reason</t>
        </is>
      </c>
      <c r="I1" s="130" t="inlineStr">
        <is>
          <t>DIESEL Consumed</t>
        </is>
      </c>
      <c r="J1" s="130" t="inlineStr">
        <is>
          <t>Diesel HMR</t>
        </is>
      </c>
      <c r="K1" s="130" t="inlineStr">
        <is>
          <t xml:space="preserve">Hours </t>
        </is>
      </c>
      <c r="L1" s="45" t="inlineStr">
        <is>
          <t>Average</t>
        </is>
      </c>
      <c r="M1" s="130" t="inlineStr">
        <is>
          <t>KAMLAR-1-Dalpatpur</t>
        </is>
      </c>
      <c r="N1" s="132" t="n"/>
      <c r="O1" s="10" t="inlineStr">
        <is>
          <t>Daily Running Hours</t>
        </is>
      </c>
      <c r="P1" s="10" t="inlineStr">
        <is>
          <t>Breakdown start time</t>
        </is>
      </c>
      <c r="Q1" s="10" t="inlineStr">
        <is>
          <t>Breakdown end time</t>
        </is>
      </c>
      <c r="R1" s="49" t="inlineStr">
        <is>
          <t>Total Breakdown Hour</t>
        </is>
      </c>
      <c r="S1" s="49" t="inlineStr">
        <is>
          <t>Breakdown Reason</t>
        </is>
      </c>
      <c r="T1" s="130" t="inlineStr">
        <is>
          <t>DIESEL Consumed</t>
        </is>
      </c>
      <c r="U1" s="130" t="inlineStr">
        <is>
          <t>Diesel HMR</t>
        </is>
      </c>
      <c r="V1" s="130" t="inlineStr">
        <is>
          <t xml:space="preserve">Hours </t>
        </is>
      </c>
      <c r="W1" s="45" t="inlineStr">
        <is>
          <t>Average</t>
        </is>
      </c>
      <c r="X1" s="130" t="inlineStr">
        <is>
          <t>KAMLAR-2-Dalpatpur</t>
        </is>
      </c>
      <c r="Y1" s="132" t="n"/>
      <c r="Z1" s="10" t="inlineStr">
        <is>
          <t>Daily Running Hours</t>
        </is>
      </c>
      <c r="AA1" s="10" t="inlineStr">
        <is>
          <t>Breakdown start time</t>
        </is>
      </c>
      <c r="AB1" s="10" t="inlineStr">
        <is>
          <t>Breakdown end time</t>
        </is>
      </c>
      <c r="AC1" s="49" t="inlineStr">
        <is>
          <t>Total Breakdown Hour</t>
        </is>
      </c>
      <c r="AD1" s="49" t="inlineStr">
        <is>
          <t>Breakdown Reason</t>
        </is>
      </c>
      <c r="AE1" s="130" t="inlineStr">
        <is>
          <t>DIESEL Consumed</t>
        </is>
      </c>
      <c r="AF1" s="130" t="inlineStr">
        <is>
          <t>Diesel HMR</t>
        </is>
      </c>
      <c r="AG1" s="130" t="inlineStr">
        <is>
          <t xml:space="preserve">Hours </t>
        </is>
      </c>
      <c r="AH1" s="45" t="inlineStr">
        <is>
          <t>Average</t>
        </is>
      </c>
    </row>
    <row r="2" ht="30" customHeight="1">
      <c r="A2" s="38" t="inlineStr">
        <is>
          <t>PREV  Stock</t>
        </is>
      </c>
      <c r="B2" s="38" t="inlineStr">
        <is>
          <t>Start HMR</t>
        </is>
      </c>
      <c r="C2" s="38" t="inlineStr">
        <is>
          <t>End HMR</t>
        </is>
      </c>
      <c r="D2" s="39" t="n"/>
      <c r="E2" s="39" t="n"/>
      <c r="F2" s="39" t="n"/>
      <c r="G2" s="50" t="n"/>
      <c r="H2" s="50" t="n"/>
      <c r="I2" s="38" t="n"/>
      <c r="J2" s="40" t="n">
        <v>744</v>
      </c>
      <c r="K2" s="38" t="n"/>
      <c r="L2" s="46" t="n"/>
      <c r="M2" s="38" t="inlineStr">
        <is>
          <t>Start HMR</t>
        </is>
      </c>
      <c r="N2" s="38" t="inlineStr">
        <is>
          <t>End HMR</t>
        </is>
      </c>
      <c r="O2" s="39" t="n"/>
      <c r="P2" s="39" t="n"/>
      <c r="Q2" s="39" t="n"/>
      <c r="R2" s="50" t="n"/>
      <c r="S2" s="50" t="n"/>
      <c r="T2" s="38" t="n"/>
      <c r="U2" s="40" t="n"/>
      <c r="V2" s="38" t="n"/>
      <c r="W2" s="46" t="n"/>
      <c r="X2" s="38" t="inlineStr">
        <is>
          <t>Start HMR</t>
        </is>
      </c>
      <c r="Y2" s="38" t="inlineStr">
        <is>
          <t>End HMR</t>
        </is>
      </c>
      <c r="Z2" s="39" t="n"/>
      <c r="AA2" s="39" t="n"/>
      <c r="AB2" s="39" t="n"/>
      <c r="AC2" s="50" t="n"/>
      <c r="AD2" s="50" t="n"/>
      <c r="AE2" s="38" t="n"/>
      <c r="AF2" s="40" t="n"/>
      <c r="AG2" s="38" t="n"/>
      <c r="AH2" s="46" t="n"/>
    </row>
    <row r="3">
      <c r="A3" s="3" t="n">
        <v>46054</v>
      </c>
      <c r="B3" s="4" t="n">
        <v>762</v>
      </c>
      <c r="C3" s="5" t="n">
        <v>785</v>
      </c>
      <c r="D3" s="6">
        <f>C3-B3</f>
        <v/>
      </c>
      <c r="E3" s="7" t="n"/>
      <c r="F3" s="7" t="n"/>
      <c r="G3" s="36" t="n"/>
      <c r="H3" s="36" t="n"/>
      <c r="I3" s="4" t="n">
        <v>335</v>
      </c>
      <c r="J3" s="4" t="n">
        <v>768</v>
      </c>
      <c r="K3" s="4">
        <f>J3-J2</f>
        <v/>
      </c>
      <c r="L3" s="47">
        <f>I3/K3</f>
        <v/>
      </c>
      <c r="M3" s="4" t="n">
        <v>43</v>
      </c>
      <c r="N3" s="5" t="n">
        <v>43</v>
      </c>
      <c r="O3" s="6">
        <f>N3-M3</f>
        <v/>
      </c>
      <c r="P3" s="7" t="n"/>
      <c r="Q3" s="7" t="n"/>
      <c r="R3" s="36" t="n"/>
      <c r="S3" s="36" t="n"/>
      <c r="T3" s="4" t="n"/>
      <c r="U3" s="4" t="n"/>
      <c r="V3" s="4" t="n"/>
      <c r="W3" s="47" t="n"/>
      <c r="X3" s="4" t="n"/>
      <c r="Y3" s="5" t="n"/>
      <c r="Z3" s="6" t="n"/>
      <c r="AA3" s="7" t="n"/>
      <c r="AB3" s="7" t="n"/>
      <c r="AC3" s="36" t="n"/>
      <c r="AD3" s="36" t="n"/>
      <c r="AE3" s="4" t="n"/>
      <c r="AF3" s="4" t="n"/>
      <c r="AG3" s="4" t="n"/>
      <c r="AH3" s="47" t="n"/>
    </row>
    <row r="4">
      <c r="A4" s="3">
        <f>A3+1</f>
        <v/>
      </c>
      <c r="B4" s="4">
        <f>C3</f>
        <v/>
      </c>
      <c r="C4" s="5" t="n">
        <v>785</v>
      </c>
      <c r="D4" s="6">
        <f>C4-B4</f>
        <v/>
      </c>
      <c r="E4" s="7" t="n"/>
      <c r="F4" s="7" t="n"/>
      <c r="G4" s="36" t="n"/>
      <c r="H4" s="36" t="n"/>
      <c r="I4" s="4" t="n"/>
      <c r="J4" s="4" t="n"/>
      <c r="K4" s="4" t="n"/>
      <c r="L4" s="47" t="n"/>
      <c r="M4" s="4">
        <f>N3</f>
        <v/>
      </c>
      <c r="N4" s="4" t="n">
        <v>43</v>
      </c>
      <c r="O4" s="6">
        <f>N4-M4</f>
        <v/>
      </c>
      <c r="P4" s="7" t="n"/>
      <c r="Q4" s="7" t="n"/>
      <c r="R4" s="36" t="n"/>
      <c r="S4" s="36" t="n"/>
      <c r="T4" s="4" t="n"/>
      <c r="U4" s="4" t="n"/>
      <c r="V4" s="4" t="n"/>
      <c r="W4" s="47" t="n"/>
      <c r="X4" s="4" t="n"/>
      <c r="Y4" s="4" t="n"/>
      <c r="Z4" s="6" t="n"/>
      <c r="AA4" s="7" t="n"/>
      <c r="AB4" s="7" t="n"/>
      <c r="AC4" s="36" t="n"/>
      <c r="AD4" s="36" t="n"/>
      <c r="AE4" s="4" t="n"/>
      <c r="AF4" s="4" t="n"/>
      <c r="AG4" s="4" t="n"/>
      <c r="AH4" s="47" t="n"/>
    </row>
    <row r="5">
      <c r="A5" s="3">
        <f>A4+1</f>
        <v/>
      </c>
      <c r="B5" s="4">
        <f>C4</f>
        <v/>
      </c>
      <c r="C5" s="37" t="n">
        <v>789</v>
      </c>
      <c r="D5" s="6">
        <f>C5-B5</f>
        <v/>
      </c>
      <c r="E5" s="7" t="n"/>
      <c r="F5" s="7" t="n"/>
      <c r="G5" s="36" t="n"/>
      <c r="H5" s="36" t="n"/>
      <c r="I5" s="4" t="n">
        <v>180</v>
      </c>
      <c r="J5" s="4" t="n">
        <v>786</v>
      </c>
      <c r="K5" s="4">
        <f>J5-J3</f>
        <v/>
      </c>
      <c r="L5" s="47">
        <f>I5/K5</f>
        <v/>
      </c>
      <c r="M5" s="4">
        <f>N4</f>
        <v/>
      </c>
      <c r="N5" s="4" t="n">
        <v>43</v>
      </c>
      <c r="O5" s="6">
        <f>N5-M5</f>
        <v/>
      </c>
      <c r="P5" s="7" t="n"/>
      <c r="Q5" s="7" t="n"/>
      <c r="R5" s="36" t="n"/>
      <c r="S5" s="36" t="n"/>
      <c r="T5" s="4" t="n"/>
      <c r="U5" s="4" t="n"/>
      <c r="V5" s="4" t="n"/>
      <c r="W5" s="47" t="n"/>
      <c r="X5" s="4" t="n"/>
      <c r="Y5" s="37" t="n"/>
      <c r="Z5" s="6" t="n"/>
      <c r="AA5" s="7" t="n"/>
      <c r="AB5" s="7" t="n"/>
      <c r="AC5" s="36" t="n"/>
      <c r="AD5" s="36" t="n"/>
      <c r="AE5" s="4" t="n"/>
      <c r="AF5" s="4" t="n"/>
      <c r="AG5" s="4" t="n"/>
      <c r="AH5" s="47" t="n"/>
    </row>
    <row r="6">
      <c r="A6" s="3">
        <f>A5+1</f>
        <v/>
      </c>
      <c r="B6" s="4">
        <f>C5</f>
        <v/>
      </c>
      <c r="C6" s="4" t="n">
        <v>803</v>
      </c>
      <c r="D6" s="6">
        <f>C6-B6</f>
        <v/>
      </c>
      <c r="E6" s="7" t="n"/>
      <c r="F6" s="7" t="n"/>
      <c r="G6" s="36" t="n"/>
      <c r="H6" s="36" t="n"/>
      <c r="I6" s="4" t="n"/>
      <c r="J6" s="37" t="n"/>
      <c r="K6" s="4" t="n"/>
      <c r="L6" s="47" t="n"/>
      <c r="M6" s="4">
        <f>N5</f>
        <v/>
      </c>
      <c r="N6" s="4" t="n">
        <v>43</v>
      </c>
      <c r="O6" s="6">
        <f>N6-M6</f>
        <v/>
      </c>
      <c r="P6" s="7" t="n"/>
      <c r="Q6" s="7" t="n"/>
      <c r="R6" s="36" t="n"/>
      <c r="S6" s="36" t="n"/>
      <c r="T6" s="4" t="n"/>
      <c r="U6" s="37" t="n"/>
      <c r="V6" s="4" t="n"/>
      <c r="W6" s="47" t="n"/>
      <c r="X6" s="4" t="n"/>
      <c r="Y6" s="4" t="n"/>
      <c r="Z6" s="6" t="n"/>
      <c r="AA6" s="7" t="n"/>
      <c r="AB6" s="7" t="n"/>
      <c r="AC6" s="36" t="n"/>
      <c r="AD6" s="36" t="n"/>
      <c r="AE6" s="4" t="n"/>
      <c r="AF6" s="37" t="n"/>
      <c r="AG6" s="4" t="n"/>
      <c r="AH6" s="47" t="n"/>
    </row>
    <row r="7">
      <c r="A7" s="3">
        <f>A6+1</f>
        <v/>
      </c>
      <c r="B7" s="4">
        <f>C6</f>
        <v/>
      </c>
      <c r="C7" s="4" t="n">
        <v>810</v>
      </c>
      <c r="D7" s="6">
        <f>C7-B7</f>
        <v/>
      </c>
      <c r="E7" s="7" t="n"/>
      <c r="F7" s="7" t="n"/>
      <c r="G7" s="36" t="n"/>
      <c r="H7" s="36" t="n"/>
      <c r="I7" s="4" t="n">
        <v>285</v>
      </c>
      <c r="J7" s="4" t="n">
        <v>804</v>
      </c>
      <c r="K7" s="4">
        <f>J7-J5</f>
        <v/>
      </c>
      <c r="L7" s="47">
        <f>I7/K7</f>
        <v/>
      </c>
      <c r="M7" s="4">
        <f>N6</f>
        <v/>
      </c>
      <c r="N7" s="4" t="n">
        <v>43</v>
      </c>
      <c r="O7" s="6">
        <f>N7-M7</f>
        <v/>
      </c>
      <c r="P7" s="7" t="n"/>
      <c r="Q7" s="7" t="n"/>
      <c r="R7" s="36" t="n"/>
      <c r="S7" s="36" t="n"/>
      <c r="T7" s="4" t="n"/>
      <c r="U7" s="4" t="n"/>
      <c r="V7" s="4" t="n"/>
      <c r="W7" s="47" t="n"/>
      <c r="X7" s="4" t="n"/>
      <c r="Y7" s="4" t="n"/>
      <c r="Z7" s="6" t="n"/>
      <c r="AA7" s="7" t="n"/>
      <c r="AB7" s="7" t="n"/>
      <c r="AC7" s="36" t="n"/>
      <c r="AD7" s="36" t="n"/>
      <c r="AE7" s="4" t="n"/>
      <c r="AF7" s="4" t="n"/>
      <c r="AG7" s="4" t="n"/>
      <c r="AH7" s="47" t="n"/>
    </row>
    <row r="8">
      <c r="A8" s="3">
        <f>A7+1</f>
        <v/>
      </c>
      <c r="B8" s="4">
        <f>C7</f>
        <v/>
      </c>
      <c r="C8" s="4" t="n">
        <v>814</v>
      </c>
      <c r="D8" s="6">
        <f>C8-B8</f>
        <v/>
      </c>
      <c r="E8" s="7" t="n"/>
      <c r="F8" s="7" t="n"/>
      <c r="G8" s="36" t="n"/>
      <c r="H8" s="36" t="n"/>
      <c r="I8" s="4" t="n"/>
      <c r="J8" s="4" t="n"/>
      <c r="K8" s="4" t="n"/>
      <c r="L8" s="47" t="n"/>
      <c r="M8" s="4">
        <f>N7</f>
        <v/>
      </c>
      <c r="N8" s="4" t="n">
        <v>43</v>
      </c>
      <c r="O8" s="6">
        <f>N8-M8</f>
        <v/>
      </c>
      <c r="P8" s="7" t="n"/>
      <c r="Q8" s="7" t="n"/>
      <c r="R8" s="36" t="n"/>
      <c r="S8" s="36" t="n"/>
      <c r="T8" s="4" t="n"/>
      <c r="U8" s="4" t="n"/>
      <c r="V8" s="4" t="n"/>
      <c r="W8" s="47" t="n"/>
      <c r="X8" s="4" t="n"/>
      <c r="Y8" s="4" t="n"/>
      <c r="Z8" s="6" t="n"/>
      <c r="AA8" s="7" t="n"/>
      <c r="AB8" s="7" t="n"/>
      <c r="AC8" s="36" t="n"/>
      <c r="AD8" s="36" t="n"/>
      <c r="AE8" s="4" t="n"/>
      <c r="AF8" s="4" t="n"/>
      <c r="AG8" s="4" t="n"/>
      <c r="AH8" s="47" t="n"/>
    </row>
    <row r="9">
      <c r="A9" s="3">
        <f>A8+1</f>
        <v/>
      </c>
      <c r="B9" s="4">
        <f>C8</f>
        <v/>
      </c>
      <c r="C9" s="4" t="n">
        <v>829</v>
      </c>
      <c r="D9" s="6">
        <f>C9-B9</f>
        <v/>
      </c>
      <c r="E9" s="7" t="n"/>
      <c r="F9" s="7" t="n"/>
      <c r="G9" s="36" t="n"/>
      <c r="H9" s="35" t="n"/>
      <c r="I9" s="4" t="n">
        <v>142</v>
      </c>
      <c r="J9" s="4" t="n">
        <v>814</v>
      </c>
      <c r="K9" s="4">
        <f>J9-J7</f>
        <v/>
      </c>
      <c r="L9" s="47">
        <f>I9/K9</f>
        <v/>
      </c>
      <c r="M9" s="4">
        <f>N8</f>
        <v/>
      </c>
      <c r="N9" s="4" t="n">
        <v>43</v>
      </c>
      <c r="O9" s="6">
        <f>N9-M9</f>
        <v/>
      </c>
      <c r="P9" s="7" t="n"/>
      <c r="Q9" s="7" t="n"/>
      <c r="R9" s="36" t="n"/>
      <c r="S9" s="35" t="n"/>
      <c r="T9" s="4" t="n"/>
      <c r="U9" s="4" t="n"/>
      <c r="V9" s="4" t="n"/>
      <c r="W9" s="47" t="n"/>
      <c r="X9" s="4" t="n"/>
      <c r="Y9" s="4" t="n"/>
      <c r="Z9" s="6" t="n"/>
      <c r="AA9" s="7" t="n"/>
      <c r="AB9" s="7" t="n"/>
      <c r="AC9" s="36" t="n"/>
      <c r="AD9" s="35" t="n"/>
      <c r="AE9" s="4" t="n"/>
      <c r="AF9" s="4" t="n"/>
      <c r="AG9" s="4" t="n"/>
      <c r="AH9" s="47" t="n"/>
    </row>
    <row r="10">
      <c r="A10" s="3">
        <f>A9+1</f>
        <v/>
      </c>
      <c r="B10" s="4">
        <f>C9</f>
        <v/>
      </c>
      <c r="C10" s="4" t="n">
        <v>844</v>
      </c>
      <c r="D10" s="6">
        <f>C10-B10</f>
        <v/>
      </c>
      <c r="E10" s="7" t="n"/>
      <c r="F10" s="7" t="n"/>
      <c r="G10" s="36" t="n"/>
      <c r="H10" s="36" t="n"/>
      <c r="I10" s="4" t="n"/>
      <c r="J10" s="4" t="n"/>
      <c r="K10" s="4" t="n"/>
      <c r="L10" s="47" t="n"/>
      <c r="M10" s="4">
        <f>N9</f>
        <v/>
      </c>
      <c r="N10" s="4" t="n">
        <v>43</v>
      </c>
      <c r="O10" s="6">
        <f>N10-M10</f>
        <v/>
      </c>
      <c r="P10" s="7" t="n"/>
      <c r="Q10" s="7" t="n"/>
      <c r="R10" s="36" t="n"/>
      <c r="S10" s="36" t="n"/>
      <c r="T10" s="4" t="n"/>
      <c r="U10" s="4" t="n"/>
      <c r="V10" s="4" t="n"/>
      <c r="W10" s="47" t="n"/>
      <c r="X10" s="4" t="n"/>
      <c r="Y10" s="4" t="n"/>
      <c r="Z10" s="6" t="n"/>
      <c r="AA10" s="7" t="n"/>
      <c r="AB10" s="7" t="n"/>
      <c r="AC10" s="36" t="n"/>
      <c r="AD10" s="36" t="n"/>
      <c r="AE10" s="4" t="n"/>
      <c r="AF10" s="4" t="n"/>
      <c r="AG10" s="4" t="n"/>
      <c r="AH10" s="47" t="n"/>
    </row>
    <row r="11">
      <c r="A11" s="3">
        <f>A10+1</f>
        <v/>
      </c>
      <c r="B11" s="4">
        <f>C10</f>
        <v/>
      </c>
      <c r="C11" s="4" t="n">
        <v>848</v>
      </c>
      <c r="D11" s="6">
        <f>C11-B11</f>
        <v/>
      </c>
      <c r="E11" s="7" t="n"/>
      <c r="F11" s="7" t="n"/>
      <c r="G11" s="36" t="n"/>
      <c r="H11" s="36" t="n"/>
      <c r="I11" s="4" t="n">
        <v>460</v>
      </c>
      <c r="J11" s="4" t="n">
        <v>844</v>
      </c>
      <c r="K11" s="4">
        <f>J11-J9</f>
        <v/>
      </c>
      <c r="L11" s="47">
        <f>I11/K11</f>
        <v/>
      </c>
      <c r="M11" s="4">
        <f>N10</f>
        <v/>
      </c>
      <c r="N11" s="4" t="n">
        <v>43</v>
      </c>
      <c r="O11" s="6">
        <f>N11-M11</f>
        <v/>
      </c>
      <c r="P11" s="7" t="n"/>
      <c r="Q11" s="7" t="n"/>
      <c r="R11" s="36" t="n"/>
      <c r="S11" s="36" t="n"/>
      <c r="T11" s="4" t="n"/>
      <c r="U11" s="4" t="n"/>
      <c r="V11" s="4" t="n"/>
      <c r="W11" s="47" t="n"/>
      <c r="X11" s="4" t="n"/>
      <c r="Y11" s="4" t="n"/>
      <c r="Z11" s="6" t="n"/>
      <c r="AA11" s="7" t="n"/>
      <c r="AB11" s="7" t="n"/>
      <c r="AC11" s="36" t="n"/>
      <c r="AD11" s="36" t="n"/>
      <c r="AE11" s="4" t="n"/>
      <c r="AF11" s="4" t="n"/>
      <c r="AG11" s="4" t="n"/>
      <c r="AH11" s="47" t="n"/>
    </row>
    <row r="12">
      <c r="A12" s="3">
        <f>A11+1</f>
        <v/>
      </c>
      <c r="B12" s="4">
        <f>C11</f>
        <v/>
      </c>
      <c r="C12" s="4" t="n">
        <v>858</v>
      </c>
      <c r="D12" s="6">
        <f>C12-B12</f>
        <v/>
      </c>
      <c r="E12" s="7" t="n"/>
      <c r="F12" s="7" t="n"/>
      <c r="G12" s="36" t="n"/>
      <c r="H12" s="36" t="n"/>
      <c r="I12" s="4" t="n"/>
      <c r="J12" s="4" t="n"/>
      <c r="K12" s="4" t="n"/>
      <c r="L12" s="47" t="n"/>
      <c r="M12" s="4">
        <f>N11</f>
        <v/>
      </c>
      <c r="N12" s="4" t="n">
        <v>43</v>
      </c>
      <c r="O12" s="6">
        <f>N12-M12</f>
        <v/>
      </c>
      <c r="P12" s="7" t="n"/>
      <c r="Q12" s="7" t="n"/>
      <c r="R12" s="36" t="n"/>
      <c r="S12" s="36" t="n"/>
      <c r="T12" s="4" t="n"/>
      <c r="U12" s="4" t="n"/>
      <c r="V12" s="4" t="n"/>
      <c r="W12" s="47" t="n"/>
      <c r="X12" s="4" t="n"/>
      <c r="Y12" s="4" t="n"/>
      <c r="Z12" s="6" t="n"/>
      <c r="AA12" s="7" t="n"/>
      <c r="AB12" s="7" t="n"/>
      <c r="AC12" s="36" t="n"/>
      <c r="AD12" s="36" t="n"/>
      <c r="AE12" s="4" t="n"/>
      <c r="AF12" s="4" t="n"/>
      <c r="AG12" s="4" t="n"/>
      <c r="AH12" s="47" t="n"/>
    </row>
    <row r="13">
      <c r="A13" s="3">
        <f>A12+1</f>
        <v/>
      </c>
      <c r="B13" s="4">
        <f>C12</f>
        <v/>
      </c>
      <c r="C13" s="4" t="n">
        <v>876</v>
      </c>
      <c r="D13" s="6">
        <f>C13-B13</f>
        <v/>
      </c>
      <c r="E13" s="7" t="n"/>
      <c r="F13" s="7" t="n"/>
      <c r="G13" s="36" t="n"/>
      <c r="H13" s="35" t="n"/>
      <c r="I13" s="4" t="n">
        <v>254</v>
      </c>
      <c r="J13" s="4" t="n">
        <v>862</v>
      </c>
      <c r="K13" s="4">
        <f>J13-J11</f>
        <v/>
      </c>
      <c r="L13" s="47">
        <f>I13/K13</f>
        <v/>
      </c>
      <c r="M13" s="4">
        <f>N12</f>
        <v/>
      </c>
      <c r="N13" s="4" t="n">
        <v>43</v>
      </c>
      <c r="O13" s="6">
        <f>N13-M13</f>
        <v/>
      </c>
      <c r="P13" s="7" t="n"/>
      <c r="Q13" s="7" t="n"/>
      <c r="R13" s="36" t="n"/>
      <c r="S13" s="35" t="n"/>
      <c r="T13" s="4" t="n"/>
      <c r="U13" s="4" t="n"/>
      <c r="V13" s="4" t="n"/>
      <c r="W13" s="47" t="n"/>
      <c r="X13" s="4" t="n"/>
      <c r="Y13" s="4" t="n"/>
      <c r="Z13" s="6" t="n"/>
      <c r="AA13" s="7" t="n"/>
      <c r="AB13" s="7" t="n"/>
      <c r="AC13" s="36" t="n"/>
      <c r="AD13" s="35" t="n"/>
      <c r="AE13" s="4" t="n"/>
      <c r="AF13" s="4" t="n"/>
      <c r="AG13" s="4" t="n"/>
      <c r="AH13" s="47" t="n"/>
    </row>
    <row r="14">
      <c r="A14" s="3">
        <f>A13+1</f>
        <v/>
      </c>
      <c r="B14" s="4">
        <f>C13</f>
        <v/>
      </c>
      <c r="C14" s="4" t="n">
        <v>891</v>
      </c>
      <c r="D14" s="6">
        <f>C14-B14</f>
        <v/>
      </c>
      <c r="E14" s="7" t="n"/>
      <c r="F14" s="7" t="n"/>
      <c r="G14" s="36" t="n"/>
      <c r="H14" s="36" t="n"/>
      <c r="I14" s="4" t="n">
        <v>245</v>
      </c>
      <c r="J14" s="4" t="n">
        <v>882</v>
      </c>
      <c r="K14" s="4">
        <f>J14-J13</f>
        <v/>
      </c>
      <c r="L14" s="47">
        <f>I14/K14</f>
        <v/>
      </c>
      <c r="M14" s="4">
        <f>N13</f>
        <v/>
      </c>
      <c r="N14" s="4" t="n">
        <v>43</v>
      </c>
      <c r="O14" s="6">
        <f>N14-M14</f>
        <v/>
      </c>
      <c r="P14" s="7" t="n"/>
      <c r="Q14" s="7" t="n"/>
      <c r="R14" s="36" t="n"/>
      <c r="S14" s="36" t="n"/>
      <c r="T14" s="4" t="n"/>
      <c r="U14" s="4" t="n"/>
      <c r="V14" s="4" t="n"/>
      <c r="W14" s="47" t="n"/>
      <c r="X14" s="4" t="n"/>
      <c r="Y14" s="4" t="n"/>
      <c r="Z14" s="6" t="n"/>
      <c r="AA14" s="7" t="n"/>
      <c r="AB14" s="7" t="n"/>
      <c r="AC14" s="36" t="n"/>
      <c r="AD14" s="36" t="n"/>
      <c r="AE14" s="4" t="n"/>
      <c r="AF14" s="4" t="n"/>
      <c r="AG14" s="4" t="n"/>
      <c r="AH14" s="47" t="n"/>
    </row>
    <row r="15">
      <c r="A15" s="3">
        <f>A14+1</f>
        <v/>
      </c>
      <c r="B15" s="4">
        <f>C14</f>
        <v/>
      </c>
      <c r="C15" s="4" t="n">
        <v>898</v>
      </c>
      <c r="D15" s="6">
        <f>C15-B15</f>
        <v/>
      </c>
      <c r="E15" s="7" t="n"/>
      <c r="F15" s="7" t="n"/>
      <c r="G15" s="36" t="n"/>
      <c r="H15" s="36" t="n"/>
      <c r="I15" s="4" t="n"/>
      <c r="J15" s="4" t="n"/>
      <c r="K15" s="4" t="n"/>
      <c r="L15" s="47" t="n"/>
      <c r="M15" s="4">
        <f>N14</f>
        <v/>
      </c>
      <c r="N15" s="4" t="n">
        <v>43</v>
      </c>
      <c r="O15" s="6">
        <f>N15-M15</f>
        <v/>
      </c>
      <c r="P15" s="7" t="n"/>
      <c r="Q15" s="7" t="n"/>
      <c r="R15" s="36" t="n"/>
      <c r="S15" s="36" t="n"/>
      <c r="T15" s="4" t="n"/>
      <c r="U15" s="4" t="n"/>
      <c r="V15" s="4" t="n"/>
      <c r="W15" s="47" t="n"/>
      <c r="X15" s="4" t="n"/>
      <c r="Y15" s="4" t="n"/>
      <c r="Z15" s="6" t="n"/>
      <c r="AA15" s="7" t="n"/>
      <c r="AB15" s="7" t="n"/>
      <c r="AC15" s="36" t="n"/>
      <c r="AD15" s="36" t="n"/>
      <c r="AE15" s="4" t="n"/>
      <c r="AF15" s="4" t="n"/>
      <c r="AG15" s="4" t="n"/>
      <c r="AH15" s="47" t="n"/>
    </row>
    <row r="16">
      <c r="A16" s="3">
        <f>A15+1</f>
        <v/>
      </c>
      <c r="B16" s="4">
        <f>C15</f>
        <v/>
      </c>
      <c r="C16" s="4" t="n">
        <v>911</v>
      </c>
      <c r="D16" s="6">
        <f>C16-B16</f>
        <v/>
      </c>
      <c r="E16" s="7" t="n"/>
      <c r="F16" s="7" t="n"/>
      <c r="G16" s="36" t="n"/>
      <c r="H16" s="36" t="n"/>
      <c r="I16" s="4" t="n"/>
      <c r="J16" s="4" t="n"/>
      <c r="K16" s="4" t="n"/>
      <c r="L16" s="47" t="n"/>
      <c r="M16" s="4">
        <f>N15</f>
        <v/>
      </c>
      <c r="N16" s="4" t="n">
        <v>43</v>
      </c>
      <c r="O16" s="6">
        <f>N16-M16</f>
        <v/>
      </c>
      <c r="P16" s="7" t="n"/>
      <c r="Q16" s="7" t="n"/>
      <c r="R16" s="36" t="n"/>
      <c r="S16" s="36" t="n"/>
      <c r="T16" s="4" t="n"/>
      <c r="U16" s="4" t="n"/>
      <c r="V16" s="4" t="n"/>
      <c r="W16" s="47" t="n"/>
      <c r="X16" s="4" t="n"/>
      <c r="Y16" s="4" t="n"/>
      <c r="Z16" s="6" t="n"/>
      <c r="AA16" s="7" t="n"/>
      <c r="AB16" s="7" t="n"/>
      <c r="AC16" s="36" t="n"/>
      <c r="AD16" s="36" t="n"/>
      <c r="AE16" s="4" t="n"/>
      <c r="AF16" s="4" t="n"/>
      <c r="AG16" s="4" t="n"/>
      <c r="AH16" s="47" t="n"/>
    </row>
    <row r="17">
      <c r="A17" s="3">
        <f>A16+1</f>
        <v/>
      </c>
      <c r="B17" s="4">
        <f>C16</f>
        <v/>
      </c>
      <c r="C17" s="4" t="n">
        <v>915</v>
      </c>
      <c r="D17" s="6">
        <f>C17-B17</f>
        <v/>
      </c>
      <c r="E17" s="7" t="n"/>
      <c r="F17" s="7" t="n"/>
      <c r="G17" s="36" t="n"/>
      <c r="H17" s="36" t="n"/>
      <c r="I17" s="4" t="n">
        <v>365</v>
      </c>
      <c r="J17" s="4" t="n">
        <v>911</v>
      </c>
      <c r="K17" s="4">
        <f>J17-J14</f>
        <v/>
      </c>
      <c r="L17" s="47">
        <f>I17/K17</f>
        <v/>
      </c>
      <c r="M17" s="4">
        <f>N16</f>
        <v/>
      </c>
      <c r="N17" s="4" t="n">
        <v>43</v>
      </c>
      <c r="O17" s="6">
        <f>N17-M17</f>
        <v/>
      </c>
      <c r="P17" s="7" t="n"/>
      <c r="Q17" s="7" t="n"/>
      <c r="R17" s="36" t="n"/>
      <c r="S17" s="36" t="n"/>
      <c r="T17" s="4" t="n"/>
      <c r="U17" s="4" t="n"/>
      <c r="V17" s="4" t="n"/>
      <c r="W17" s="47" t="n"/>
      <c r="X17" s="4" t="n"/>
      <c r="Y17" s="4" t="n"/>
      <c r="Z17" s="6" t="n"/>
      <c r="AA17" s="7" t="n"/>
      <c r="AB17" s="7" t="n"/>
      <c r="AC17" s="36" t="n"/>
      <c r="AD17" s="36" t="n"/>
      <c r="AE17" s="4" t="n"/>
      <c r="AF17" s="4" t="n"/>
      <c r="AG17" s="4" t="n"/>
      <c r="AH17" s="47" t="n"/>
    </row>
    <row r="18">
      <c r="A18" s="3">
        <f>A17+1</f>
        <v/>
      </c>
      <c r="B18" s="4">
        <f>C17</f>
        <v/>
      </c>
      <c r="C18" s="4" t="n">
        <v>930</v>
      </c>
      <c r="D18" s="6">
        <f>C18-B18</f>
        <v/>
      </c>
      <c r="E18" s="7" t="n"/>
      <c r="F18" s="7" t="n"/>
      <c r="G18" s="36" t="n"/>
      <c r="H18" s="36" t="n"/>
      <c r="I18" s="4" t="n"/>
      <c r="J18" s="4" t="n"/>
      <c r="K18" s="4" t="n"/>
      <c r="L18" s="47" t="n"/>
      <c r="M18" s="4">
        <f>N17</f>
        <v/>
      </c>
      <c r="N18" s="4" t="n">
        <v>43</v>
      </c>
      <c r="O18" s="6">
        <f>N18-M18</f>
        <v/>
      </c>
      <c r="P18" s="7" t="n"/>
      <c r="Q18" s="7" t="n"/>
      <c r="R18" s="36" t="n"/>
      <c r="S18" s="36" t="n"/>
      <c r="T18" s="4" t="n"/>
      <c r="U18" s="4" t="n"/>
      <c r="V18" s="4" t="n"/>
      <c r="W18" s="47" t="n"/>
      <c r="X18" s="4" t="n"/>
      <c r="Y18" s="4" t="n"/>
      <c r="Z18" s="6" t="n"/>
      <c r="AA18" s="7" t="n"/>
      <c r="AB18" s="7" t="n"/>
      <c r="AC18" s="36" t="n"/>
      <c r="AD18" s="36" t="n"/>
      <c r="AE18" s="4" t="n"/>
      <c r="AF18" s="4" t="n"/>
      <c r="AG18" s="4" t="n"/>
      <c r="AH18" s="47" t="n"/>
    </row>
    <row r="19">
      <c r="A19" s="3">
        <f>A18+1</f>
        <v/>
      </c>
      <c r="B19" s="4">
        <f>C18</f>
        <v/>
      </c>
      <c r="C19" s="8" t="n">
        <v>951</v>
      </c>
      <c r="D19" s="6">
        <f>C19-B19</f>
        <v/>
      </c>
      <c r="E19" s="7" t="n"/>
      <c r="F19" s="7" t="n"/>
      <c r="G19" s="36" t="n"/>
      <c r="H19" s="36" t="n"/>
      <c r="I19" s="4" t="n">
        <v>330</v>
      </c>
      <c r="J19" s="4" t="n">
        <v>936</v>
      </c>
      <c r="K19" s="4">
        <f>J19-J17</f>
        <v/>
      </c>
      <c r="L19" s="47">
        <f>I19/K19</f>
        <v/>
      </c>
      <c r="M19" s="4">
        <f>N18</f>
        <v/>
      </c>
      <c r="N19" s="4" t="n">
        <v>43</v>
      </c>
      <c r="O19" s="6">
        <f>N19-M19</f>
        <v/>
      </c>
      <c r="P19" s="7" t="n"/>
      <c r="Q19" s="7" t="n"/>
      <c r="R19" s="36" t="n"/>
      <c r="S19" s="36" t="n"/>
      <c r="T19" s="4" t="n"/>
      <c r="U19" s="4" t="n"/>
      <c r="V19" s="4" t="n"/>
      <c r="W19" s="47" t="n"/>
      <c r="X19" s="4" t="n"/>
      <c r="Y19" s="8" t="n"/>
      <c r="Z19" s="6" t="n"/>
      <c r="AA19" s="7" t="n"/>
      <c r="AB19" s="7" t="n"/>
      <c r="AC19" s="36" t="n"/>
      <c r="AD19" s="36" t="n"/>
      <c r="AE19" s="4" t="n"/>
      <c r="AF19" s="4" t="n"/>
      <c r="AG19" s="4" t="n"/>
      <c r="AH19" s="47" t="n"/>
    </row>
    <row r="20">
      <c r="A20" s="3">
        <f>A19+1</f>
        <v/>
      </c>
      <c r="B20" s="4">
        <f>C19</f>
        <v/>
      </c>
      <c r="C20" s="8" t="n">
        <v>965</v>
      </c>
      <c r="D20" s="6">
        <f>C20-B20</f>
        <v/>
      </c>
      <c r="E20" s="7" t="n"/>
      <c r="F20" s="7" t="n"/>
      <c r="G20" s="36" t="n"/>
      <c r="H20" s="35" t="n"/>
      <c r="I20" s="4" t="n">
        <v>205</v>
      </c>
      <c r="J20" s="4" t="n">
        <v>957</v>
      </c>
      <c r="K20" s="4">
        <f>J20-J19</f>
        <v/>
      </c>
      <c r="L20" s="47">
        <f>I20/K20</f>
        <v/>
      </c>
      <c r="M20" s="4">
        <f>N19</f>
        <v/>
      </c>
      <c r="N20" s="4" t="n">
        <v>43</v>
      </c>
      <c r="O20" s="6">
        <f>N20-M20</f>
        <v/>
      </c>
      <c r="P20" s="7" t="n"/>
      <c r="Q20" s="7" t="n"/>
      <c r="R20" s="36" t="n"/>
      <c r="S20" s="35" t="n"/>
      <c r="T20" s="4" t="n"/>
      <c r="U20" s="4" t="n"/>
      <c r="V20" s="4" t="n"/>
      <c r="W20" s="47" t="n"/>
      <c r="X20" s="4" t="n"/>
      <c r="Y20" s="8" t="n"/>
      <c r="Z20" s="6" t="n"/>
      <c r="AA20" s="7" t="n"/>
      <c r="AB20" s="7" t="n"/>
      <c r="AC20" s="36" t="n"/>
      <c r="AD20" s="35" t="n"/>
      <c r="AE20" s="4" t="n"/>
      <c r="AF20" s="4" t="n"/>
      <c r="AG20" s="4" t="n"/>
      <c r="AH20" s="47" t="n"/>
    </row>
    <row r="21">
      <c r="A21" s="3">
        <f>A20+1</f>
        <v/>
      </c>
      <c r="B21" s="4">
        <f>C20</f>
        <v/>
      </c>
      <c r="C21" s="17" t="n">
        <v>981</v>
      </c>
      <c r="D21" s="6">
        <f>C21-B21</f>
        <v/>
      </c>
      <c r="E21" s="7" t="n"/>
      <c r="F21" s="7" t="n"/>
      <c r="G21" s="36" t="n"/>
      <c r="H21" s="36" t="n"/>
      <c r="I21" s="4" t="n"/>
      <c r="J21" s="4" t="n"/>
      <c r="K21" s="4" t="n"/>
      <c r="L21" s="47" t="n"/>
      <c r="M21" s="4">
        <f>N20</f>
        <v/>
      </c>
      <c r="N21" s="4" t="n">
        <v>43</v>
      </c>
      <c r="O21" s="6">
        <f>N21-M21</f>
        <v/>
      </c>
      <c r="P21" s="7" t="n"/>
      <c r="Q21" s="7" t="n"/>
      <c r="R21" s="36" t="n"/>
      <c r="S21" s="36" t="n"/>
      <c r="T21" s="4" t="n"/>
      <c r="U21" s="4" t="n"/>
      <c r="V21" s="4" t="n"/>
      <c r="W21" s="47" t="n"/>
      <c r="X21" s="4" t="n"/>
      <c r="Y21" s="17" t="n"/>
      <c r="Z21" s="6" t="n"/>
      <c r="AA21" s="7" t="n"/>
      <c r="AB21" s="7" t="n"/>
      <c r="AC21" s="36" t="n"/>
      <c r="AD21" s="36" t="n"/>
      <c r="AE21" s="4" t="n"/>
      <c r="AF21" s="4" t="n"/>
      <c r="AG21" s="4" t="n"/>
      <c r="AH21" s="47" t="n"/>
    </row>
    <row r="22">
      <c r="A22" s="3">
        <f>A21+1</f>
        <v/>
      </c>
      <c r="B22" s="4">
        <f>C21</f>
        <v/>
      </c>
      <c r="C22" s="4" t="n">
        <v>991</v>
      </c>
      <c r="D22" s="6">
        <f>C22-B22</f>
        <v/>
      </c>
      <c r="E22" s="7" t="n"/>
      <c r="F22" s="7" t="n"/>
      <c r="G22" s="36" t="n"/>
      <c r="H22" s="36" t="n"/>
      <c r="I22" s="4" t="n">
        <v>370</v>
      </c>
      <c r="J22" s="4" t="n">
        <v>982</v>
      </c>
      <c r="K22" s="4">
        <f>J22-J20</f>
        <v/>
      </c>
      <c r="L22" s="47">
        <f>I22/K22</f>
        <v/>
      </c>
      <c r="M22" s="4">
        <f>N21</f>
        <v/>
      </c>
      <c r="N22" s="4" t="n">
        <v>43</v>
      </c>
      <c r="O22" s="6">
        <f>N22-M22</f>
        <v/>
      </c>
      <c r="P22" s="7" t="n"/>
      <c r="Q22" s="7" t="n"/>
      <c r="R22" s="36" t="n"/>
      <c r="S22" s="36" t="n"/>
      <c r="T22" s="4" t="n"/>
      <c r="U22" s="4" t="n"/>
      <c r="V22" s="4" t="n"/>
      <c r="W22" s="47" t="n"/>
      <c r="X22" s="4" t="n"/>
      <c r="Y22" s="4" t="n"/>
      <c r="Z22" s="6" t="n"/>
      <c r="AA22" s="7" t="n"/>
      <c r="AB22" s="7" t="n"/>
      <c r="AC22" s="36" t="n"/>
      <c r="AD22" s="36" t="n"/>
      <c r="AE22" s="4" t="n"/>
      <c r="AF22" s="4" t="n"/>
      <c r="AG22" s="4" t="n"/>
      <c r="AH22" s="47" t="n"/>
    </row>
    <row r="23">
      <c r="A23" s="3">
        <f>A22+1</f>
        <v/>
      </c>
      <c r="B23" s="4">
        <f>C22</f>
        <v/>
      </c>
      <c r="C23" s="4" t="n">
        <v>1001</v>
      </c>
      <c r="D23" s="6">
        <f>C23-B23</f>
        <v/>
      </c>
      <c r="E23" s="7" t="n"/>
      <c r="F23" s="7" t="n"/>
      <c r="G23" s="36" t="n"/>
      <c r="H23" s="36" t="n"/>
      <c r="I23" s="4" t="n"/>
      <c r="J23" s="4" t="n"/>
      <c r="K23" s="4" t="n"/>
      <c r="L23" s="47" t="n"/>
      <c r="M23" s="4">
        <f>N22</f>
        <v/>
      </c>
      <c r="N23" s="4" t="n">
        <v>43</v>
      </c>
      <c r="O23" s="6">
        <f>N23-M23</f>
        <v/>
      </c>
      <c r="P23" s="7" t="n"/>
      <c r="Q23" s="7" t="n"/>
      <c r="R23" s="36" t="n"/>
      <c r="S23" s="36" t="n"/>
      <c r="T23" s="4" t="n"/>
      <c r="U23" s="4" t="n"/>
      <c r="V23" s="4" t="n"/>
      <c r="W23" s="47" t="n"/>
      <c r="X23" s="4" t="n"/>
      <c r="Y23" s="4" t="n"/>
      <c r="Z23" s="6" t="n"/>
      <c r="AA23" s="7" t="n"/>
      <c r="AB23" s="7" t="n"/>
      <c r="AC23" s="36" t="n"/>
      <c r="AD23" s="36" t="n"/>
      <c r="AE23" s="4" t="n"/>
      <c r="AF23" s="4" t="n"/>
      <c r="AG23" s="4" t="n"/>
      <c r="AH23" s="47" t="n"/>
    </row>
    <row r="24">
      <c r="A24" s="3">
        <f>A23+1</f>
        <v/>
      </c>
      <c r="B24" s="4">
        <f>C23</f>
        <v/>
      </c>
      <c r="C24" s="4" t="n">
        <v>1012</v>
      </c>
      <c r="D24" s="6">
        <f>C24-B24</f>
        <v/>
      </c>
      <c r="E24" s="7" t="n"/>
      <c r="F24" s="7" t="n"/>
      <c r="G24" s="36" t="n"/>
      <c r="H24" s="36" t="n"/>
      <c r="I24" s="4" t="n">
        <v>325</v>
      </c>
      <c r="J24" s="4" t="n">
        <v>1002</v>
      </c>
      <c r="K24" s="4">
        <f>J24-J22</f>
        <v/>
      </c>
      <c r="L24" s="47">
        <f>I24/K24</f>
        <v/>
      </c>
      <c r="M24" s="4">
        <f>N23</f>
        <v/>
      </c>
      <c r="N24" s="4" t="n">
        <v>43</v>
      </c>
      <c r="O24" s="6">
        <f>N24-M24</f>
        <v/>
      </c>
      <c r="P24" s="7" t="n"/>
      <c r="Q24" s="7" t="n"/>
      <c r="R24" s="36" t="n"/>
      <c r="S24" s="36" t="n"/>
      <c r="T24" s="4" t="n"/>
      <c r="U24" s="4" t="n"/>
      <c r="V24" s="4" t="n"/>
      <c r="W24" s="47" t="n"/>
      <c r="X24" s="4" t="n"/>
      <c r="Y24" s="4" t="n"/>
      <c r="Z24" s="6" t="n"/>
      <c r="AA24" s="7" t="n"/>
      <c r="AB24" s="7" t="n"/>
      <c r="AC24" s="36" t="n"/>
      <c r="AD24" s="36" t="n"/>
      <c r="AE24" s="4" t="n"/>
      <c r="AF24" s="4" t="n"/>
      <c r="AG24" s="4" t="n"/>
      <c r="AH24" s="47" t="n"/>
    </row>
    <row r="25">
      <c r="A25" s="3">
        <f>A24+1</f>
        <v/>
      </c>
      <c r="B25" s="4">
        <f>C24</f>
        <v/>
      </c>
      <c r="C25" s="4" t="n">
        <v>1028</v>
      </c>
      <c r="D25" s="6">
        <f>C25-B25</f>
        <v/>
      </c>
      <c r="E25" s="7" t="n"/>
      <c r="F25" s="7" t="n"/>
      <c r="G25" s="36" t="n"/>
      <c r="H25" s="36" t="n"/>
      <c r="I25" s="4" t="n">
        <v>155</v>
      </c>
      <c r="J25" s="4" t="n">
        <v>1015</v>
      </c>
      <c r="K25" s="4">
        <f>J25-J24</f>
        <v/>
      </c>
      <c r="L25" s="47">
        <f>I25/K25</f>
        <v/>
      </c>
      <c r="M25" s="4">
        <f>N24</f>
        <v/>
      </c>
      <c r="N25" s="4" t="n">
        <v>43</v>
      </c>
      <c r="O25" s="6">
        <f>N25-M25</f>
        <v/>
      </c>
      <c r="P25" s="7" t="n"/>
      <c r="Q25" s="7" t="n"/>
      <c r="R25" s="36" t="n"/>
      <c r="S25" s="36" t="n"/>
      <c r="T25" s="4" t="n"/>
      <c r="U25" s="4" t="n"/>
      <c r="V25" s="4" t="n"/>
      <c r="W25" s="47" t="n"/>
      <c r="X25" s="4" t="n"/>
      <c r="Y25" s="4" t="n"/>
      <c r="Z25" s="6" t="n"/>
      <c r="AA25" s="7" t="n"/>
      <c r="AB25" s="7" t="n"/>
      <c r="AC25" s="36" t="n"/>
      <c r="AD25" s="36" t="n"/>
      <c r="AE25" s="4" t="n"/>
      <c r="AF25" s="4" t="n"/>
      <c r="AG25" s="4" t="n"/>
      <c r="AH25" s="47" t="n"/>
    </row>
    <row r="26">
      <c r="A26" s="3">
        <f>A25+1</f>
        <v/>
      </c>
      <c r="B26" s="4">
        <f>C25</f>
        <v/>
      </c>
      <c r="C26" s="6" t="n">
        <v>1045</v>
      </c>
      <c r="D26" s="6">
        <f>C26-B26</f>
        <v/>
      </c>
      <c r="E26" s="7" t="n"/>
      <c r="F26" s="7" t="n"/>
      <c r="G26" s="36" t="n"/>
      <c r="H26" s="36" t="n"/>
      <c r="I26" s="4" t="n">
        <v>268</v>
      </c>
      <c r="J26" s="4" t="n">
        <v>1033</v>
      </c>
      <c r="K26" s="4">
        <f>J26-J25</f>
        <v/>
      </c>
      <c r="L26" s="47">
        <f>I26/K26</f>
        <v/>
      </c>
      <c r="M26" s="4">
        <f>N25</f>
        <v/>
      </c>
      <c r="N26" s="4" t="n">
        <v>43</v>
      </c>
      <c r="O26" s="6">
        <f>N26-M26</f>
        <v/>
      </c>
      <c r="P26" s="7" t="n"/>
      <c r="Q26" s="7" t="n"/>
      <c r="R26" s="36" t="n"/>
      <c r="S26" s="36" t="n"/>
      <c r="T26" s="4" t="n"/>
      <c r="U26" s="4" t="n"/>
      <c r="V26" s="4" t="n"/>
      <c r="W26" s="47" t="n"/>
      <c r="X26" s="4" t="n"/>
      <c r="Y26" s="6" t="n"/>
      <c r="Z26" s="6" t="n"/>
      <c r="AA26" s="7" t="n"/>
      <c r="AB26" s="7" t="n"/>
      <c r="AC26" s="36" t="n"/>
      <c r="AD26" s="36" t="n"/>
      <c r="AE26" s="4" t="n"/>
      <c r="AF26" s="4" t="n"/>
      <c r="AG26" s="4" t="n"/>
      <c r="AH26" s="47" t="n"/>
    </row>
    <row r="27">
      <c r="A27" s="3">
        <f>A26+1</f>
        <v/>
      </c>
      <c r="B27" s="4">
        <f>C26</f>
        <v/>
      </c>
      <c r="C27" s="4" t="n">
        <v>1064</v>
      </c>
      <c r="D27" s="6">
        <f>C27-B27</f>
        <v/>
      </c>
      <c r="E27" s="7" t="n"/>
      <c r="F27" s="7" t="n"/>
      <c r="G27" s="36" t="n"/>
      <c r="H27" s="36" t="n"/>
      <c r="I27" s="4" t="n">
        <v>275</v>
      </c>
      <c r="J27" s="4" t="n">
        <v>1051</v>
      </c>
      <c r="K27" s="4">
        <f>J27-J26</f>
        <v/>
      </c>
      <c r="L27" s="47">
        <f>I27/K27</f>
        <v/>
      </c>
      <c r="M27" s="4">
        <f>N26</f>
        <v/>
      </c>
      <c r="N27" s="4" t="n">
        <v>43</v>
      </c>
      <c r="O27" s="6">
        <f>N27-M27</f>
        <v/>
      </c>
      <c r="P27" s="7" t="n"/>
      <c r="Q27" s="7" t="n"/>
      <c r="R27" s="36" t="n"/>
      <c r="S27" s="36" t="n"/>
      <c r="T27" s="4" t="n"/>
      <c r="U27" s="4" t="n"/>
      <c r="V27" s="4" t="n"/>
      <c r="W27" s="47" t="n"/>
      <c r="X27" s="4" t="n"/>
      <c r="Y27" s="4" t="n"/>
      <c r="Z27" s="6" t="n"/>
      <c r="AA27" s="7" t="n"/>
      <c r="AB27" s="7" t="n"/>
      <c r="AC27" s="36" t="n"/>
      <c r="AD27" s="36" t="n"/>
      <c r="AE27" s="4" t="n"/>
      <c r="AF27" s="4" t="n"/>
      <c r="AG27" s="4" t="n"/>
      <c r="AH27" s="47" t="n"/>
    </row>
    <row r="28">
      <c r="A28" s="3">
        <f>A27+1</f>
        <v/>
      </c>
      <c r="B28" s="4">
        <f>C27</f>
        <v/>
      </c>
      <c r="C28" s="4" t="n">
        <v>1078</v>
      </c>
      <c r="D28" s="6">
        <f>C28-B28</f>
        <v/>
      </c>
      <c r="E28" s="7" t="n"/>
      <c r="F28" s="7" t="n"/>
      <c r="G28" s="36" t="n"/>
      <c r="H28" s="35" t="n"/>
      <c r="I28" s="4" t="n">
        <v>196</v>
      </c>
      <c r="J28" s="4" t="n">
        <v>1066</v>
      </c>
      <c r="K28" s="4">
        <f>J28-J27</f>
        <v/>
      </c>
      <c r="L28" s="47">
        <f>I28/K28</f>
        <v/>
      </c>
      <c r="M28" s="4">
        <f>N27</f>
        <v/>
      </c>
      <c r="N28" s="4" t="n">
        <v>43</v>
      </c>
      <c r="O28" s="6">
        <f>N28-M28</f>
        <v/>
      </c>
      <c r="P28" s="7" t="n"/>
      <c r="Q28" s="7" t="n"/>
      <c r="R28" s="36" t="n"/>
      <c r="S28" s="35" t="n"/>
      <c r="T28" s="4" t="n"/>
      <c r="U28" s="4" t="n"/>
      <c r="V28" s="4" t="n"/>
      <c r="W28" s="47" t="n"/>
      <c r="X28" s="4" t="n"/>
      <c r="Y28" s="4" t="n"/>
      <c r="Z28" s="6" t="n"/>
      <c r="AA28" s="7" t="n"/>
      <c r="AB28" s="7" t="n"/>
      <c r="AC28" s="36" t="n"/>
      <c r="AD28" s="35" t="n"/>
      <c r="AE28" s="4" t="n"/>
      <c r="AF28" s="4" t="n"/>
      <c r="AG28" s="4" t="n"/>
      <c r="AH28" s="47" t="n"/>
    </row>
    <row r="29">
      <c r="A29" s="3">
        <f>A28+1</f>
        <v/>
      </c>
      <c r="B29" s="4">
        <f>C28</f>
        <v/>
      </c>
      <c r="C29" s="4" t="n">
        <v>1099</v>
      </c>
      <c r="D29" s="6">
        <f>C29-B29</f>
        <v/>
      </c>
      <c r="E29" s="7" t="n"/>
      <c r="F29" s="7" t="n"/>
      <c r="G29" s="36" t="n"/>
      <c r="H29" s="36" t="n"/>
      <c r="I29" s="4" t="n">
        <v>232</v>
      </c>
      <c r="J29" s="4" t="n">
        <v>1083</v>
      </c>
      <c r="K29" s="4">
        <f>J29-J28</f>
        <v/>
      </c>
      <c r="L29" s="47">
        <f>I29/K29</f>
        <v/>
      </c>
      <c r="M29" s="4">
        <f>N28</f>
        <v/>
      </c>
      <c r="N29" s="4" t="n">
        <v>43</v>
      </c>
      <c r="O29" s="6">
        <f>N29-M29</f>
        <v/>
      </c>
      <c r="P29" s="7" t="n"/>
      <c r="Q29" s="7" t="n"/>
      <c r="R29" s="36" t="n"/>
      <c r="S29" s="36" t="n"/>
      <c r="T29" s="4" t="n"/>
      <c r="U29" s="4" t="n"/>
      <c r="V29" s="4" t="n"/>
      <c r="W29" s="47" t="n"/>
      <c r="X29" s="4" t="n"/>
      <c r="Y29" s="4" t="n"/>
      <c r="Z29" s="6" t="n"/>
      <c r="AA29" s="7" t="n"/>
      <c r="AB29" s="7" t="n"/>
      <c r="AC29" s="36" t="n"/>
      <c r="AD29" s="36" t="n"/>
      <c r="AE29" s="4" t="n"/>
      <c r="AF29" s="4" t="n"/>
      <c r="AG29" s="4" t="n"/>
      <c r="AH29" s="47" t="n"/>
    </row>
    <row r="30">
      <c r="A30" s="3">
        <f>A29+1</f>
        <v/>
      </c>
      <c r="B30" s="4">
        <f>C29</f>
        <v/>
      </c>
      <c r="C30" s="4" t="n">
        <v>1113</v>
      </c>
      <c r="D30" s="6">
        <f>C30-B30</f>
        <v/>
      </c>
      <c r="E30" s="7" t="n"/>
      <c r="F30" s="7" t="n"/>
      <c r="G30" s="36" t="n"/>
      <c r="H30" s="35" t="n"/>
      <c r="I30" s="4" t="n">
        <v>330</v>
      </c>
      <c r="J30" s="4" t="n">
        <v>1104</v>
      </c>
      <c r="K30" s="4">
        <f>J30-J29</f>
        <v/>
      </c>
      <c r="L30" s="47">
        <f>I30/K30</f>
        <v/>
      </c>
      <c r="M30" s="4">
        <f>N29</f>
        <v/>
      </c>
      <c r="N30" s="4" t="n">
        <v>43</v>
      </c>
      <c r="O30" s="6">
        <f>N30-M30</f>
        <v/>
      </c>
      <c r="P30" s="7" t="n"/>
      <c r="Q30" s="7" t="n"/>
      <c r="R30" s="36" t="n"/>
      <c r="S30" s="35" t="n"/>
      <c r="T30" s="4" t="n"/>
      <c r="U30" s="4" t="n"/>
      <c r="V30" s="4" t="n"/>
      <c r="W30" s="47" t="n"/>
      <c r="X30" s="4" t="n"/>
      <c r="Y30" s="4" t="n"/>
      <c r="Z30" s="6" t="n"/>
      <c r="AA30" s="7" t="n"/>
      <c r="AB30" s="7" t="n"/>
      <c r="AC30" s="36" t="n"/>
      <c r="AD30" s="35" t="n"/>
      <c r="AE30" s="4" t="n"/>
      <c r="AF30" s="4" t="n"/>
      <c r="AG30" s="4" t="n"/>
      <c r="AH30" s="47" t="n"/>
    </row>
    <row r="31" ht="15.75" customHeight="1">
      <c r="A31" s="12" t="n"/>
      <c r="B31" s="12" t="n"/>
      <c r="C31" s="13" t="n"/>
      <c r="D31" s="14">
        <f>SUM(D3:D30)</f>
        <v/>
      </c>
      <c r="E31" s="11" t="n"/>
      <c r="F31" s="11" t="n"/>
      <c r="G31" s="14">
        <f>SUM(G3:G30)</f>
        <v/>
      </c>
      <c r="H31" s="11" t="n"/>
      <c r="I31" s="14">
        <f>SUM(I3:I30)</f>
        <v/>
      </c>
      <c r="J31" s="14" t="n"/>
      <c r="K31" s="14">
        <f>SUM(K3:K30)</f>
        <v/>
      </c>
      <c r="L31" s="48">
        <f>I31/K31</f>
        <v/>
      </c>
      <c r="M31" s="12" t="n"/>
      <c r="N31" s="13" t="n"/>
      <c r="O31" s="14">
        <f>SUM(O3:O30)</f>
        <v/>
      </c>
      <c r="P31" s="11" t="n"/>
      <c r="Q31" s="11" t="n"/>
      <c r="R31" s="14">
        <f>SUM(R3:R30)</f>
        <v/>
      </c>
      <c r="S31" s="51" t="n"/>
      <c r="T31" s="14">
        <f>SUM(T3:T30)</f>
        <v/>
      </c>
      <c r="U31" s="14" t="n"/>
      <c r="V31" s="14">
        <f>SUM(V3:V30)</f>
        <v/>
      </c>
      <c r="W31" s="48">
        <f>T31/V31</f>
        <v/>
      </c>
      <c r="X31" s="12" t="n"/>
      <c r="Y31" s="13" t="n"/>
      <c r="Z31" s="14">
        <f>SUM(Z3:Z30)</f>
        <v/>
      </c>
      <c r="AA31" s="11" t="n"/>
      <c r="AB31" s="11" t="n"/>
      <c r="AC31" s="14">
        <f>SUM(AC3:AC30)</f>
        <v/>
      </c>
      <c r="AD31" s="51" t="n"/>
      <c r="AE31" s="14">
        <f>SUM(AE3:AE30)</f>
        <v/>
      </c>
      <c r="AF31" s="14" t="n"/>
      <c r="AG31" s="14">
        <f>SUM(AG3:AG30)</f>
        <v/>
      </c>
      <c r="AH31" s="48">
        <f>AE31/AG31</f>
        <v/>
      </c>
    </row>
  </sheetData>
  <mergeCells count="3">
    <mergeCell ref="M1:N1"/>
    <mergeCell ref="B1:C1"/>
    <mergeCell ref="X1:Y1"/>
  </mergeCells>
  <conditionalFormatting sqref="A3:A17 A19:A30">
    <cfRule type="duplicateValues" priority="31"/>
  </conditionalFormatting>
  <conditionalFormatting sqref="A18">
    <cfRule type="duplicateValues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9"/>
  <sheetViews>
    <sheetView topLeftCell="L2" workbookViewId="0">
      <selection activeCell="AL30" sqref="AL30"/>
    </sheetView>
  </sheetViews>
  <sheetFormatPr baseColWidth="8" defaultRowHeight="15"/>
  <cols>
    <col width="13.42578125" customWidth="1" min="1" max="1"/>
    <col width="22.140625" bestFit="1" customWidth="1" min="24" max="24"/>
  </cols>
  <sheetData>
    <row r="1" ht="63" customHeight="1">
      <c r="A1" s="130" t="inlineStr">
        <is>
          <t>DATE</t>
        </is>
      </c>
      <c r="B1" s="130" t="inlineStr">
        <is>
          <t>KAMLAR- Dhirpur
MAR-2025</t>
        </is>
      </c>
      <c r="C1" s="132" t="n"/>
      <c r="D1" s="10" t="inlineStr">
        <is>
          <t>Daily Running Hours</t>
        </is>
      </c>
      <c r="E1" s="10" t="inlineStr">
        <is>
          <t>Breakdown start time</t>
        </is>
      </c>
      <c r="F1" s="10" t="inlineStr">
        <is>
          <t>Breakdown end time</t>
        </is>
      </c>
      <c r="G1" s="49" t="inlineStr">
        <is>
          <t>Total Breakdown Hour</t>
        </is>
      </c>
      <c r="H1" s="49" t="inlineStr">
        <is>
          <t>Breakdown Reason</t>
        </is>
      </c>
      <c r="I1" s="130" t="inlineStr">
        <is>
          <t>DIESEL Consumed</t>
        </is>
      </c>
      <c r="J1" s="130" t="inlineStr">
        <is>
          <t>Diesel HMR</t>
        </is>
      </c>
      <c r="K1" s="130" t="inlineStr">
        <is>
          <t xml:space="preserve">Hours </t>
        </is>
      </c>
      <c r="L1" s="45" t="inlineStr">
        <is>
          <t>Average</t>
        </is>
      </c>
      <c r="M1" s="130" t="inlineStr">
        <is>
          <t>KAMLAR-1-Dalpatpur</t>
        </is>
      </c>
      <c r="N1" s="132" t="n"/>
      <c r="O1" s="10" t="inlineStr">
        <is>
          <t>Daily Running Hours</t>
        </is>
      </c>
      <c r="P1" s="10" t="inlineStr">
        <is>
          <t>Breakdown start time</t>
        </is>
      </c>
      <c r="Q1" s="10" t="inlineStr">
        <is>
          <t>Breakdown end time</t>
        </is>
      </c>
      <c r="R1" s="49" t="inlineStr">
        <is>
          <t>Total Breakdown Hour</t>
        </is>
      </c>
      <c r="S1" s="49" t="inlineStr">
        <is>
          <t>Breakdown Reason</t>
        </is>
      </c>
      <c r="T1" s="130" t="inlineStr">
        <is>
          <t>DIESEL Consumed</t>
        </is>
      </c>
      <c r="U1" s="130" t="inlineStr">
        <is>
          <t>Diesel HMR</t>
        </is>
      </c>
      <c r="V1" s="130" t="inlineStr">
        <is>
          <t xml:space="preserve">Hours </t>
        </is>
      </c>
      <c r="W1" s="45" t="inlineStr">
        <is>
          <t>Average</t>
        </is>
      </c>
      <c r="X1" s="130" t="inlineStr">
        <is>
          <t>KAMLAR-2-Dalpatpur</t>
        </is>
      </c>
      <c r="Y1" s="132" t="n"/>
      <c r="Z1" s="10" t="inlineStr">
        <is>
          <t>Daily Running Hours</t>
        </is>
      </c>
      <c r="AA1" s="10" t="inlineStr">
        <is>
          <t>Breakdown start time</t>
        </is>
      </c>
      <c r="AB1" s="10" t="inlineStr">
        <is>
          <t>Breakdown end time</t>
        </is>
      </c>
      <c r="AC1" s="49" t="inlineStr">
        <is>
          <t>Total Breakdown Hour</t>
        </is>
      </c>
      <c r="AD1" s="49" t="inlineStr">
        <is>
          <t>Breakdown Reason</t>
        </is>
      </c>
      <c r="AE1" s="130" t="inlineStr">
        <is>
          <t>DIESEL Consumed</t>
        </is>
      </c>
      <c r="AF1" s="130" t="inlineStr">
        <is>
          <t>Diesel HMR</t>
        </is>
      </c>
      <c r="AG1" s="130" t="inlineStr">
        <is>
          <t xml:space="preserve">Hours </t>
        </is>
      </c>
      <c r="AH1" s="45" t="inlineStr">
        <is>
          <t>Average</t>
        </is>
      </c>
    </row>
    <row r="2" ht="30" customHeight="1">
      <c r="A2" s="38" t="inlineStr">
        <is>
          <t>PREV  Stock</t>
        </is>
      </c>
      <c r="B2" s="38" t="inlineStr">
        <is>
          <t>Start HMR</t>
        </is>
      </c>
      <c r="C2" s="38" t="inlineStr">
        <is>
          <t>End HMR</t>
        </is>
      </c>
      <c r="D2" s="39" t="n"/>
      <c r="E2" s="39" t="n"/>
      <c r="F2" s="39" t="n"/>
      <c r="G2" s="50" t="n"/>
      <c r="H2" s="50" t="n"/>
      <c r="I2" s="38" t="n"/>
      <c r="J2" s="40" t="n">
        <v>1104</v>
      </c>
      <c r="K2" s="38" t="n"/>
      <c r="L2" s="46" t="n"/>
      <c r="M2" s="38" t="inlineStr">
        <is>
          <t>Start HMR</t>
        </is>
      </c>
      <c r="N2" s="38" t="inlineStr">
        <is>
          <t>End HMR</t>
        </is>
      </c>
      <c r="O2" s="39" t="n"/>
      <c r="P2" s="39" t="n"/>
      <c r="Q2" s="39" t="n"/>
      <c r="R2" s="50" t="n"/>
      <c r="S2" s="50" t="n"/>
      <c r="T2" s="38" t="n"/>
      <c r="U2" s="40" t="n"/>
      <c r="V2" s="38" t="n"/>
      <c r="W2" s="46" t="n"/>
      <c r="X2" s="38" t="inlineStr">
        <is>
          <t>Start HMR</t>
        </is>
      </c>
      <c r="Y2" s="38" t="inlineStr">
        <is>
          <t>End HMR</t>
        </is>
      </c>
      <c r="Z2" s="39" t="n"/>
      <c r="AA2" s="39" t="n"/>
      <c r="AB2" s="39" t="n"/>
      <c r="AC2" s="50" t="n"/>
      <c r="AD2" s="50" t="n"/>
      <c r="AE2" s="38" t="n"/>
      <c r="AF2" s="40" t="n"/>
      <c r="AG2" s="38" t="n"/>
      <c r="AH2" s="46" t="n"/>
    </row>
    <row r="3">
      <c r="A3" s="3" t="n">
        <v>46082</v>
      </c>
      <c r="B3" s="4" t="n">
        <v>1113</v>
      </c>
      <c r="C3" s="5" t="n">
        <v>1119</v>
      </c>
      <c r="D3" s="6">
        <f>C3-B3</f>
        <v/>
      </c>
      <c r="E3" s="7" t="n"/>
      <c r="F3" s="7" t="n"/>
      <c r="G3" s="36" t="n"/>
      <c r="H3" s="36" t="n"/>
      <c r="I3" s="4" t="n"/>
      <c r="J3" s="4" t="n"/>
      <c r="K3" s="4" t="n"/>
      <c r="L3" s="47" t="n"/>
      <c r="M3" s="4" t="n">
        <v>43</v>
      </c>
      <c r="N3" s="5" t="n">
        <v>43</v>
      </c>
      <c r="O3" s="6">
        <f>N3-M3</f>
        <v/>
      </c>
      <c r="P3" s="7" t="n"/>
      <c r="Q3" s="7" t="n"/>
      <c r="R3" s="36" t="n"/>
      <c r="S3" s="36" t="n"/>
      <c r="T3" s="4" t="n"/>
      <c r="U3" s="4" t="n"/>
      <c r="V3" s="4" t="n"/>
      <c r="W3" s="47" t="n"/>
      <c r="X3" s="4" t="n"/>
      <c r="Y3" s="5" t="n"/>
      <c r="Z3" s="6" t="n"/>
      <c r="AA3" s="7" t="n"/>
      <c r="AB3" s="7" t="n"/>
      <c r="AC3" s="36" t="n"/>
      <c r="AD3" s="36" t="n"/>
      <c r="AE3" s="4" t="n"/>
      <c r="AF3" s="4" t="n"/>
      <c r="AG3" s="4" t="n"/>
      <c r="AH3" s="47" t="n"/>
    </row>
    <row r="4">
      <c r="A4" s="3">
        <f>A3+1</f>
        <v/>
      </c>
      <c r="B4" s="4">
        <f>C3</f>
        <v/>
      </c>
      <c r="C4" s="5" t="n">
        <v>1128</v>
      </c>
      <c r="D4" s="6">
        <f>C4-B4</f>
        <v/>
      </c>
      <c r="E4" s="7" t="n"/>
      <c r="F4" s="7" t="n"/>
      <c r="G4" s="36" t="n"/>
      <c r="H4" s="36" t="n"/>
      <c r="I4" s="4" t="n">
        <v>250</v>
      </c>
      <c r="J4" s="4" t="n">
        <v>1121</v>
      </c>
      <c r="K4" s="4">
        <f>J4-J2</f>
        <v/>
      </c>
      <c r="L4" s="47">
        <f>I4/K4</f>
        <v/>
      </c>
      <c r="M4" s="4">
        <f>N3</f>
        <v/>
      </c>
      <c r="N4" s="5" t="n">
        <v>43</v>
      </c>
      <c r="O4" s="6">
        <f>N4-M4</f>
        <v/>
      </c>
      <c r="P4" s="7" t="n"/>
      <c r="Q4" s="7" t="n"/>
      <c r="R4" s="36" t="n"/>
      <c r="S4" s="36" t="n"/>
      <c r="T4" s="4" t="n"/>
      <c r="U4" s="4" t="n"/>
      <c r="V4" s="4" t="n"/>
      <c r="W4" s="47" t="n"/>
      <c r="X4" s="8" t="inlineStr">
        <is>
          <t xml:space="preserve">Assesmble </t>
        </is>
      </c>
      <c r="Y4" s="4" t="n"/>
      <c r="Z4" s="6" t="n"/>
      <c r="AA4" s="7" t="n"/>
      <c r="AB4" s="7" t="n"/>
      <c r="AC4" s="36" t="n"/>
      <c r="AD4" s="36" t="n"/>
      <c r="AE4" s="4" t="n"/>
      <c r="AF4" s="4" t="n"/>
      <c r="AG4" s="4" t="n"/>
      <c r="AH4" s="47" t="n"/>
    </row>
    <row r="5">
      <c r="A5" s="3">
        <f>A4+1</f>
        <v/>
      </c>
      <c r="B5" s="4">
        <f>C4</f>
        <v/>
      </c>
      <c r="C5" s="37" t="n">
        <v>1137</v>
      </c>
      <c r="D5" s="6">
        <f>C5-B5</f>
        <v/>
      </c>
      <c r="E5" s="7" t="n"/>
      <c r="F5" s="7" t="n"/>
      <c r="G5" s="36" t="n"/>
      <c r="H5" s="36" t="n"/>
      <c r="I5" s="4" t="n">
        <v>196</v>
      </c>
      <c r="J5" s="4" t="n">
        <v>1134</v>
      </c>
      <c r="K5" s="4">
        <f>J5-J4</f>
        <v/>
      </c>
      <c r="L5" s="47">
        <f>I5/K5</f>
        <v/>
      </c>
      <c r="M5" s="4">
        <f>N4</f>
        <v/>
      </c>
      <c r="N5" s="5" t="n">
        <v>43</v>
      </c>
      <c r="O5" s="6">
        <f>N5-M5</f>
        <v/>
      </c>
      <c r="P5" s="7" t="n"/>
      <c r="Q5" s="7" t="n"/>
      <c r="R5" s="36" t="n"/>
      <c r="S5" s="36" t="n"/>
      <c r="T5" s="4" t="n"/>
      <c r="U5" s="4" t="n"/>
      <c r="V5" s="4" t="n"/>
      <c r="W5" s="47" t="n"/>
      <c r="X5" s="4" t="n"/>
      <c r="Y5" s="37" t="n"/>
      <c r="Z5" s="6" t="n"/>
      <c r="AA5" s="7" t="n"/>
      <c r="AB5" s="7" t="n"/>
      <c r="AC5" s="36" t="n"/>
      <c r="AD5" s="36" t="n"/>
      <c r="AE5" s="4" t="n"/>
      <c r="AF5" s="4" t="n"/>
      <c r="AG5" s="4" t="n"/>
      <c r="AH5" s="47" t="n"/>
    </row>
    <row r="6">
      <c r="A6" s="3">
        <f>A5+1</f>
        <v/>
      </c>
      <c r="B6" s="4">
        <f>C5</f>
        <v/>
      </c>
      <c r="C6" s="4" t="n">
        <v>1138</v>
      </c>
      <c r="D6" s="6">
        <f>C6-B6</f>
        <v/>
      </c>
      <c r="E6" s="7" t="n"/>
      <c r="F6" s="7" t="n"/>
      <c r="G6" s="36" t="n"/>
      <c r="H6" s="36" t="n"/>
      <c r="I6" s="4" t="n"/>
      <c r="J6" s="37" t="n"/>
      <c r="K6" s="4" t="n"/>
      <c r="L6" s="47" t="n"/>
      <c r="M6" s="4">
        <f>N5</f>
        <v/>
      </c>
      <c r="N6" s="5" t="n">
        <v>43</v>
      </c>
      <c r="O6" s="6">
        <f>N6-M6</f>
        <v/>
      </c>
      <c r="P6" s="7" t="n"/>
      <c r="Q6" s="7" t="n"/>
      <c r="R6" s="36" t="n"/>
      <c r="S6" s="36" t="n"/>
      <c r="T6" s="4" t="n"/>
      <c r="U6" s="37" t="n"/>
      <c r="V6" s="4" t="n"/>
      <c r="W6" s="47" t="n"/>
      <c r="X6" s="4" t="n"/>
      <c r="Y6" s="4" t="n"/>
      <c r="Z6" s="6" t="n"/>
      <c r="AA6" s="7" t="n"/>
      <c r="AB6" s="7" t="n"/>
      <c r="AC6" s="36" t="n"/>
      <c r="AD6" s="36" t="n"/>
      <c r="AE6" s="4" t="n"/>
      <c r="AF6" s="37" t="n"/>
      <c r="AG6" s="4" t="n"/>
      <c r="AH6" s="47" t="n"/>
    </row>
    <row r="7">
      <c r="A7" s="3">
        <f>A6+1</f>
        <v/>
      </c>
      <c r="B7" s="4">
        <f>C6</f>
        <v/>
      </c>
      <c r="C7" s="4" t="n">
        <v>1141</v>
      </c>
      <c r="D7" s="6">
        <f>C7-B7</f>
        <v/>
      </c>
      <c r="E7" s="7" t="n"/>
      <c r="F7" s="7" t="n"/>
      <c r="G7" s="36" t="n"/>
      <c r="H7" s="36" t="n"/>
      <c r="I7" s="4" t="n"/>
      <c r="J7" s="4" t="n"/>
      <c r="K7" s="4" t="n"/>
      <c r="L7" s="47" t="n"/>
      <c r="M7" s="4">
        <f>N6</f>
        <v/>
      </c>
      <c r="N7" s="5" t="n">
        <v>43</v>
      </c>
      <c r="O7" s="6">
        <f>N7-M7</f>
        <v/>
      </c>
      <c r="P7" s="7" t="n"/>
      <c r="Q7" s="7" t="n"/>
      <c r="R7" s="36" t="n"/>
      <c r="S7" s="36" t="n"/>
      <c r="T7" s="4" t="n"/>
      <c r="U7" s="4" t="n"/>
      <c r="V7" s="4" t="n"/>
      <c r="W7" s="47" t="n"/>
      <c r="X7" s="4" t="n"/>
      <c r="Y7" s="4" t="n"/>
      <c r="Z7" s="6" t="n"/>
      <c r="AA7" s="7" t="n"/>
      <c r="AB7" s="7" t="n"/>
      <c r="AC7" s="36" t="n"/>
      <c r="AD7" s="36" t="n"/>
      <c r="AE7" s="4" t="n"/>
      <c r="AF7" s="4" t="n"/>
      <c r="AG7" s="4" t="n"/>
      <c r="AH7" s="47" t="n"/>
    </row>
    <row r="8">
      <c r="A8" s="3">
        <f>A7+1</f>
        <v/>
      </c>
      <c r="B8" s="4">
        <f>C7</f>
        <v/>
      </c>
      <c r="C8" s="4" t="n">
        <v>1143</v>
      </c>
      <c r="D8" s="6">
        <f>C8-B8</f>
        <v/>
      </c>
      <c r="E8" s="7" t="n"/>
      <c r="F8" s="7" t="n"/>
      <c r="G8" s="36" t="n"/>
      <c r="H8" s="36" t="n"/>
      <c r="I8" s="4" t="n"/>
      <c r="J8" s="4" t="n"/>
      <c r="K8" s="4" t="n"/>
      <c r="L8" s="47" t="n"/>
      <c r="M8" s="4">
        <f>N7</f>
        <v/>
      </c>
      <c r="N8" s="5" t="n">
        <v>43</v>
      </c>
      <c r="O8" s="6">
        <f>N8-M8</f>
        <v/>
      </c>
      <c r="P8" s="7" t="n"/>
      <c r="Q8" s="7" t="n"/>
      <c r="R8" s="36" t="n"/>
      <c r="S8" s="36" t="n"/>
      <c r="T8" s="4" t="n"/>
      <c r="U8" s="4" t="n"/>
      <c r="V8" s="4" t="n"/>
      <c r="W8" s="47" t="n"/>
      <c r="X8" s="4" t="n"/>
      <c r="Y8" s="4" t="n"/>
      <c r="Z8" s="6" t="n"/>
      <c r="AA8" s="7" t="n"/>
      <c r="AB8" s="7" t="n"/>
      <c r="AC8" s="36" t="n"/>
      <c r="AD8" s="36" t="n"/>
      <c r="AE8" s="4" t="n"/>
      <c r="AF8" s="4" t="n"/>
      <c r="AG8" s="4" t="n"/>
      <c r="AH8" s="47" t="n"/>
    </row>
    <row r="9">
      <c r="A9" s="3">
        <f>A8+1</f>
        <v/>
      </c>
      <c r="B9" s="4">
        <f>C8</f>
        <v/>
      </c>
      <c r="C9" s="4" t="n">
        <v>1149</v>
      </c>
      <c r="D9" s="6">
        <f>C9-B9</f>
        <v/>
      </c>
      <c r="E9" s="7" t="n"/>
      <c r="F9" s="7" t="n"/>
      <c r="G9" s="36" t="n"/>
      <c r="H9" s="35" t="n"/>
      <c r="I9" s="4" t="n">
        <v>193</v>
      </c>
      <c r="J9" s="4" t="n">
        <v>1148</v>
      </c>
      <c r="K9" s="4">
        <f>J9-J5</f>
        <v/>
      </c>
      <c r="L9" s="47">
        <f>I9/K9</f>
        <v/>
      </c>
      <c r="M9" s="4">
        <f>N8</f>
        <v/>
      </c>
      <c r="N9" s="5" t="n">
        <v>43</v>
      </c>
      <c r="O9" s="6">
        <f>N9-M9</f>
        <v/>
      </c>
      <c r="P9" s="7" t="n"/>
      <c r="Q9" s="7" t="n"/>
      <c r="R9" s="36" t="n"/>
      <c r="S9" s="35" t="n"/>
      <c r="T9" s="4" t="n"/>
      <c r="U9" s="4" t="n"/>
      <c r="V9" s="4" t="n"/>
      <c r="W9" s="47" t="n"/>
      <c r="X9" s="4" t="n"/>
      <c r="Y9" s="4" t="n"/>
      <c r="Z9" s="6" t="n"/>
      <c r="AA9" s="7" t="n"/>
      <c r="AB9" s="7" t="n"/>
      <c r="AC9" s="36" t="n"/>
      <c r="AD9" s="35" t="n"/>
      <c r="AE9" s="4" t="n"/>
      <c r="AF9" s="4" t="n"/>
      <c r="AG9" s="4" t="n"/>
      <c r="AH9" s="47" t="n"/>
    </row>
    <row r="10">
      <c r="A10" s="3">
        <f>A9+1</f>
        <v/>
      </c>
      <c r="B10" s="4">
        <f>C9</f>
        <v/>
      </c>
      <c r="C10" s="4" t="n">
        <v>1150</v>
      </c>
      <c r="D10" s="6">
        <f>C10-B10</f>
        <v/>
      </c>
      <c r="E10" s="7" t="n"/>
      <c r="F10" s="7" t="n"/>
      <c r="G10" s="36" t="n"/>
      <c r="H10" s="36" t="n"/>
      <c r="I10" s="4" t="n"/>
      <c r="J10" s="4" t="n"/>
      <c r="K10" s="4" t="n"/>
      <c r="L10" s="47" t="n"/>
      <c r="M10" s="4">
        <f>N9</f>
        <v/>
      </c>
      <c r="N10" s="5" t="n">
        <v>43</v>
      </c>
      <c r="O10" s="6">
        <f>N10-M10</f>
        <v/>
      </c>
      <c r="P10" s="7" t="n"/>
      <c r="Q10" s="7" t="n"/>
      <c r="R10" s="36" t="n"/>
      <c r="S10" s="36" t="n"/>
      <c r="T10" s="4" t="n"/>
      <c r="U10" s="4" t="n"/>
      <c r="V10" s="4" t="n"/>
      <c r="W10" s="47" t="n"/>
      <c r="X10" s="4" t="n"/>
      <c r="Y10" s="4" t="n"/>
      <c r="Z10" s="6" t="n"/>
      <c r="AA10" s="7" t="n"/>
      <c r="AB10" s="7" t="n"/>
      <c r="AC10" s="36" t="n"/>
      <c r="AD10" s="36" t="n"/>
      <c r="AE10" s="4" t="n"/>
      <c r="AF10" s="4" t="n"/>
      <c r="AG10" s="4" t="n"/>
      <c r="AH10" s="47" t="n"/>
    </row>
    <row r="11">
      <c r="A11" s="3">
        <f>A10+1</f>
        <v/>
      </c>
      <c r="B11" s="4">
        <f>C10</f>
        <v/>
      </c>
      <c r="C11" s="4" t="n">
        <v>1153</v>
      </c>
      <c r="D11" s="6">
        <f>C11-B11</f>
        <v/>
      </c>
      <c r="E11" s="7" t="n"/>
      <c r="F11" s="7" t="n"/>
      <c r="G11" s="36" t="n"/>
      <c r="H11" s="36" t="n"/>
      <c r="I11" s="4" t="n"/>
      <c r="J11" s="4" t="n"/>
      <c r="K11" s="4" t="n"/>
      <c r="L11" s="47" t="n"/>
      <c r="M11" s="4" t="n">
        <v>44</v>
      </c>
      <c r="N11" s="4" t="n">
        <v>44</v>
      </c>
      <c r="O11" s="6">
        <f>N11-M11</f>
        <v/>
      </c>
      <c r="P11" s="7" t="n"/>
      <c r="Q11" s="7" t="n"/>
      <c r="R11" s="36" t="n"/>
      <c r="S11" s="36" t="n"/>
      <c r="T11" s="4" t="n"/>
      <c r="U11" s="4" t="n"/>
      <c r="V11" s="4" t="n"/>
      <c r="W11" s="47" t="n"/>
      <c r="X11" s="4" t="n">
        <v>22</v>
      </c>
      <c r="Y11" s="4" t="n">
        <v>22</v>
      </c>
      <c r="Z11" s="6">
        <f>Y11-X11</f>
        <v/>
      </c>
      <c r="AA11" s="7" t="n"/>
      <c r="AB11" s="7" t="n"/>
      <c r="AC11" s="36" t="n"/>
      <c r="AD11" s="36" t="n"/>
      <c r="AE11" s="4" t="n"/>
      <c r="AF11" s="4" t="n"/>
      <c r="AG11" s="4" t="n"/>
      <c r="AH11" s="47" t="n"/>
    </row>
    <row r="12">
      <c r="A12" s="3">
        <f>A11+1</f>
        <v/>
      </c>
      <c r="B12" s="4">
        <f>C11</f>
        <v/>
      </c>
      <c r="C12" s="4" t="n">
        <v>1162</v>
      </c>
      <c r="D12" s="6">
        <f>C12-B12</f>
        <v/>
      </c>
      <c r="E12" s="7" t="n"/>
      <c r="F12" s="7" t="n"/>
      <c r="G12" s="36" t="n"/>
      <c r="H12" s="36" t="n"/>
      <c r="I12" s="4" t="n">
        <v>75</v>
      </c>
      <c r="J12" s="4" t="n">
        <v>1153</v>
      </c>
      <c r="K12" s="4">
        <f>J12-J9</f>
        <v/>
      </c>
      <c r="L12" s="47">
        <f>I12/K12</f>
        <v/>
      </c>
      <c r="M12" s="4">
        <f>N11</f>
        <v/>
      </c>
      <c r="N12" s="4" t="n">
        <v>45</v>
      </c>
      <c r="O12" s="6">
        <f>N12-M12</f>
        <v/>
      </c>
      <c r="P12" s="7" t="n"/>
      <c r="Q12" s="7" t="n"/>
      <c r="R12" s="36" t="n"/>
      <c r="S12" s="36" t="n"/>
      <c r="T12" s="4" t="n"/>
      <c r="U12" s="4" t="n"/>
      <c r="V12" s="4" t="n"/>
      <c r="W12" s="47" t="n"/>
      <c r="X12" s="4">
        <f>Y11</f>
        <v/>
      </c>
      <c r="Y12" s="4" t="n">
        <v>22</v>
      </c>
      <c r="Z12" s="6">
        <f>Y12-X12</f>
        <v/>
      </c>
      <c r="AA12" s="7" t="n"/>
      <c r="AB12" s="7" t="n"/>
      <c r="AC12" s="36" t="n"/>
      <c r="AD12" s="36" t="n"/>
      <c r="AE12" s="4" t="n"/>
      <c r="AF12" s="4" t="n"/>
      <c r="AG12" s="4" t="n"/>
      <c r="AH12" s="47" t="n"/>
    </row>
    <row r="13">
      <c r="A13" s="3">
        <f>A12+1</f>
        <v/>
      </c>
      <c r="B13" s="4">
        <f>C12</f>
        <v/>
      </c>
      <c r="C13" s="4" t="n">
        <v>1166</v>
      </c>
      <c r="D13" s="6">
        <f>C13-B13</f>
        <v/>
      </c>
      <c r="E13" s="7" t="n"/>
      <c r="F13" s="7" t="n"/>
      <c r="G13" s="36" t="n"/>
      <c r="H13" s="35" t="n"/>
      <c r="I13" s="4" t="n"/>
      <c r="J13" s="4" t="n"/>
      <c r="K13" s="4" t="n"/>
      <c r="L13" s="47" t="n"/>
      <c r="M13" s="4">
        <f>N12</f>
        <v/>
      </c>
      <c r="N13" s="4" t="n">
        <v>45</v>
      </c>
      <c r="O13" s="6">
        <f>N13-M13</f>
        <v/>
      </c>
      <c r="P13" s="7" t="n"/>
      <c r="Q13" s="7" t="n"/>
      <c r="R13" s="36" t="n"/>
      <c r="S13" s="35" t="n"/>
      <c r="T13" s="4" t="n"/>
      <c r="U13" s="4" t="n"/>
      <c r="V13" s="4" t="n"/>
      <c r="W13" s="47" t="n"/>
      <c r="X13" s="4">
        <f>Y12</f>
        <v/>
      </c>
      <c r="Y13" s="4" t="n">
        <v>23</v>
      </c>
      <c r="Z13" s="6">
        <f>Y13-X13</f>
        <v/>
      </c>
      <c r="AA13" s="7" t="n"/>
      <c r="AB13" s="7" t="n"/>
      <c r="AC13" s="36" t="n"/>
      <c r="AD13" s="35" t="n"/>
      <c r="AE13" s="4" t="n"/>
      <c r="AF13" s="4" t="n"/>
      <c r="AG13" s="4" t="n"/>
      <c r="AH13" s="47" t="n"/>
    </row>
    <row r="14">
      <c r="A14" s="3">
        <f>A13+1</f>
        <v/>
      </c>
      <c r="B14" s="4">
        <f>C13</f>
        <v/>
      </c>
      <c r="C14" s="4" t="n">
        <v>1170</v>
      </c>
      <c r="D14" s="6">
        <f>C14-B14</f>
        <v/>
      </c>
      <c r="E14" s="7" t="n"/>
      <c r="F14" s="7" t="n"/>
      <c r="G14" s="36" t="n"/>
      <c r="H14" s="36" t="n"/>
      <c r="I14" s="4" t="n">
        <v>186</v>
      </c>
      <c r="J14" s="4" t="inlineStr">
        <is>
          <t>N/F</t>
        </is>
      </c>
      <c r="K14" s="4" t="n"/>
      <c r="L14" s="47" t="n"/>
      <c r="M14" s="4">
        <f>N13</f>
        <v/>
      </c>
      <c r="N14" s="4" t="n">
        <v>45</v>
      </c>
      <c r="O14" s="6">
        <f>N14-M14</f>
        <v/>
      </c>
      <c r="P14" s="7" t="n"/>
      <c r="Q14" s="7" t="n"/>
      <c r="R14" s="36" t="n"/>
      <c r="S14" s="36" t="n"/>
      <c r="T14" s="4" t="n"/>
      <c r="U14" s="4" t="n"/>
      <c r="V14" s="4" t="n"/>
      <c r="W14" s="47" t="n"/>
      <c r="X14" s="4">
        <f>Y13</f>
        <v/>
      </c>
      <c r="Y14" s="4" t="n">
        <v>23</v>
      </c>
      <c r="Z14" s="6">
        <f>Y14-X14</f>
        <v/>
      </c>
      <c r="AA14" s="7" t="n"/>
      <c r="AB14" s="7" t="n"/>
      <c r="AC14" s="36" t="n"/>
      <c r="AD14" s="36" t="n"/>
      <c r="AE14" s="4" t="n"/>
      <c r="AF14" s="4" t="n"/>
      <c r="AG14" s="4" t="n"/>
      <c r="AH14" s="47" t="n"/>
    </row>
    <row r="15">
      <c r="A15" s="3">
        <f>A14+1</f>
        <v/>
      </c>
      <c r="B15" s="4">
        <f>C14</f>
        <v/>
      </c>
      <c r="C15" s="4" t="n">
        <v>1173</v>
      </c>
      <c r="D15" s="6">
        <f>C15-B15</f>
        <v/>
      </c>
      <c r="E15" s="7" t="n"/>
      <c r="F15" s="7" t="n"/>
      <c r="G15" s="36" t="n"/>
      <c r="H15" s="36" t="n"/>
      <c r="I15" s="4" t="n"/>
      <c r="J15" s="4" t="n"/>
      <c r="K15" s="4" t="n"/>
      <c r="L15" s="47" t="n"/>
      <c r="M15" s="4">
        <f>N14</f>
        <v/>
      </c>
      <c r="N15" s="4" t="n">
        <v>45</v>
      </c>
      <c r="O15" s="6">
        <f>N15-M15</f>
        <v/>
      </c>
      <c r="P15" s="7" t="n"/>
      <c r="Q15" s="7" t="n"/>
      <c r="R15" s="36" t="n"/>
      <c r="S15" s="36" t="n"/>
      <c r="T15" s="4" t="n"/>
      <c r="U15" s="4" t="n"/>
      <c r="V15" s="4" t="n"/>
      <c r="W15" s="47" t="n"/>
      <c r="X15" s="4">
        <f>Y14</f>
        <v/>
      </c>
      <c r="Y15" s="4" t="n">
        <v>23</v>
      </c>
      <c r="Z15" s="6">
        <f>Y15-X15</f>
        <v/>
      </c>
      <c r="AA15" s="7" t="n"/>
      <c r="AB15" s="7" t="n"/>
      <c r="AC15" s="36" t="n"/>
      <c r="AD15" s="36" t="n"/>
      <c r="AE15" s="4" t="n"/>
      <c r="AF15" s="4" t="n"/>
      <c r="AG15" s="4" t="n"/>
      <c r="AH15" s="47" t="n"/>
    </row>
    <row r="16">
      <c r="A16" s="3">
        <f>A15+1</f>
        <v/>
      </c>
      <c r="B16" s="4">
        <f>C15</f>
        <v/>
      </c>
      <c r="C16" s="4" t="n">
        <v>1182</v>
      </c>
      <c r="D16" s="6">
        <f>C16-B16</f>
        <v/>
      </c>
      <c r="E16" s="7" t="n"/>
      <c r="F16" s="7" t="n"/>
      <c r="G16" s="36" t="n"/>
      <c r="H16" s="36" t="n"/>
      <c r="I16" s="4" t="n"/>
      <c r="J16" s="4" t="n"/>
      <c r="K16" s="4" t="n"/>
      <c r="L16" s="47" t="n"/>
      <c r="M16" s="4">
        <f>N15</f>
        <v/>
      </c>
      <c r="N16" s="4" t="n">
        <v>45</v>
      </c>
      <c r="O16" s="6">
        <f>N16-M16</f>
        <v/>
      </c>
      <c r="P16" s="7" t="n"/>
      <c r="Q16" s="7" t="n"/>
      <c r="R16" s="36" t="n"/>
      <c r="S16" s="36" t="n"/>
      <c r="T16" s="4" t="n"/>
      <c r="U16" s="4" t="n"/>
      <c r="V16" s="4" t="n"/>
      <c r="W16" s="47" t="n"/>
      <c r="X16" s="4">
        <f>Y15</f>
        <v/>
      </c>
      <c r="Y16" s="4" t="n">
        <v>23</v>
      </c>
      <c r="Z16" s="6">
        <f>Y16-X16</f>
        <v/>
      </c>
      <c r="AA16" s="7" t="n"/>
      <c r="AB16" s="7" t="n"/>
      <c r="AC16" s="36" t="n"/>
      <c r="AD16" s="36" t="n"/>
      <c r="AE16" s="4" t="n"/>
      <c r="AF16" s="4" t="n"/>
      <c r="AG16" s="4" t="n"/>
      <c r="AH16" s="47" t="n"/>
    </row>
    <row r="17">
      <c r="A17" s="3">
        <f>A16+1</f>
        <v/>
      </c>
      <c r="B17" s="4">
        <f>C16</f>
        <v/>
      </c>
      <c r="C17" s="4" t="n">
        <v>1185</v>
      </c>
      <c r="D17" s="6">
        <f>C17-B17</f>
        <v/>
      </c>
      <c r="E17" s="7" t="n"/>
      <c r="F17" s="7" t="n"/>
      <c r="G17" s="36" t="n"/>
      <c r="H17" s="36" t="n"/>
      <c r="I17" s="4" t="n"/>
      <c r="J17" s="4" t="n"/>
      <c r="K17" s="4" t="n"/>
      <c r="L17" s="47" t="n"/>
      <c r="M17" s="4">
        <f>N16</f>
        <v/>
      </c>
      <c r="N17" s="4" t="n">
        <v>45</v>
      </c>
      <c r="O17" s="6">
        <f>N17-M17</f>
        <v/>
      </c>
      <c r="P17" s="7" t="n"/>
      <c r="Q17" s="7" t="n"/>
      <c r="R17" s="36" t="n"/>
      <c r="S17" s="36" t="n"/>
      <c r="T17" s="4" t="n"/>
      <c r="U17" s="4" t="n"/>
      <c r="V17" s="4" t="n"/>
      <c r="W17" s="47" t="n"/>
      <c r="X17" s="4">
        <f>Y16</f>
        <v/>
      </c>
      <c r="Y17" s="4" t="n">
        <v>23</v>
      </c>
      <c r="Z17" s="6">
        <f>Y17-X17</f>
        <v/>
      </c>
      <c r="AA17" s="7" t="n"/>
      <c r="AB17" s="7" t="n"/>
      <c r="AC17" s="36" t="n"/>
      <c r="AD17" s="36" t="n"/>
      <c r="AE17" s="4" t="n"/>
      <c r="AF17" s="4" t="n"/>
      <c r="AG17" s="4" t="n"/>
      <c r="AH17" s="47" t="n"/>
    </row>
    <row r="18">
      <c r="A18" s="3">
        <f>A17+1</f>
        <v/>
      </c>
      <c r="B18" s="4">
        <f>C17</f>
        <v/>
      </c>
      <c r="C18" s="4" t="n">
        <v>1193</v>
      </c>
      <c r="D18" s="6">
        <f>C18-B18</f>
        <v/>
      </c>
      <c r="E18" s="7" t="n"/>
      <c r="F18" s="7" t="n"/>
      <c r="G18" s="36" t="n"/>
      <c r="H18" s="36" t="n"/>
      <c r="I18" s="4" t="n">
        <v>291</v>
      </c>
      <c r="J18" s="4" t="n">
        <v>1185</v>
      </c>
      <c r="K18" s="4">
        <f>J18-J12</f>
        <v/>
      </c>
      <c r="L18" s="47">
        <f>(I18+I14)/K18</f>
        <v/>
      </c>
      <c r="M18" s="4">
        <f>N17</f>
        <v/>
      </c>
      <c r="N18" s="4" t="n">
        <v>45</v>
      </c>
      <c r="O18" s="6">
        <f>N18-M18</f>
        <v/>
      </c>
      <c r="P18" s="7" t="n"/>
      <c r="Q18" s="7" t="n"/>
      <c r="R18" s="36" t="n"/>
      <c r="S18" s="36" t="n"/>
      <c r="T18" s="4" t="n"/>
      <c r="U18" s="4" t="n"/>
      <c r="V18" s="4" t="n"/>
      <c r="W18" s="47" t="n"/>
      <c r="X18" s="4">
        <f>Y17</f>
        <v/>
      </c>
      <c r="Y18" s="4" t="n">
        <v>23</v>
      </c>
      <c r="Z18" s="6">
        <f>Y18-X18</f>
        <v/>
      </c>
      <c r="AA18" s="7" t="n"/>
      <c r="AB18" s="7" t="n"/>
      <c r="AC18" s="36" t="n"/>
      <c r="AD18" s="36" t="n"/>
      <c r="AE18" s="4" t="n"/>
      <c r="AF18" s="4" t="n"/>
      <c r="AG18" s="4" t="n"/>
      <c r="AH18" s="47" t="n"/>
    </row>
    <row r="19">
      <c r="A19" s="3">
        <f>A18+1</f>
        <v/>
      </c>
      <c r="B19" s="4">
        <f>C18</f>
        <v/>
      </c>
      <c r="C19" s="8" t="n">
        <v>1208</v>
      </c>
      <c r="D19" s="6">
        <f>C19-B19</f>
        <v/>
      </c>
      <c r="E19" s="7" t="n"/>
      <c r="F19" s="7" t="n"/>
      <c r="G19" s="36" t="n"/>
      <c r="H19" s="36" t="n"/>
      <c r="I19" s="4" t="n"/>
      <c r="J19" s="4" t="n"/>
      <c r="K19" s="4" t="n"/>
      <c r="L19" s="47" t="n"/>
      <c r="M19" s="4">
        <f>N18</f>
        <v/>
      </c>
      <c r="N19" s="4" t="n">
        <v>45</v>
      </c>
      <c r="O19" s="6">
        <f>N19-M19</f>
        <v/>
      </c>
      <c r="P19" s="7" t="n"/>
      <c r="Q19" s="7" t="n"/>
      <c r="R19" s="36" t="n"/>
      <c r="S19" s="36" t="n"/>
      <c r="T19" s="4" t="n"/>
      <c r="U19" s="4" t="n"/>
      <c r="V19" s="4" t="n"/>
      <c r="W19" s="47" t="n"/>
      <c r="X19" s="4">
        <f>Y18</f>
        <v/>
      </c>
      <c r="Y19" s="4" t="n">
        <v>23</v>
      </c>
      <c r="Z19" s="6">
        <f>Y19-X19</f>
        <v/>
      </c>
      <c r="AA19" s="7" t="n"/>
      <c r="AB19" s="7" t="n"/>
      <c r="AC19" s="36" t="n"/>
      <c r="AD19" s="36" t="n"/>
      <c r="AE19" s="4" t="n"/>
      <c r="AF19" s="4" t="n"/>
      <c r="AG19" s="4" t="n"/>
      <c r="AH19" s="47" t="n"/>
    </row>
    <row r="20">
      <c r="A20" s="3">
        <f>A19+1</f>
        <v/>
      </c>
      <c r="B20" s="4">
        <f>C19</f>
        <v/>
      </c>
      <c r="C20" s="8" t="n">
        <v>1214</v>
      </c>
      <c r="D20" s="6">
        <f>C20-B20</f>
        <v/>
      </c>
      <c r="E20" s="7" t="n"/>
      <c r="F20" s="7" t="n"/>
      <c r="G20" s="36" t="n"/>
      <c r="H20" s="35" t="n"/>
      <c r="I20" s="4" t="n">
        <v>350</v>
      </c>
      <c r="J20" s="4" t="n">
        <v>1209</v>
      </c>
      <c r="K20" s="4">
        <f>J20-J18</f>
        <v/>
      </c>
      <c r="L20" s="47">
        <f>I20/K20</f>
        <v/>
      </c>
      <c r="M20" s="4">
        <f>N19</f>
        <v/>
      </c>
      <c r="N20" s="4" t="n">
        <v>45</v>
      </c>
      <c r="O20" s="6">
        <f>N20-M20</f>
        <v/>
      </c>
      <c r="P20" s="7" t="n"/>
      <c r="Q20" s="7" t="n"/>
      <c r="R20" s="36" t="n"/>
      <c r="S20" s="35" t="n"/>
      <c r="T20" s="4" t="n"/>
      <c r="U20" s="4" t="n"/>
      <c r="V20" s="4" t="n"/>
      <c r="W20" s="47" t="n"/>
      <c r="X20" s="4">
        <f>Y19</f>
        <v/>
      </c>
      <c r="Y20" s="4" t="n">
        <v>23</v>
      </c>
      <c r="Z20" s="6">
        <f>Y20-X20</f>
        <v/>
      </c>
      <c r="AA20" s="7" t="n"/>
      <c r="AB20" s="7" t="n"/>
      <c r="AC20" s="36" t="n"/>
      <c r="AD20" s="35" t="n"/>
      <c r="AE20" s="4" t="n"/>
      <c r="AF20" s="4" t="n"/>
      <c r="AG20" s="4" t="n"/>
      <c r="AH20" s="47" t="n"/>
    </row>
    <row r="21">
      <c r="A21" s="3">
        <f>A20+1</f>
        <v/>
      </c>
      <c r="B21" s="4">
        <f>C20</f>
        <v/>
      </c>
      <c r="C21" s="17" t="n">
        <v>1230</v>
      </c>
      <c r="D21" s="6">
        <f>C21-B21</f>
        <v/>
      </c>
      <c r="E21" s="7" t="n"/>
      <c r="F21" s="7" t="n"/>
      <c r="G21" s="36" t="n"/>
      <c r="H21" s="36" t="n"/>
      <c r="I21" s="4" t="n"/>
      <c r="J21" s="4" t="n"/>
      <c r="K21" s="4" t="n"/>
      <c r="L21" s="47" t="n"/>
      <c r="M21" s="4">
        <f>N20</f>
        <v/>
      </c>
      <c r="N21" s="4" t="n">
        <v>45</v>
      </c>
      <c r="O21" s="6">
        <f>N21-M21</f>
        <v/>
      </c>
      <c r="P21" s="7" t="n"/>
      <c r="Q21" s="7" t="n"/>
      <c r="R21" s="36" t="n"/>
      <c r="S21" s="36" t="n"/>
      <c r="T21" s="4" t="n"/>
      <c r="U21" s="4" t="n"/>
      <c r="V21" s="4" t="n"/>
      <c r="W21" s="47" t="n"/>
      <c r="X21" s="4">
        <f>Y20</f>
        <v/>
      </c>
      <c r="Y21" s="4" t="n">
        <v>23</v>
      </c>
      <c r="Z21" s="6">
        <f>Y21-X21</f>
        <v/>
      </c>
      <c r="AA21" s="7" t="n"/>
      <c r="AB21" s="7" t="n"/>
      <c r="AC21" s="36" t="n"/>
      <c r="AD21" s="36" t="n"/>
      <c r="AE21" s="4" t="n"/>
      <c r="AF21" s="4" t="n"/>
      <c r="AG21" s="4" t="n"/>
      <c r="AH21" s="47" t="n"/>
    </row>
    <row r="22">
      <c r="A22" s="3">
        <f>A21+1</f>
        <v/>
      </c>
      <c r="B22" s="4">
        <f>C21</f>
        <v/>
      </c>
      <c r="C22" s="4" t="n">
        <v>1245</v>
      </c>
      <c r="D22" s="6">
        <f>C22-B22</f>
        <v/>
      </c>
      <c r="E22" s="7" t="n"/>
      <c r="F22" s="7" t="n"/>
      <c r="G22" s="36" t="n"/>
      <c r="H22" s="36" t="n"/>
      <c r="I22" s="4" t="n">
        <v>400</v>
      </c>
      <c r="J22" s="4" t="n">
        <v>1233</v>
      </c>
      <c r="K22" s="4">
        <f>J22-J20</f>
        <v/>
      </c>
      <c r="L22" s="47">
        <f>I22/K22</f>
        <v/>
      </c>
      <c r="M22" s="4">
        <f>N21</f>
        <v/>
      </c>
      <c r="N22" s="4" t="n">
        <v>45</v>
      </c>
      <c r="O22" s="6">
        <f>N22-M22</f>
        <v/>
      </c>
      <c r="P22" s="7" t="n"/>
      <c r="Q22" s="7" t="n"/>
      <c r="R22" s="36" t="n"/>
      <c r="S22" s="36" t="n"/>
      <c r="T22" s="4" t="n"/>
      <c r="U22" s="4" t="n"/>
      <c r="V22" s="4" t="n"/>
      <c r="W22" s="47" t="n"/>
      <c r="X22" s="4">
        <f>Y21</f>
        <v/>
      </c>
      <c r="Y22" s="4" t="n">
        <v>23</v>
      </c>
      <c r="Z22" s="6">
        <f>Y22-X22</f>
        <v/>
      </c>
      <c r="AA22" s="7" t="n"/>
      <c r="AB22" s="7" t="n"/>
      <c r="AC22" s="36" t="n"/>
      <c r="AD22" s="36" t="n"/>
      <c r="AE22" s="4" t="n"/>
      <c r="AF22" s="4" t="n"/>
      <c r="AG22" s="4" t="n"/>
      <c r="AH22" s="47" t="n"/>
    </row>
    <row r="23">
      <c r="A23" s="3">
        <f>A22+1</f>
        <v/>
      </c>
      <c r="B23" s="4">
        <f>C22</f>
        <v/>
      </c>
      <c r="C23" s="4" t="n">
        <v>1253</v>
      </c>
      <c r="D23" s="6">
        <f>C23-B23</f>
        <v/>
      </c>
      <c r="E23" s="7" t="n"/>
      <c r="F23" s="7" t="n"/>
      <c r="G23" s="36" t="n"/>
      <c r="H23" s="36" t="n"/>
      <c r="I23" s="4" t="n"/>
      <c r="J23" s="4" t="n"/>
      <c r="K23" s="4" t="n"/>
      <c r="L23" s="47" t="n"/>
      <c r="M23" s="4">
        <f>N22</f>
        <v/>
      </c>
      <c r="N23" s="4" t="n">
        <v>45</v>
      </c>
      <c r="O23" s="6">
        <f>N23-M23</f>
        <v/>
      </c>
      <c r="P23" s="7" t="n"/>
      <c r="Q23" s="7" t="n"/>
      <c r="R23" s="36" t="n"/>
      <c r="S23" s="36" t="n"/>
      <c r="T23" s="4" t="n"/>
      <c r="U23" s="4" t="n"/>
      <c r="V23" s="4" t="n"/>
      <c r="W23" s="47" t="n"/>
      <c r="X23" s="4">
        <f>Y22</f>
        <v/>
      </c>
      <c r="Y23" s="4" t="n">
        <v>24</v>
      </c>
      <c r="Z23" s="6">
        <f>Y23-X23</f>
        <v/>
      </c>
      <c r="AA23" s="7" t="n"/>
      <c r="AB23" s="7" t="n"/>
      <c r="AC23" s="36" t="n"/>
      <c r="AD23" s="36" t="n"/>
      <c r="AE23" s="4" t="n"/>
      <c r="AF23" s="4" t="n"/>
      <c r="AG23" s="4" t="n"/>
      <c r="AH23" s="47" t="n"/>
    </row>
    <row r="24">
      <c r="A24" s="3">
        <f>A23+1</f>
        <v/>
      </c>
      <c r="B24" s="4">
        <f>C23</f>
        <v/>
      </c>
      <c r="C24" s="4" t="n">
        <v>1256</v>
      </c>
      <c r="D24" s="6">
        <f>C24-B24</f>
        <v/>
      </c>
      <c r="E24" s="7" t="n"/>
      <c r="F24" s="7" t="n"/>
      <c r="G24" s="36" t="n"/>
      <c r="H24" s="36" t="n"/>
      <c r="I24" s="4" t="n">
        <v>250</v>
      </c>
      <c r="J24" s="4" t="n">
        <v>1253</v>
      </c>
      <c r="K24" s="4">
        <f>J24-J22</f>
        <v/>
      </c>
      <c r="L24" s="47">
        <f>I24/K24</f>
        <v/>
      </c>
      <c r="M24" s="4">
        <f>N23</f>
        <v/>
      </c>
      <c r="N24" s="4" t="n">
        <v>46</v>
      </c>
      <c r="O24" s="6">
        <f>N24-M24</f>
        <v/>
      </c>
      <c r="P24" s="7" t="n"/>
      <c r="Q24" s="7" t="n"/>
      <c r="R24" s="36" t="n"/>
      <c r="S24" s="36" t="n"/>
      <c r="T24" s="4" t="n"/>
      <c r="U24" s="4" t="n"/>
      <c r="V24" s="4" t="n"/>
      <c r="W24" s="47" t="n"/>
      <c r="X24" s="4">
        <f>Y23</f>
        <v/>
      </c>
      <c r="Y24" s="4" t="n">
        <v>24</v>
      </c>
      <c r="Z24" s="6">
        <f>Y24-X24</f>
        <v/>
      </c>
      <c r="AA24" s="7" t="n"/>
      <c r="AB24" s="7" t="n"/>
      <c r="AC24" s="36" t="n"/>
      <c r="AD24" s="36" t="n"/>
      <c r="AE24" s="4" t="n"/>
      <c r="AF24" s="4" t="n"/>
      <c r="AG24" s="4" t="n"/>
      <c r="AH24" s="47" t="n"/>
    </row>
    <row r="25">
      <c r="A25" s="3">
        <f>A24+1</f>
        <v/>
      </c>
      <c r="B25" s="4">
        <f>C24</f>
        <v/>
      </c>
      <c r="C25" s="4" t="n">
        <v>1265</v>
      </c>
      <c r="D25" s="6">
        <f>C25-B25</f>
        <v/>
      </c>
      <c r="E25" s="7" t="n"/>
      <c r="F25" s="7" t="n"/>
      <c r="G25" s="36" t="n"/>
      <c r="H25" s="36" t="n"/>
      <c r="I25" s="4" t="n"/>
      <c r="J25" s="4" t="n"/>
      <c r="K25" s="4" t="n"/>
      <c r="L25" s="47" t="n"/>
      <c r="M25" s="4">
        <f>N24</f>
        <v/>
      </c>
      <c r="N25" s="4" t="n">
        <v>46</v>
      </c>
      <c r="O25" s="6">
        <f>N25-M25</f>
        <v/>
      </c>
      <c r="P25" s="7" t="n"/>
      <c r="Q25" s="7" t="n"/>
      <c r="R25" s="36" t="n"/>
      <c r="S25" s="36" t="n"/>
      <c r="T25" s="4" t="n"/>
      <c r="U25" s="4" t="n"/>
      <c r="V25" s="4" t="n"/>
      <c r="W25" s="47" t="n"/>
      <c r="X25" s="4">
        <f>Y24</f>
        <v/>
      </c>
      <c r="Y25" s="4" t="n">
        <v>24</v>
      </c>
      <c r="Z25" s="6">
        <f>Y25-X25</f>
        <v/>
      </c>
      <c r="AA25" s="7" t="n"/>
      <c r="AB25" s="7" t="n"/>
      <c r="AC25" s="36" t="n"/>
      <c r="AD25" s="36" t="n"/>
      <c r="AE25" s="4" t="n"/>
      <c r="AF25" s="4" t="n"/>
      <c r="AG25" s="4" t="n"/>
      <c r="AH25" s="47" t="n"/>
    </row>
    <row r="26">
      <c r="A26" s="3">
        <f>A25+1</f>
        <v/>
      </c>
      <c r="B26" s="4">
        <f>C25</f>
        <v/>
      </c>
      <c r="C26" s="6" t="n">
        <v>1278</v>
      </c>
      <c r="D26" s="6">
        <f>C26-B26</f>
        <v/>
      </c>
      <c r="E26" s="7" t="n"/>
      <c r="F26" s="7" t="n"/>
      <c r="G26" s="36" t="n"/>
      <c r="H26" s="36" t="n"/>
      <c r="I26" s="4" t="n">
        <v>160</v>
      </c>
      <c r="J26" s="4" t="n">
        <v>1267</v>
      </c>
      <c r="K26" s="4">
        <f>J26-J24</f>
        <v/>
      </c>
      <c r="L26" s="47">
        <f>I26/K26</f>
        <v/>
      </c>
      <c r="M26" s="4">
        <f>N25</f>
        <v/>
      </c>
      <c r="N26" s="4" t="n">
        <v>46</v>
      </c>
      <c r="O26" s="6">
        <f>N26-M26</f>
        <v/>
      </c>
      <c r="P26" s="7" t="n"/>
      <c r="Q26" s="7" t="n"/>
      <c r="R26" s="36" t="n"/>
      <c r="S26" s="36" t="n"/>
      <c r="T26" s="4" t="n"/>
      <c r="U26" s="4" t="n"/>
      <c r="V26" s="4" t="n"/>
      <c r="W26" s="47" t="n"/>
      <c r="X26" s="4">
        <f>Y25</f>
        <v/>
      </c>
      <c r="Y26" s="4" t="n">
        <v>24</v>
      </c>
      <c r="Z26" s="6">
        <f>Y26-X26</f>
        <v/>
      </c>
      <c r="AA26" s="7" t="n"/>
      <c r="AB26" s="7" t="n"/>
      <c r="AC26" s="36" t="n"/>
      <c r="AD26" s="36" t="n"/>
      <c r="AE26" s="4" t="n"/>
      <c r="AF26" s="4" t="n"/>
      <c r="AG26" s="4" t="n"/>
      <c r="AH26" s="47" t="n"/>
    </row>
    <row r="27">
      <c r="A27" s="3">
        <f>A26+1</f>
        <v/>
      </c>
      <c r="B27" s="4">
        <f>C26</f>
        <v/>
      </c>
      <c r="C27" s="4" t="n">
        <v>1291</v>
      </c>
      <c r="D27" s="6">
        <f>C27-B27</f>
        <v/>
      </c>
      <c r="E27" s="7" t="n"/>
      <c r="F27" s="7" t="n"/>
      <c r="G27" s="36" t="n"/>
      <c r="H27" s="36" t="n"/>
      <c r="I27" s="4" t="n">
        <v>240</v>
      </c>
      <c r="J27" s="4" t="n">
        <v>1280</v>
      </c>
      <c r="K27" s="4">
        <f>J27-J26</f>
        <v/>
      </c>
      <c r="L27" s="47">
        <f>I27/K27</f>
        <v/>
      </c>
      <c r="M27" s="4">
        <f>N26</f>
        <v/>
      </c>
      <c r="N27" s="4" t="n">
        <v>46</v>
      </c>
      <c r="O27" s="6">
        <f>N27-M27</f>
        <v/>
      </c>
      <c r="P27" s="7" t="n"/>
      <c r="Q27" s="7" t="n"/>
      <c r="R27" s="36" t="n"/>
      <c r="S27" s="36" t="n"/>
      <c r="T27" s="4" t="n"/>
      <c r="U27" s="4" t="n"/>
      <c r="V27" s="4" t="n"/>
      <c r="W27" s="47" t="n"/>
      <c r="X27" s="4">
        <f>Y26</f>
        <v/>
      </c>
      <c r="Y27" s="4" t="n">
        <v>24</v>
      </c>
      <c r="Z27" s="6">
        <f>Y27-X27</f>
        <v/>
      </c>
      <c r="AA27" s="7" t="n"/>
      <c r="AB27" s="7" t="n"/>
      <c r="AC27" s="36" t="n"/>
      <c r="AD27" s="36" t="n"/>
      <c r="AE27" s="4" t="n"/>
      <c r="AF27" s="4" t="n"/>
      <c r="AG27" s="4" t="n"/>
      <c r="AH27" s="47" t="n"/>
    </row>
    <row r="28">
      <c r="A28" s="3">
        <f>A27+1</f>
        <v/>
      </c>
      <c r="B28" s="4">
        <f>C27</f>
        <v/>
      </c>
      <c r="C28" s="4" t="n">
        <v>1300</v>
      </c>
      <c r="D28" s="6">
        <f>C28-B28</f>
        <v/>
      </c>
      <c r="E28" s="7" t="n"/>
      <c r="F28" s="7" t="n"/>
      <c r="G28" s="36" t="n"/>
      <c r="H28" s="35" t="n"/>
      <c r="I28" s="4" t="n">
        <v>225</v>
      </c>
      <c r="J28" s="4" t="n">
        <v>1296</v>
      </c>
      <c r="K28" s="4">
        <f>J28-J27</f>
        <v/>
      </c>
      <c r="L28" s="47">
        <f>I28/K28</f>
        <v/>
      </c>
      <c r="M28" s="4">
        <f>N27</f>
        <v/>
      </c>
      <c r="N28" s="4" t="n">
        <v>46</v>
      </c>
      <c r="O28" s="6">
        <f>N28-M28</f>
        <v/>
      </c>
      <c r="P28" s="7" t="n"/>
      <c r="Q28" s="7" t="n"/>
      <c r="R28" s="36" t="n"/>
      <c r="S28" s="35" t="n"/>
      <c r="T28" s="4" t="n"/>
      <c r="U28" s="4" t="n"/>
      <c r="V28" s="4" t="n"/>
      <c r="W28" s="47" t="n"/>
      <c r="X28" s="4">
        <f>Y27</f>
        <v/>
      </c>
      <c r="Y28" s="4" t="n">
        <v>24</v>
      </c>
      <c r="Z28" s="6">
        <f>Y28-X28</f>
        <v/>
      </c>
      <c r="AA28" s="7" t="n"/>
      <c r="AB28" s="7" t="n"/>
      <c r="AC28" s="36" t="n"/>
      <c r="AD28" s="35" t="n"/>
      <c r="AE28" s="4" t="n"/>
      <c r="AF28" s="4" t="n"/>
      <c r="AG28" s="4" t="n"/>
      <c r="AH28" s="47" t="n"/>
    </row>
    <row r="29">
      <c r="A29" s="3">
        <f>A28+1</f>
        <v/>
      </c>
      <c r="B29" s="4">
        <f>C28</f>
        <v/>
      </c>
      <c r="C29" s="4" t="n">
        <v>1305</v>
      </c>
      <c r="D29" s="6">
        <f>C29-B29</f>
        <v/>
      </c>
      <c r="E29" s="7" t="n"/>
      <c r="F29" s="7" t="n"/>
      <c r="G29" s="36" t="n"/>
      <c r="H29" s="36" t="n"/>
      <c r="I29" s="4" t="n"/>
      <c r="J29" s="4" t="n"/>
      <c r="K29" s="4" t="n"/>
      <c r="L29" s="47" t="n"/>
      <c r="M29" s="4">
        <f>N28</f>
        <v/>
      </c>
      <c r="N29" s="4" t="n">
        <v>46</v>
      </c>
      <c r="O29" s="6">
        <f>N29-M29</f>
        <v/>
      </c>
      <c r="P29" s="7" t="n"/>
      <c r="Q29" s="7" t="n"/>
      <c r="R29" s="36" t="n"/>
      <c r="S29" s="36" t="n"/>
      <c r="T29" s="4" t="n"/>
      <c r="U29" s="4" t="n"/>
      <c r="V29" s="4" t="n"/>
      <c r="W29" s="47" t="n"/>
      <c r="X29" s="4">
        <f>Y28</f>
        <v/>
      </c>
      <c r="Y29" s="4" t="n">
        <v>24</v>
      </c>
      <c r="Z29" s="6">
        <f>Y29-X29</f>
        <v/>
      </c>
      <c r="AA29" s="7" t="n"/>
      <c r="AB29" s="7" t="n"/>
      <c r="AC29" s="36" t="n"/>
      <c r="AD29" s="36" t="n"/>
      <c r="AE29" s="4" t="n"/>
      <c r="AF29" s="4" t="n"/>
      <c r="AG29" s="4" t="n"/>
      <c r="AH29" s="47" t="n"/>
    </row>
    <row r="30">
      <c r="A30" s="3">
        <f>A29+1</f>
        <v/>
      </c>
      <c r="B30" s="4">
        <f>C29</f>
        <v/>
      </c>
      <c r="C30" s="4" t="n">
        <v>1317</v>
      </c>
      <c r="D30" s="6">
        <f>C30-B30</f>
        <v/>
      </c>
      <c r="E30" s="7" t="n"/>
      <c r="F30" s="7" t="n"/>
      <c r="G30" s="36" t="n"/>
      <c r="H30" s="35" t="n"/>
      <c r="I30" s="4" t="n">
        <v>211</v>
      </c>
      <c r="J30" s="4" t="n">
        <v>1310</v>
      </c>
      <c r="K30" s="4">
        <f>J30-J28</f>
        <v/>
      </c>
      <c r="L30" s="47">
        <f>I30/K30</f>
        <v/>
      </c>
      <c r="M30" s="4">
        <f>N29</f>
        <v/>
      </c>
      <c r="N30" s="4" t="n">
        <v>47</v>
      </c>
      <c r="O30" s="6">
        <f>N30-M30</f>
        <v/>
      </c>
      <c r="P30" s="7" t="n"/>
      <c r="Q30" s="7" t="n"/>
      <c r="R30" s="36" t="n"/>
      <c r="S30" s="35" t="n"/>
      <c r="T30" s="4" t="n"/>
      <c r="U30" s="4" t="n"/>
      <c r="V30" s="4" t="n"/>
      <c r="W30" s="47" t="n"/>
      <c r="X30" s="4">
        <f>Y29</f>
        <v/>
      </c>
      <c r="Y30" s="4" t="n">
        <v>24</v>
      </c>
      <c r="Z30" s="6">
        <f>Y30-X30</f>
        <v/>
      </c>
      <c r="AA30" s="7" t="n"/>
      <c r="AB30" s="7" t="n"/>
      <c r="AC30" s="36" t="n"/>
      <c r="AD30" s="35" t="n"/>
      <c r="AE30" s="4" t="n"/>
      <c r="AF30" s="4" t="n"/>
      <c r="AG30" s="4" t="n"/>
      <c r="AH30" s="47" t="n"/>
    </row>
    <row r="31">
      <c r="A31" s="3">
        <f>A30+1</f>
        <v/>
      </c>
      <c r="B31" s="4">
        <f>C30</f>
        <v/>
      </c>
      <c r="C31" s="4" t="n">
        <v>1321</v>
      </c>
      <c r="D31" s="6">
        <f>C31-B31</f>
        <v/>
      </c>
      <c r="E31" s="7" t="n"/>
      <c r="F31" s="7" t="n"/>
      <c r="G31" s="36" t="n"/>
      <c r="H31" s="35" t="n"/>
      <c r="I31" s="4" t="n"/>
      <c r="J31" s="4" t="n"/>
      <c r="K31" s="4" t="n"/>
      <c r="L31" s="47" t="n"/>
      <c r="M31" s="4">
        <f>N30</f>
        <v/>
      </c>
      <c r="N31" s="4" t="n">
        <v>48</v>
      </c>
      <c r="O31" s="6">
        <f>N31-M31</f>
        <v/>
      </c>
      <c r="P31" s="7" t="n"/>
      <c r="Q31" s="7" t="n"/>
      <c r="R31" s="36" t="n"/>
      <c r="S31" s="35" t="n"/>
      <c r="T31" s="4" t="n"/>
      <c r="U31" s="4" t="n"/>
      <c r="V31" s="4" t="n"/>
      <c r="W31" s="47" t="n"/>
      <c r="X31" s="4">
        <f>Y30</f>
        <v/>
      </c>
      <c r="Y31" s="4" t="n">
        <v>24</v>
      </c>
      <c r="Z31" s="6">
        <f>Y31-X31</f>
        <v/>
      </c>
      <c r="AA31" s="7" t="n"/>
      <c r="AB31" s="7" t="n"/>
      <c r="AC31" s="36" t="n"/>
      <c r="AD31" s="35" t="n"/>
      <c r="AE31" s="4" t="n"/>
      <c r="AF31" s="4" t="n"/>
      <c r="AG31" s="4" t="n"/>
      <c r="AH31" s="47" t="n"/>
    </row>
    <row r="32">
      <c r="A32" s="3">
        <f>A31+1</f>
        <v/>
      </c>
      <c r="B32" s="4">
        <f>C31</f>
        <v/>
      </c>
      <c r="C32" s="4" t="n">
        <v>1332</v>
      </c>
      <c r="D32" s="6">
        <f>C32-B32</f>
        <v/>
      </c>
      <c r="E32" s="7" t="n"/>
      <c r="F32" s="7" t="n"/>
      <c r="G32" s="36" t="n"/>
      <c r="H32" s="35" t="n"/>
      <c r="I32" s="4" t="n">
        <v>170</v>
      </c>
      <c r="J32" s="4" t="n">
        <v>1323</v>
      </c>
      <c r="K32" s="4">
        <f>J32-J30</f>
        <v/>
      </c>
      <c r="L32" s="47">
        <f>I32/K32</f>
        <v/>
      </c>
      <c r="M32" s="4">
        <f>N31</f>
        <v/>
      </c>
      <c r="N32" s="4" t="n">
        <v>50</v>
      </c>
      <c r="O32" s="6">
        <f>N32-M32</f>
        <v/>
      </c>
      <c r="P32" s="7" t="n"/>
      <c r="Q32" s="7" t="n"/>
      <c r="R32" s="36" t="n"/>
      <c r="S32" s="35" t="n"/>
      <c r="T32" s="4" t="n">
        <v>287</v>
      </c>
      <c r="U32" s="4" t="n">
        <v>49</v>
      </c>
      <c r="V32" s="4" t="n"/>
      <c r="W32" s="47" t="n"/>
      <c r="X32" s="4">
        <f>Y31</f>
        <v/>
      </c>
      <c r="Y32" s="4" t="n">
        <v>24</v>
      </c>
      <c r="Z32" s="6">
        <f>Y32-X32</f>
        <v/>
      </c>
      <c r="AA32" s="7" t="n"/>
      <c r="AB32" s="7" t="n"/>
      <c r="AC32" s="36" t="n"/>
      <c r="AD32" s="35" t="n"/>
      <c r="AE32" s="4" t="n">
        <v>450</v>
      </c>
      <c r="AF32" s="4" t="n">
        <v>24</v>
      </c>
      <c r="AG32" s="4" t="n"/>
      <c r="AH32" s="47" t="n"/>
    </row>
    <row r="33">
      <c r="A33" s="3">
        <f>A32+1</f>
        <v/>
      </c>
      <c r="B33" s="4">
        <f>C32</f>
        <v/>
      </c>
      <c r="C33" s="4" t="n">
        <v>1342</v>
      </c>
      <c r="D33" s="6">
        <f>C33-B33</f>
        <v/>
      </c>
      <c r="E33" s="7" t="n"/>
      <c r="F33" s="7" t="n"/>
      <c r="G33" s="36" t="n"/>
      <c r="H33" s="35" t="n"/>
      <c r="I33" s="4" t="n">
        <v>175</v>
      </c>
      <c r="J33" s="4" t="n">
        <v>1333</v>
      </c>
      <c r="K33" s="4">
        <f>J33-J32</f>
        <v/>
      </c>
      <c r="L33" s="47">
        <f>I33/K33</f>
        <v/>
      </c>
      <c r="M33" s="4">
        <f>N32</f>
        <v/>
      </c>
      <c r="N33" s="4" t="n">
        <v>52</v>
      </c>
      <c r="O33" s="6">
        <f>N33-M33</f>
        <v/>
      </c>
      <c r="P33" s="7" t="n"/>
      <c r="Q33" s="7" t="n"/>
      <c r="R33" s="36" t="n"/>
      <c r="S33" s="35" t="n"/>
      <c r="T33" s="4" t="n"/>
      <c r="U33" s="4" t="n"/>
      <c r="V33" s="4" t="n"/>
      <c r="W33" s="47" t="n"/>
      <c r="X33" s="4">
        <f>Y32</f>
        <v/>
      </c>
      <c r="Y33" s="4" t="n">
        <v>24</v>
      </c>
      <c r="Z33" s="6">
        <f>Y33-X33</f>
        <v/>
      </c>
      <c r="AA33" s="7" t="n"/>
      <c r="AB33" s="7" t="n"/>
      <c r="AC33" s="36" t="n"/>
      <c r="AD33" s="35" t="n"/>
      <c r="AE33" s="4" t="n"/>
      <c r="AF33" s="4" t="n"/>
      <c r="AG33" s="4" t="n"/>
      <c r="AH33" s="47" t="n"/>
    </row>
    <row r="34" ht="15.75" customHeight="1">
      <c r="A34" s="12" t="n"/>
      <c r="B34" s="12" t="n"/>
      <c r="C34" s="13" t="n"/>
      <c r="D34" s="14">
        <f>SUM(D3:D33)</f>
        <v/>
      </c>
      <c r="E34" s="11" t="n"/>
      <c r="F34" s="11" t="n"/>
      <c r="G34" s="14">
        <f>SUM(G3:G30)</f>
        <v/>
      </c>
      <c r="H34" s="11" t="n"/>
      <c r="I34" s="14">
        <f>SUM(I3:I33)</f>
        <v/>
      </c>
      <c r="J34" s="14" t="n"/>
      <c r="K34" s="14">
        <f>SUM(K3:K33)</f>
        <v/>
      </c>
      <c r="L34" s="48">
        <f>I34/K34</f>
        <v/>
      </c>
      <c r="M34" s="12" t="n"/>
      <c r="N34" s="13" t="n"/>
      <c r="O34" s="14">
        <f>SUBTOTAL(9,O3:O33)</f>
        <v/>
      </c>
      <c r="P34" s="11" t="n"/>
      <c r="Q34" s="11" t="n"/>
      <c r="R34" s="14">
        <f>SUM(R3:R30)</f>
        <v/>
      </c>
      <c r="S34" s="51" t="n"/>
      <c r="T34" s="14" t="n">
        <v>287</v>
      </c>
      <c r="U34" s="14" t="n"/>
      <c r="V34" s="14">
        <f>SUM(V3:V30)</f>
        <v/>
      </c>
      <c r="W34" s="48">
        <f>T34/V34</f>
        <v/>
      </c>
      <c r="X34" s="12" t="n"/>
      <c r="Y34" s="13" t="n"/>
      <c r="Z34" s="14">
        <f>SUBTOTAL(9,Z3:Z33)</f>
        <v/>
      </c>
      <c r="AA34" s="11" t="n"/>
      <c r="AB34" s="11" t="n"/>
      <c r="AC34" s="14">
        <f>SUM(AC3:AC30)</f>
        <v/>
      </c>
      <c r="AD34" s="51" t="n"/>
      <c r="AE34" s="14" t="n">
        <v>450</v>
      </c>
      <c r="AF34" s="14" t="n"/>
      <c r="AG34" s="14">
        <f>SUM(AG3:AG30)</f>
        <v/>
      </c>
      <c r="AH34" s="48">
        <f>AE34/AG34</f>
        <v/>
      </c>
    </row>
    <row r="35">
      <c r="K35" s="57" t="n"/>
    </row>
    <row r="36">
      <c r="A36" t="inlineStr">
        <is>
          <t>Full Amount</t>
        </is>
      </c>
      <c r="M36" t="inlineStr">
        <is>
          <t>Full Amount</t>
        </is>
      </c>
      <c r="X36" s="24" t="inlineStr">
        <is>
          <t>Monthly Hiring Charges</t>
        </is>
      </c>
      <c r="Y36" s="24" t="n">
        <v>900000</v>
      </c>
    </row>
    <row r="37">
      <c r="X37" s="24" t="inlineStr">
        <is>
          <t>1 Day Hiring Charges/31</t>
        </is>
      </c>
      <c r="Y37" s="24">
        <f>Y36/31</f>
        <v/>
      </c>
    </row>
    <row r="38">
      <c r="X38" s="24" t="inlineStr">
        <is>
          <t>30 Days Hiring Charges</t>
        </is>
      </c>
      <c r="Y38" s="24">
        <f>Y37*30</f>
        <v/>
      </c>
    </row>
    <row r="39">
      <c r="X39" s="24" t="inlineStr">
        <is>
          <t>Bill Amount</t>
        </is>
      </c>
      <c r="Y39" s="24">
        <f>Y38</f>
        <v/>
      </c>
    </row>
  </sheetData>
  <mergeCells count="3">
    <mergeCell ref="M1:N1"/>
    <mergeCell ref="B1:C1"/>
    <mergeCell ref="X1:Y1"/>
  </mergeCells>
  <conditionalFormatting sqref="A3:A17 A19:A33">
    <cfRule type="duplicateValues" priority="2"/>
  </conditionalFormatting>
  <conditionalFormatting sqref="A18">
    <cfRule type="duplicateValues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pane xSplit="1" ySplit="1" topLeftCell="G25" activePane="bottomRight" state="frozen"/>
      <selection pane="topRight" activeCell="B1" sqref="B1"/>
      <selection pane="bottomLeft" activeCell="A2" sqref="A2"/>
      <selection pane="bottomRight" activeCell="T30" sqref="T30"/>
    </sheetView>
  </sheetViews>
  <sheetFormatPr baseColWidth="8" defaultRowHeight="15"/>
  <cols>
    <col width="6.7109375" customWidth="1" min="18" max="18"/>
    <col width="7.7109375" customWidth="1" min="19" max="19"/>
    <col width="10.42578125" customWidth="1" min="24" max="24"/>
  </cols>
  <sheetData>
    <row r="1" ht="63" customHeight="1">
      <c r="A1" s="64" t="n">
        <v>46113</v>
      </c>
      <c r="B1" s="133" t="inlineStr">
        <is>
          <t>KAMLAR-DHIRPUR</t>
        </is>
      </c>
      <c r="C1" s="132" t="n"/>
      <c r="D1" s="10" t="inlineStr">
        <is>
          <t>Daily Running Hours</t>
        </is>
      </c>
      <c r="E1" s="10" t="inlineStr">
        <is>
          <t>Breakdown start time</t>
        </is>
      </c>
      <c r="F1" s="10" t="inlineStr">
        <is>
          <t>Breakdown end time</t>
        </is>
      </c>
      <c r="G1" s="49" t="inlineStr">
        <is>
          <t>Total Breakdown Hour</t>
        </is>
      </c>
      <c r="H1" s="49" t="inlineStr">
        <is>
          <t>Breakdown Reason</t>
        </is>
      </c>
      <c r="I1" s="130" t="inlineStr">
        <is>
          <t>DIESEL Consumed</t>
        </is>
      </c>
      <c r="J1" s="130" t="inlineStr">
        <is>
          <t>Diesel HMR</t>
        </is>
      </c>
      <c r="K1" s="130" t="inlineStr">
        <is>
          <t xml:space="preserve">Hours </t>
        </is>
      </c>
      <c r="L1" s="65" t="inlineStr">
        <is>
          <t>Average</t>
        </is>
      </c>
      <c r="M1" s="133" t="inlineStr">
        <is>
          <t>KAMLAR-1-Dalpatpur</t>
        </is>
      </c>
      <c r="N1" s="132" t="n"/>
      <c r="O1" s="10" t="inlineStr">
        <is>
          <t>Daily Running Hours</t>
        </is>
      </c>
      <c r="P1" s="10" t="inlineStr">
        <is>
          <t>Breakdown start time</t>
        </is>
      </c>
      <c r="Q1" s="10" t="inlineStr">
        <is>
          <t>Breakdown end time</t>
        </is>
      </c>
      <c r="R1" s="49" t="inlineStr">
        <is>
          <t>Total Breakdown Hour</t>
        </is>
      </c>
      <c r="S1" s="49" t="inlineStr">
        <is>
          <t>Breakdown Reason</t>
        </is>
      </c>
      <c r="T1" s="130" t="inlineStr">
        <is>
          <t>DIESEL Consumed</t>
        </is>
      </c>
      <c r="U1" s="130" t="inlineStr">
        <is>
          <t>Diesel HMR</t>
        </is>
      </c>
      <c r="V1" s="130" t="inlineStr">
        <is>
          <t xml:space="preserve">Hours </t>
        </is>
      </c>
      <c r="W1" s="45" t="inlineStr">
        <is>
          <t>Average</t>
        </is>
      </c>
      <c r="X1" s="130" t="inlineStr">
        <is>
          <t>KAMLAR-2-Dalpatpur</t>
        </is>
      </c>
      <c r="Y1" s="132" t="n"/>
      <c r="Z1" s="10" t="inlineStr">
        <is>
          <t>Daily Running Hours</t>
        </is>
      </c>
      <c r="AA1" s="10" t="inlineStr">
        <is>
          <t>Breakdown start time</t>
        </is>
      </c>
      <c r="AB1" s="10" t="inlineStr">
        <is>
          <t>Breakdown end time</t>
        </is>
      </c>
      <c r="AC1" s="49" t="inlineStr">
        <is>
          <t>Total Breakdown Hour</t>
        </is>
      </c>
      <c r="AD1" s="49" t="inlineStr">
        <is>
          <t>Breakdown Reason</t>
        </is>
      </c>
      <c r="AE1" s="130" t="inlineStr">
        <is>
          <t>DIESEL Consumed</t>
        </is>
      </c>
      <c r="AF1" s="130" t="inlineStr">
        <is>
          <t>Diesel HMR</t>
        </is>
      </c>
      <c r="AG1" s="130" t="inlineStr">
        <is>
          <t xml:space="preserve">Hours </t>
        </is>
      </c>
      <c r="AH1" s="45" t="inlineStr">
        <is>
          <t>Average</t>
        </is>
      </c>
    </row>
    <row r="2" ht="30" customHeight="1">
      <c r="A2" s="66" t="inlineStr">
        <is>
          <t>PREV  Stock</t>
        </is>
      </c>
      <c r="B2" s="38" t="inlineStr">
        <is>
          <t>Start HMR</t>
        </is>
      </c>
      <c r="C2" s="38" t="inlineStr">
        <is>
          <t>End HMR</t>
        </is>
      </c>
      <c r="D2" s="39" t="n"/>
      <c r="E2" s="39" t="n"/>
      <c r="F2" s="39" t="n"/>
      <c r="G2" s="50" t="n"/>
      <c r="H2" s="50" t="n"/>
      <c r="I2" s="38" t="n"/>
      <c r="J2" s="40" t="n">
        <v>1333</v>
      </c>
      <c r="K2" s="38" t="n"/>
      <c r="L2" s="67" t="n"/>
      <c r="M2" s="61" t="inlineStr">
        <is>
          <t>Start HMR</t>
        </is>
      </c>
      <c r="N2" s="38" t="inlineStr">
        <is>
          <t>End HMR</t>
        </is>
      </c>
      <c r="O2" s="39" t="n"/>
      <c r="P2" s="39" t="n"/>
      <c r="Q2" s="39" t="n"/>
      <c r="R2" s="50" t="n"/>
      <c r="S2" s="50" t="n"/>
      <c r="T2" s="38" t="n">
        <v>287</v>
      </c>
      <c r="U2" s="40" t="n">
        <v>49</v>
      </c>
      <c r="V2" s="38" t="n"/>
      <c r="W2" s="46" t="n"/>
      <c r="X2" s="38" t="inlineStr">
        <is>
          <t>Start HMR</t>
        </is>
      </c>
      <c r="Y2" s="38" t="inlineStr">
        <is>
          <t>End HMR</t>
        </is>
      </c>
      <c r="Z2" s="39" t="n"/>
      <c r="AA2" s="39" t="n"/>
      <c r="AB2" s="39" t="n"/>
      <c r="AC2" s="50" t="n"/>
      <c r="AD2" s="50" t="n"/>
      <c r="AE2" s="38" t="n">
        <v>450</v>
      </c>
      <c r="AF2" s="40" t="n">
        <v>24</v>
      </c>
      <c r="AG2" s="38" t="n"/>
      <c r="AH2" s="46" t="n"/>
    </row>
    <row r="3">
      <c r="A3" s="68" t="n">
        <v>46113</v>
      </c>
      <c r="B3" s="75" t="n">
        <v>1342</v>
      </c>
      <c r="C3" s="76" t="n">
        <v>1348</v>
      </c>
      <c r="D3" s="77">
        <f>C3-B3</f>
        <v/>
      </c>
      <c r="E3" s="78" t="n"/>
      <c r="F3" s="78" t="n"/>
      <c r="G3" s="79" t="n"/>
      <c r="H3" s="79" t="n"/>
      <c r="I3" s="75" t="n">
        <v>200</v>
      </c>
      <c r="J3" s="75" t="n">
        <v>1345</v>
      </c>
      <c r="K3" s="75">
        <f>J3-J2</f>
        <v/>
      </c>
      <c r="L3" s="80">
        <f>I3/K3</f>
        <v/>
      </c>
      <c r="M3" s="62" t="n">
        <v>52</v>
      </c>
      <c r="N3" s="5" t="n">
        <v>57</v>
      </c>
      <c r="O3" s="6">
        <f>N3-M3</f>
        <v/>
      </c>
      <c r="P3" s="7" t="n"/>
      <c r="Q3" s="7" t="n"/>
      <c r="R3" s="36" t="n"/>
      <c r="S3" s="36" t="n"/>
      <c r="T3" s="4" t="n"/>
      <c r="U3" s="4" t="n"/>
      <c r="V3" s="4" t="n"/>
      <c r="W3" s="47" t="n"/>
      <c r="X3" s="4" t="n">
        <v>24</v>
      </c>
      <c r="Y3" s="5" t="n">
        <v>24</v>
      </c>
      <c r="Z3" s="6">
        <f>Y3-X3</f>
        <v/>
      </c>
      <c r="AA3" s="7" t="n"/>
      <c r="AB3" s="7" t="n"/>
      <c r="AC3" s="36" t="n"/>
      <c r="AD3" s="36" t="n"/>
      <c r="AE3" s="4" t="n"/>
      <c r="AF3" s="4" t="n"/>
      <c r="AG3" s="4" t="n"/>
      <c r="AH3" s="47" t="n"/>
    </row>
    <row r="4">
      <c r="A4" s="68">
        <f>A3+1</f>
        <v/>
      </c>
      <c r="B4" s="75">
        <f>C3</f>
        <v/>
      </c>
      <c r="C4" s="76" t="n">
        <v>1354</v>
      </c>
      <c r="D4" s="77">
        <f>C4-B4</f>
        <v/>
      </c>
      <c r="E4" s="78" t="n"/>
      <c r="F4" s="78" t="n"/>
      <c r="G4" s="79" t="n"/>
      <c r="H4" s="79" t="n"/>
      <c r="I4" s="75" t="n"/>
      <c r="J4" s="75" t="n"/>
      <c r="K4" s="75" t="n"/>
      <c r="L4" s="80" t="n"/>
      <c r="M4" s="62">
        <f>N3</f>
        <v/>
      </c>
      <c r="N4" s="5" t="n">
        <v>62</v>
      </c>
      <c r="O4" s="6">
        <f>N4-M4</f>
        <v/>
      </c>
      <c r="P4" s="7" t="n"/>
      <c r="Q4" s="7" t="n"/>
      <c r="R4" s="36" t="n"/>
      <c r="S4" s="36" t="n"/>
      <c r="T4" s="4" t="n"/>
      <c r="U4" s="4" t="n"/>
      <c r="V4" s="4" t="n"/>
      <c r="W4" s="47" t="n"/>
      <c r="X4" s="8">
        <f>Y3</f>
        <v/>
      </c>
      <c r="Y4" s="4" t="n">
        <v>25</v>
      </c>
      <c r="Z4" s="6">
        <f>Y4-X4</f>
        <v/>
      </c>
      <c r="AA4" s="7" t="n"/>
      <c r="AB4" s="7" t="n"/>
      <c r="AC4" s="36" t="n"/>
      <c r="AD4" s="36" t="n"/>
      <c r="AE4" s="4" t="n"/>
      <c r="AF4" s="4" t="n"/>
      <c r="AG4" s="4" t="n"/>
      <c r="AH4" s="47" t="n"/>
    </row>
    <row r="5">
      <c r="A5" s="68">
        <f>A4+1</f>
        <v/>
      </c>
      <c r="B5" s="75">
        <f>C4</f>
        <v/>
      </c>
      <c r="C5" s="81" t="n">
        <v>1355</v>
      </c>
      <c r="D5" s="77">
        <f>C5-B5</f>
        <v/>
      </c>
      <c r="E5" s="78" t="n"/>
      <c r="F5" s="78" t="n"/>
      <c r="G5" s="79" t="n"/>
      <c r="H5" s="79" t="n"/>
      <c r="I5" s="75" t="n"/>
      <c r="J5" s="75" t="n"/>
      <c r="K5" s="75" t="n"/>
      <c r="L5" s="80" t="n"/>
      <c r="M5" s="62">
        <f>N4</f>
        <v/>
      </c>
      <c r="N5" s="5" t="n">
        <v>67</v>
      </c>
      <c r="O5" s="6">
        <f>N5-M5</f>
        <v/>
      </c>
      <c r="P5" s="7" t="n"/>
      <c r="Q5" s="7" t="n"/>
      <c r="R5" s="36" t="n"/>
      <c r="S5" s="36" t="n"/>
      <c r="T5" s="4" t="n"/>
      <c r="U5" s="4" t="n"/>
      <c r="V5" s="4" t="n"/>
      <c r="W5" s="47" t="n"/>
      <c r="X5" s="8">
        <f>Y4</f>
        <v/>
      </c>
      <c r="Y5" s="4" t="n">
        <v>25</v>
      </c>
      <c r="Z5" s="6">
        <f>Y5-X5</f>
        <v/>
      </c>
      <c r="AA5" s="7" t="n"/>
      <c r="AB5" s="7" t="n"/>
      <c r="AC5" s="36" t="n"/>
      <c r="AD5" s="36" t="n"/>
      <c r="AE5" s="4" t="n"/>
      <c r="AF5" s="4" t="n"/>
      <c r="AG5" s="4" t="n"/>
      <c r="AH5" s="47" t="n"/>
    </row>
    <row r="6">
      <c r="A6" s="68">
        <f>A5+1</f>
        <v/>
      </c>
      <c r="B6" s="75">
        <f>C5</f>
        <v/>
      </c>
      <c r="C6" s="75" t="n">
        <v>1359</v>
      </c>
      <c r="D6" s="77">
        <f>C6-B6</f>
        <v/>
      </c>
      <c r="E6" s="78" t="n"/>
      <c r="F6" s="78" t="n"/>
      <c r="G6" s="79" t="n"/>
      <c r="H6" s="79" t="n"/>
      <c r="I6" s="75" t="n">
        <v>190</v>
      </c>
      <c r="J6" s="81" t="n">
        <v>1356</v>
      </c>
      <c r="K6" s="75">
        <f>J6-J3</f>
        <v/>
      </c>
      <c r="L6" s="80">
        <f>I6/K6</f>
        <v/>
      </c>
      <c r="M6" s="62">
        <f>N5</f>
        <v/>
      </c>
      <c r="N6" s="5" t="n">
        <v>72</v>
      </c>
      <c r="O6" s="6">
        <f>N6-M6</f>
        <v/>
      </c>
      <c r="P6" s="7" t="n"/>
      <c r="Q6" s="7" t="n"/>
      <c r="R6" s="36" t="n"/>
      <c r="S6" s="36" t="n"/>
      <c r="T6" s="4" t="n"/>
      <c r="U6" s="37" t="n"/>
      <c r="V6" s="4" t="n"/>
      <c r="W6" s="47" t="n"/>
      <c r="X6" s="8">
        <f>Y5</f>
        <v/>
      </c>
      <c r="Y6" s="4" t="n">
        <v>25</v>
      </c>
      <c r="Z6" s="6">
        <f>Y6-X6</f>
        <v/>
      </c>
      <c r="AA6" s="7" t="n"/>
      <c r="AB6" s="7" t="n"/>
      <c r="AC6" s="36" t="n"/>
      <c r="AD6" s="36" t="n"/>
      <c r="AE6" s="4" t="n"/>
      <c r="AF6" s="37" t="n"/>
      <c r="AG6" s="4" t="n"/>
      <c r="AH6" s="47" t="n"/>
    </row>
    <row r="7">
      <c r="A7" s="68">
        <f>A6+1</f>
        <v/>
      </c>
      <c r="B7" s="75">
        <f>C6</f>
        <v/>
      </c>
      <c r="C7" s="75" t="n">
        <v>1368</v>
      </c>
      <c r="D7" s="77">
        <f>C7-B7</f>
        <v/>
      </c>
      <c r="E7" s="78" t="n"/>
      <c r="F7" s="78" t="n"/>
      <c r="G7" s="79" t="n"/>
      <c r="H7" s="79" t="n"/>
      <c r="I7" s="75" t="n"/>
      <c r="J7" s="75" t="n"/>
      <c r="K7" s="75" t="n"/>
      <c r="L7" s="80" t="n"/>
      <c r="M7" s="62">
        <f>N6</f>
        <v/>
      </c>
      <c r="N7" s="5" t="n">
        <v>78</v>
      </c>
      <c r="O7" s="6">
        <f>N7-M7</f>
        <v/>
      </c>
      <c r="P7" s="7" t="n"/>
      <c r="Q7" s="7" t="n"/>
      <c r="R7" s="36" t="n"/>
      <c r="S7" s="36" t="n"/>
      <c r="T7" s="4" t="n"/>
      <c r="U7" s="4" t="n"/>
      <c r="V7" s="4" t="n"/>
      <c r="W7" s="47" t="n"/>
      <c r="X7" s="8">
        <f>Y6</f>
        <v/>
      </c>
      <c r="Y7" s="4" t="n">
        <v>25</v>
      </c>
      <c r="Z7" s="6">
        <f>Y7-X7</f>
        <v/>
      </c>
      <c r="AA7" s="7" t="n"/>
      <c r="AB7" s="7" t="n"/>
      <c r="AC7" s="36" t="n"/>
      <c r="AD7" s="36" t="n"/>
      <c r="AE7" s="4" t="n"/>
      <c r="AF7" s="4" t="n"/>
      <c r="AG7" s="4" t="n"/>
      <c r="AH7" s="47" t="n"/>
    </row>
    <row r="8">
      <c r="A8" s="68">
        <f>A7+1</f>
        <v/>
      </c>
      <c r="B8" s="75">
        <f>C7</f>
        <v/>
      </c>
      <c r="C8" s="75" t="n">
        <v>1369</v>
      </c>
      <c r="D8" s="77">
        <f>C8-B8</f>
        <v/>
      </c>
      <c r="E8" s="78" t="n"/>
      <c r="F8" s="78" t="n"/>
      <c r="G8" s="79" t="n"/>
      <c r="H8" s="79" t="n"/>
      <c r="I8" s="75" t="n"/>
      <c r="J8" s="75" t="n"/>
      <c r="K8" s="75" t="n"/>
      <c r="L8" s="80" t="n"/>
      <c r="M8" s="62">
        <f>N7</f>
        <v/>
      </c>
      <c r="N8" s="5" t="n">
        <v>85</v>
      </c>
      <c r="O8" s="6">
        <f>N8-M8</f>
        <v/>
      </c>
      <c r="P8" s="7" t="n"/>
      <c r="Q8" s="7" t="n"/>
      <c r="R8" s="36" t="n"/>
      <c r="S8" s="36" t="n"/>
      <c r="T8" s="4" t="n"/>
      <c r="U8" s="4" t="n"/>
      <c r="V8" s="4" t="n"/>
      <c r="W8" s="47" t="n"/>
      <c r="X8" s="8">
        <f>Y7</f>
        <v/>
      </c>
      <c r="Y8" s="4" t="n">
        <v>25</v>
      </c>
      <c r="Z8" s="6">
        <f>Y8-X8</f>
        <v/>
      </c>
      <c r="AA8" s="7" t="n"/>
      <c r="AB8" s="7" t="n"/>
      <c r="AC8" s="36" t="n"/>
      <c r="AD8" s="36" t="n"/>
      <c r="AE8" s="4" t="n"/>
      <c r="AF8" s="4" t="n"/>
      <c r="AG8" s="4" t="n"/>
      <c r="AH8" s="47" t="n"/>
    </row>
    <row r="9">
      <c r="A9" s="68">
        <f>A8+1</f>
        <v/>
      </c>
      <c r="B9" s="75">
        <f>C8</f>
        <v/>
      </c>
      <c r="C9" s="75" t="n">
        <v>1377</v>
      </c>
      <c r="D9" s="77">
        <f>C9-B9</f>
        <v/>
      </c>
      <c r="E9" s="78" t="n"/>
      <c r="F9" s="78" t="n"/>
      <c r="G9" s="79" t="n"/>
      <c r="H9" s="79" t="n"/>
      <c r="I9" s="75" t="n">
        <v>177</v>
      </c>
      <c r="J9" s="75" t="n">
        <v>1372</v>
      </c>
      <c r="K9" s="75">
        <f>J9-J6</f>
        <v/>
      </c>
      <c r="L9" s="80">
        <f>I9/K9</f>
        <v/>
      </c>
      <c r="M9" s="62">
        <f>N8</f>
        <v/>
      </c>
      <c r="N9" s="5" t="n">
        <v>90</v>
      </c>
      <c r="O9" s="6">
        <f>N9-M9</f>
        <v/>
      </c>
      <c r="P9" s="7" t="n"/>
      <c r="Q9" s="7" t="n"/>
      <c r="R9" s="36" t="n"/>
      <c r="S9" s="35" t="n"/>
      <c r="T9" s="4" t="n"/>
      <c r="U9" s="4" t="n"/>
      <c r="V9" s="4" t="n"/>
      <c r="W9" s="47" t="n"/>
      <c r="X9" s="8">
        <f>Y8</f>
        <v/>
      </c>
      <c r="Y9" s="4" t="n">
        <v>25</v>
      </c>
      <c r="Z9" s="6">
        <f>Y9-X9</f>
        <v/>
      </c>
      <c r="AA9" s="7" t="n"/>
      <c r="AB9" s="7" t="n"/>
      <c r="AC9" s="36" t="n"/>
      <c r="AD9" s="35" t="n"/>
      <c r="AE9" s="4" t="n"/>
      <c r="AF9" s="4" t="n"/>
      <c r="AG9" s="4" t="n"/>
      <c r="AH9" s="47" t="n"/>
    </row>
    <row r="10">
      <c r="A10" s="68">
        <f>A9+1</f>
        <v/>
      </c>
      <c r="B10" s="75">
        <f>C9</f>
        <v/>
      </c>
      <c r="C10" s="75" t="n">
        <v>1382</v>
      </c>
      <c r="D10" s="77">
        <f>C10-B10</f>
        <v/>
      </c>
      <c r="E10" s="78" t="n"/>
      <c r="F10" s="78" t="n"/>
      <c r="G10" s="79" t="n"/>
      <c r="H10" s="79" t="n"/>
      <c r="I10" s="75" t="n"/>
      <c r="J10" s="75" t="n"/>
      <c r="K10" s="75" t="n"/>
      <c r="L10" s="80" t="n"/>
      <c r="M10" s="62">
        <f>N9</f>
        <v/>
      </c>
      <c r="N10" s="5" t="n">
        <v>96</v>
      </c>
      <c r="O10" s="6">
        <f>N10-M10</f>
        <v/>
      </c>
      <c r="P10" s="7" t="n"/>
      <c r="Q10" s="7" t="n"/>
      <c r="R10" s="36" t="n"/>
      <c r="S10" s="36" t="n"/>
      <c r="T10" s="4" t="n">
        <v>100</v>
      </c>
      <c r="U10" s="4" t="n">
        <v>91</v>
      </c>
      <c r="V10" s="4">
        <f>U10-U2</f>
        <v/>
      </c>
      <c r="W10" s="47">
        <f>T10/V10</f>
        <v/>
      </c>
      <c r="X10" s="8">
        <f>Y9</f>
        <v/>
      </c>
      <c r="Y10" s="4" t="n">
        <v>28</v>
      </c>
      <c r="Z10" s="6">
        <f>Y10-X10</f>
        <v/>
      </c>
      <c r="AA10" s="7" t="n"/>
      <c r="AB10" s="7" t="n"/>
      <c r="AC10" s="36" t="n"/>
      <c r="AD10" s="36" t="n"/>
      <c r="AE10" s="4" t="n"/>
      <c r="AF10" s="4" t="n"/>
      <c r="AG10" s="4" t="n"/>
      <c r="AH10" s="47" t="n"/>
    </row>
    <row r="11">
      <c r="A11" s="68">
        <f>A10+1</f>
        <v/>
      </c>
      <c r="B11" s="75">
        <f>C10</f>
        <v/>
      </c>
      <c r="C11" s="75" t="n">
        <v>1384</v>
      </c>
      <c r="D11" s="77">
        <f>C11-B11</f>
        <v/>
      </c>
      <c r="E11" s="78" t="n"/>
      <c r="F11" s="78" t="n"/>
      <c r="G11" s="79" t="n"/>
      <c r="H11" s="79" t="n"/>
      <c r="I11" s="75" t="n"/>
      <c r="J11" s="75" t="n"/>
      <c r="K11" s="75" t="n"/>
      <c r="L11" s="80" t="n"/>
      <c r="M11" s="62">
        <f>N10</f>
        <v/>
      </c>
      <c r="N11" s="4" t="n">
        <v>99</v>
      </c>
      <c r="O11" s="6">
        <f>N11-M11</f>
        <v/>
      </c>
      <c r="P11" s="7" t="n"/>
      <c r="Q11" s="7" t="n"/>
      <c r="R11" s="36" t="n"/>
      <c r="S11" s="36" t="n"/>
      <c r="T11" s="4" t="n"/>
      <c r="U11" s="4" t="n"/>
      <c r="V11" s="4" t="n"/>
      <c r="W11" s="47" t="n"/>
      <c r="X11" s="8">
        <f>Y10</f>
        <v/>
      </c>
      <c r="Y11" s="4" t="n">
        <v>28</v>
      </c>
      <c r="Z11" s="6">
        <f>Y11-X11</f>
        <v/>
      </c>
      <c r="AA11" s="7" t="n"/>
      <c r="AB11" s="7" t="n"/>
      <c r="AC11" s="36" t="n"/>
      <c r="AD11" s="36" t="n"/>
      <c r="AE11" s="4" t="n"/>
      <c r="AF11" s="4" t="n"/>
      <c r="AG11" s="4" t="n"/>
      <c r="AH11" s="47" t="n"/>
    </row>
    <row r="12">
      <c r="A12" s="68">
        <f>A11+1</f>
        <v/>
      </c>
      <c r="B12" s="75">
        <f>C11</f>
        <v/>
      </c>
      <c r="C12" s="75" t="n">
        <v>1386</v>
      </c>
      <c r="D12" s="77">
        <f>C12-B12</f>
        <v/>
      </c>
      <c r="E12" s="78" t="n"/>
      <c r="F12" s="78" t="n"/>
      <c r="G12" s="79" t="n"/>
      <c r="H12" s="79" t="n"/>
      <c r="I12" s="75" t="n">
        <v>167</v>
      </c>
      <c r="J12" s="75" t="inlineStr">
        <is>
          <t>N/F</t>
        </is>
      </c>
      <c r="K12" s="75" t="n"/>
      <c r="L12" s="80" t="n"/>
      <c r="M12" s="62">
        <f>N11</f>
        <v/>
      </c>
      <c r="N12" s="4" t="n">
        <v>103</v>
      </c>
      <c r="O12" s="6">
        <f>N12-M12</f>
        <v/>
      </c>
      <c r="P12" s="7" t="n"/>
      <c r="Q12" s="7" t="n"/>
      <c r="R12" s="36" t="n"/>
      <c r="S12" s="36" t="n"/>
      <c r="T12" s="4" t="n">
        <v>300</v>
      </c>
      <c r="U12" s="4" t="inlineStr">
        <is>
          <t>N/F</t>
        </is>
      </c>
      <c r="V12" s="4" t="n"/>
      <c r="W12" s="47" t="n"/>
      <c r="X12" s="8">
        <f>Y11</f>
        <v/>
      </c>
      <c r="Y12" s="4" t="n">
        <v>28</v>
      </c>
      <c r="Z12" s="6">
        <f>Y12-X12</f>
        <v/>
      </c>
      <c r="AA12" s="7" t="n"/>
      <c r="AB12" s="7" t="n"/>
      <c r="AC12" s="36" t="n"/>
      <c r="AD12" s="36" t="n"/>
      <c r="AE12" s="4" t="n"/>
      <c r="AF12" s="4" t="n"/>
      <c r="AG12" s="4" t="n"/>
      <c r="AH12" s="47" t="n"/>
    </row>
    <row r="13">
      <c r="A13" s="68">
        <f>A12+1</f>
        <v/>
      </c>
      <c r="B13" s="75">
        <f>C12</f>
        <v/>
      </c>
      <c r="C13" s="75" t="n">
        <v>1403</v>
      </c>
      <c r="D13" s="77">
        <f>C13-B13</f>
        <v/>
      </c>
      <c r="E13" s="78" t="n"/>
      <c r="F13" s="78" t="n"/>
      <c r="G13" s="79" t="n"/>
      <c r="H13" s="79" t="n"/>
      <c r="I13" s="75" t="n"/>
      <c r="J13" s="75" t="n"/>
      <c r="K13" s="75" t="n"/>
      <c r="L13" s="80" t="n"/>
      <c r="M13" s="62">
        <f>N12</f>
        <v/>
      </c>
      <c r="N13" s="4" t="n">
        <v>106</v>
      </c>
      <c r="O13" s="6">
        <f>N13-M13</f>
        <v/>
      </c>
      <c r="P13" s="7" t="n"/>
      <c r="Q13" s="7" t="n"/>
      <c r="R13" s="36" t="n"/>
      <c r="S13" s="35" t="n"/>
      <c r="T13" s="4" t="n"/>
      <c r="U13" s="4" t="n"/>
      <c r="V13" s="4" t="n"/>
      <c r="W13" s="47" t="n"/>
      <c r="X13" s="8">
        <f>Y12</f>
        <v/>
      </c>
      <c r="Y13" s="4" t="n">
        <v>28</v>
      </c>
      <c r="Z13" s="6">
        <f>Y13-X13</f>
        <v/>
      </c>
      <c r="AA13" s="7" t="n"/>
      <c r="AB13" s="7" t="n"/>
      <c r="AC13" s="36" t="n"/>
      <c r="AD13" s="35" t="n"/>
      <c r="AE13" s="4" t="n"/>
      <c r="AF13" s="4" t="n"/>
      <c r="AG13" s="4" t="n"/>
      <c r="AH13" s="47" t="n"/>
    </row>
    <row r="14">
      <c r="A14" s="68">
        <f>A13+1</f>
        <v/>
      </c>
      <c r="B14" s="75">
        <f>C13</f>
        <v/>
      </c>
      <c r="C14" s="75" t="n">
        <v>1409</v>
      </c>
      <c r="D14" s="77">
        <f>C14-B14</f>
        <v/>
      </c>
      <c r="E14" s="78" t="n"/>
      <c r="F14" s="78" t="n"/>
      <c r="G14" s="79" t="n"/>
      <c r="H14" s="79" t="n"/>
      <c r="I14" s="75" t="n">
        <v>268</v>
      </c>
      <c r="J14" s="75" t="inlineStr">
        <is>
          <t>N/F</t>
        </is>
      </c>
      <c r="K14" s="75" t="n"/>
      <c r="L14" s="80" t="n"/>
      <c r="M14" s="62">
        <f>N13</f>
        <v/>
      </c>
      <c r="N14" s="4" t="n">
        <v>106</v>
      </c>
      <c r="O14" s="6">
        <f>N14-M14</f>
        <v/>
      </c>
      <c r="P14" s="7" t="n"/>
      <c r="Q14" s="7" t="n"/>
      <c r="R14" s="36" t="n"/>
      <c r="S14" s="36" t="n"/>
      <c r="T14" s="4" t="n"/>
      <c r="U14" s="4" t="n"/>
      <c r="V14" s="4" t="n"/>
      <c r="W14" s="47" t="n"/>
      <c r="X14" s="8">
        <f>Y13</f>
        <v/>
      </c>
      <c r="Y14" s="4" t="n">
        <v>28</v>
      </c>
      <c r="Z14" s="6">
        <f>Y14-X14</f>
        <v/>
      </c>
      <c r="AA14" s="7" t="n"/>
      <c r="AB14" s="7" t="n"/>
      <c r="AC14" s="36" t="n"/>
      <c r="AD14" s="36" t="n"/>
      <c r="AE14" s="4" t="n"/>
      <c r="AF14" s="4" t="n"/>
      <c r="AG14" s="4" t="n"/>
      <c r="AH14" s="47" t="n"/>
    </row>
    <row r="15">
      <c r="A15" s="68">
        <f>A14+1</f>
        <v/>
      </c>
      <c r="B15" s="75">
        <f>C14</f>
        <v/>
      </c>
      <c r="C15" s="75" t="n">
        <v>1411</v>
      </c>
      <c r="D15" s="77">
        <f>C15-B15</f>
        <v/>
      </c>
      <c r="E15" s="78" t="n"/>
      <c r="F15" s="78" t="n"/>
      <c r="G15" s="79" t="n"/>
      <c r="H15" s="79" t="n"/>
      <c r="I15" s="75" t="n"/>
      <c r="J15" s="75" t="n"/>
      <c r="K15" s="75" t="n"/>
      <c r="L15" s="80" t="n"/>
      <c r="M15" s="62">
        <f>N14</f>
        <v/>
      </c>
      <c r="N15" s="4" t="n">
        <v>108</v>
      </c>
      <c r="O15" s="6">
        <f>N15-M15</f>
        <v/>
      </c>
      <c r="P15" s="7" t="n"/>
      <c r="Q15" s="7" t="n"/>
      <c r="R15" s="36" t="n"/>
      <c r="S15" s="36" t="n"/>
      <c r="T15" s="4" t="n"/>
      <c r="U15" s="4" t="n"/>
      <c r="V15" s="4" t="n"/>
      <c r="W15" s="47" t="n"/>
      <c r="X15" s="8">
        <f>Y14</f>
        <v/>
      </c>
      <c r="Y15" s="4" t="n">
        <v>28</v>
      </c>
      <c r="Z15" s="6">
        <f>Y15-X15</f>
        <v/>
      </c>
      <c r="AA15" s="7" t="n"/>
      <c r="AB15" s="7" t="n"/>
      <c r="AC15" s="36" t="n"/>
      <c r="AD15" s="36" t="n"/>
      <c r="AE15" s="4" t="n"/>
      <c r="AF15" s="4" t="n"/>
      <c r="AG15" s="4" t="n"/>
      <c r="AH15" s="47" t="n"/>
    </row>
    <row r="16">
      <c r="A16" s="68">
        <f>A15+1</f>
        <v/>
      </c>
      <c r="B16" s="75">
        <f>C15</f>
        <v/>
      </c>
      <c r="C16" s="75" t="n">
        <v>1416</v>
      </c>
      <c r="D16" s="77">
        <f>C16-B16</f>
        <v/>
      </c>
      <c r="E16" s="78" t="n"/>
      <c r="F16" s="78" t="n"/>
      <c r="G16" s="79" t="n"/>
      <c r="H16" s="79" t="n"/>
      <c r="I16" s="75" t="n"/>
      <c r="J16" s="75" t="n"/>
      <c r="K16" s="75" t="n"/>
      <c r="L16" s="80" t="n"/>
      <c r="M16" s="62">
        <f>N15</f>
        <v/>
      </c>
      <c r="N16" s="4" t="n">
        <v>113</v>
      </c>
      <c r="O16" s="6">
        <f>N16-M16</f>
        <v/>
      </c>
      <c r="P16" s="7" t="n"/>
      <c r="Q16" s="7" t="n"/>
      <c r="R16" s="36" t="n"/>
      <c r="S16" s="36" t="n"/>
      <c r="T16" s="4" t="n"/>
      <c r="U16" s="4" t="n"/>
      <c r="V16" s="4" t="n"/>
      <c r="W16" s="47" t="n"/>
      <c r="X16" s="8">
        <f>Y15</f>
        <v/>
      </c>
      <c r="Y16" s="4" t="n">
        <v>29</v>
      </c>
      <c r="Z16" s="6">
        <f>Y16-X16</f>
        <v/>
      </c>
      <c r="AA16" s="7" t="n"/>
      <c r="AB16" s="7" t="n"/>
      <c r="AC16" s="36" t="n"/>
      <c r="AD16" s="36" t="n"/>
      <c r="AE16" s="4" t="n"/>
      <c r="AF16" s="4" t="n"/>
      <c r="AG16" s="4" t="n"/>
      <c r="AH16" s="47" t="n"/>
    </row>
    <row r="17">
      <c r="A17" s="68">
        <f>A16+1</f>
        <v/>
      </c>
      <c r="B17" s="75">
        <f>C16</f>
        <v/>
      </c>
      <c r="C17" s="75" t="n">
        <v>1432</v>
      </c>
      <c r="D17" s="77">
        <f>C17-B17</f>
        <v/>
      </c>
      <c r="E17" s="78" t="n"/>
      <c r="F17" s="78" t="n"/>
      <c r="G17" s="79" t="n"/>
      <c r="H17" s="79" t="n"/>
      <c r="I17" s="75" t="n">
        <v>157</v>
      </c>
      <c r="J17" s="75" t="n">
        <v>1418</v>
      </c>
      <c r="K17" s="75">
        <f>J17-J9</f>
        <v/>
      </c>
      <c r="L17" s="80">
        <f>(I17+I14+I12)/K17</f>
        <v/>
      </c>
      <c r="M17" s="62">
        <f>N16</f>
        <v/>
      </c>
      <c r="N17" s="4" t="n">
        <v>117</v>
      </c>
      <c r="O17" s="6">
        <f>N17-M17</f>
        <v/>
      </c>
      <c r="P17" s="7" t="n"/>
      <c r="Q17" s="7" t="n"/>
      <c r="R17" s="36" t="n"/>
      <c r="S17" s="36" t="n"/>
      <c r="T17" s="4" t="n"/>
      <c r="U17" s="4" t="n"/>
      <c r="V17" s="4" t="n"/>
      <c r="W17" s="47" t="n"/>
      <c r="X17" s="8">
        <f>Y16</f>
        <v/>
      </c>
      <c r="Y17" s="4" t="n">
        <v>30</v>
      </c>
      <c r="Z17" s="6">
        <f>Y17-X17</f>
        <v/>
      </c>
      <c r="AA17" s="7" t="n"/>
      <c r="AB17" s="7" t="n"/>
      <c r="AC17" s="36" t="n"/>
      <c r="AD17" s="36" t="n"/>
      <c r="AE17" s="4" t="n"/>
      <c r="AF17" s="4" t="n"/>
      <c r="AG17" s="4" t="n"/>
      <c r="AH17" s="47" t="n"/>
    </row>
    <row r="18">
      <c r="A18" s="68">
        <f>A17+1</f>
        <v/>
      </c>
      <c r="B18" s="75">
        <f>C17</f>
        <v/>
      </c>
      <c r="C18" s="75" t="n">
        <v>1443</v>
      </c>
      <c r="D18" s="77">
        <f>C18-B18</f>
        <v/>
      </c>
      <c r="E18" s="78" t="n"/>
      <c r="F18" s="78" t="n"/>
      <c r="G18" s="79" t="n"/>
      <c r="H18" s="79" t="n"/>
      <c r="I18" s="75" t="n">
        <v>240</v>
      </c>
      <c r="J18" s="75" t="n">
        <v>1434</v>
      </c>
      <c r="K18" s="75">
        <f>J18-J17</f>
        <v/>
      </c>
      <c r="L18" s="80">
        <f>I18/K18</f>
        <v/>
      </c>
      <c r="M18" s="62">
        <f>N17</f>
        <v/>
      </c>
      <c r="N18" s="4" t="n">
        <v>122</v>
      </c>
      <c r="O18" s="6">
        <f>N18-M18</f>
        <v/>
      </c>
      <c r="P18" s="7" t="n"/>
      <c r="Q18" s="7" t="n"/>
      <c r="R18" s="36" t="n"/>
      <c r="S18" s="36" t="n"/>
      <c r="T18" s="4" t="n"/>
      <c r="U18" s="4" t="n"/>
      <c r="V18" s="4" t="n"/>
      <c r="W18" s="47" t="n"/>
      <c r="X18" s="8">
        <f>Y17</f>
        <v/>
      </c>
      <c r="Y18" s="4" t="n">
        <v>33</v>
      </c>
      <c r="Z18" s="6">
        <f>Y18-X18</f>
        <v/>
      </c>
      <c r="AA18" s="7" t="n"/>
      <c r="AB18" s="7" t="n"/>
      <c r="AC18" s="36" t="n"/>
      <c r="AD18" s="36" t="n"/>
      <c r="AE18" s="4" t="n"/>
      <c r="AF18" s="4" t="n"/>
      <c r="AG18" s="4" t="n"/>
      <c r="AH18" s="47" t="n"/>
    </row>
    <row r="19">
      <c r="A19" s="68">
        <f>A18+1</f>
        <v/>
      </c>
      <c r="B19" s="75">
        <f>C18</f>
        <v/>
      </c>
      <c r="C19" s="75" t="n">
        <v>1448</v>
      </c>
      <c r="D19" s="77">
        <f>C19-B19</f>
        <v/>
      </c>
      <c r="E19" s="78" t="n"/>
      <c r="F19" s="78" t="n"/>
      <c r="G19" s="79" t="n"/>
      <c r="H19" s="79" t="n"/>
      <c r="I19" s="75" t="n">
        <v>155</v>
      </c>
      <c r="J19" s="75" t="inlineStr">
        <is>
          <t>N/F</t>
        </is>
      </c>
      <c r="K19" s="75" t="n"/>
      <c r="L19" s="80" t="n"/>
      <c r="M19" s="62">
        <f>N18</f>
        <v/>
      </c>
      <c r="N19" s="4" t="n">
        <v>124</v>
      </c>
      <c r="O19" s="6">
        <f>N19-M19</f>
        <v/>
      </c>
      <c r="P19" s="7" t="n"/>
      <c r="Q19" s="7" t="n"/>
      <c r="R19" s="36" t="n"/>
      <c r="S19" s="36" t="n"/>
      <c r="T19" s="4" t="n"/>
      <c r="U19" s="4" t="n"/>
      <c r="V19" s="4" t="n"/>
      <c r="W19" s="47" t="n"/>
      <c r="X19" s="8">
        <f>Y18</f>
        <v/>
      </c>
      <c r="Y19" s="4" t="n">
        <v>33</v>
      </c>
      <c r="Z19" s="6">
        <f>Y19-X19</f>
        <v/>
      </c>
      <c r="AA19" s="7" t="n"/>
      <c r="AB19" s="7" t="n"/>
      <c r="AC19" s="36" t="n"/>
      <c r="AD19" s="36" t="n"/>
      <c r="AE19" s="4" t="n"/>
      <c r="AF19" s="4" t="n"/>
      <c r="AG19" s="4" t="n"/>
      <c r="AH19" s="47" t="n"/>
    </row>
    <row r="20">
      <c r="A20" s="68">
        <f>A19+1</f>
        <v/>
      </c>
      <c r="B20" s="75">
        <f>C19</f>
        <v/>
      </c>
      <c r="C20" s="75" t="n">
        <v>1460</v>
      </c>
      <c r="D20" s="77">
        <f>C20-B20</f>
        <v/>
      </c>
      <c r="E20" s="78" t="n"/>
      <c r="F20" s="78" t="n"/>
      <c r="G20" s="79" t="n"/>
      <c r="H20" s="79" t="n"/>
      <c r="I20" s="75" t="n"/>
      <c r="J20" s="75" t="n"/>
      <c r="K20" s="75" t="n"/>
      <c r="L20" s="80" t="n"/>
      <c r="M20" s="62">
        <f>N19</f>
        <v/>
      </c>
      <c r="N20" s="4" t="n">
        <v>128</v>
      </c>
      <c r="O20" s="6">
        <f>N20-M20</f>
        <v/>
      </c>
      <c r="P20" s="7" t="n"/>
      <c r="Q20" s="7" t="n"/>
      <c r="R20" s="36" t="n"/>
      <c r="S20" s="35" t="n"/>
      <c r="T20" s="4" t="n">
        <v>300</v>
      </c>
      <c r="U20" s="4" t="n">
        <v>124</v>
      </c>
      <c r="V20" s="4">
        <f>U20-U10</f>
        <v/>
      </c>
      <c r="W20" s="47">
        <f>(T20+T12)/V20</f>
        <v/>
      </c>
      <c r="X20" s="8">
        <f>Y19</f>
        <v/>
      </c>
      <c r="Y20" s="4" t="n">
        <v>33</v>
      </c>
      <c r="Z20" s="6">
        <f>Y20-X20</f>
        <v/>
      </c>
      <c r="AA20" s="7" t="n"/>
      <c r="AB20" s="7" t="n"/>
      <c r="AC20" s="36" t="n"/>
      <c r="AD20" s="35" t="n"/>
      <c r="AE20" s="4" t="n"/>
      <c r="AF20" s="4" t="n"/>
      <c r="AG20" s="4" t="n"/>
      <c r="AH20" s="47" t="n"/>
    </row>
    <row r="21">
      <c r="A21" s="68">
        <f>A20+1</f>
        <v/>
      </c>
      <c r="B21" s="75">
        <f>C20</f>
        <v/>
      </c>
      <c r="C21" s="82" t="n">
        <v>1463</v>
      </c>
      <c r="D21" s="77">
        <f>C21-B21</f>
        <v/>
      </c>
      <c r="E21" s="78" t="n"/>
      <c r="F21" s="78" t="n"/>
      <c r="G21" s="79" t="n"/>
      <c r="H21" s="79" t="n"/>
      <c r="I21" s="75" t="n">
        <v>244</v>
      </c>
      <c r="J21" s="75" t="inlineStr">
        <is>
          <t>N/F</t>
        </is>
      </c>
      <c r="K21" s="75" t="n"/>
      <c r="L21" s="80" t="n"/>
      <c r="M21" s="62">
        <f>N20</f>
        <v/>
      </c>
      <c r="N21" s="4" t="n">
        <v>130</v>
      </c>
      <c r="O21" s="6">
        <f>N21-M21</f>
        <v/>
      </c>
      <c r="P21" s="7" t="n"/>
      <c r="Q21" s="7" t="n"/>
      <c r="R21" s="36" t="n"/>
      <c r="S21" s="36" t="n"/>
      <c r="T21" s="4" t="n"/>
      <c r="U21" s="4" t="n"/>
      <c r="V21" s="4" t="n"/>
      <c r="W21" s="47" t="n"/>
      <c r="X21" s="8">
        <f>Y20</f>
        <v/>
      </c>
      <c r="Y21" s="4" t="n">
        <v>33</v>
      </c>
      <c r="Z21" s="6">
        <f>Y21-X21</f>
        <v/>
      </c>
      <c r="AA21" s="7" t="n"/>
      <c r="AB21" s="7" t="n"/>
      <c r="AC21" s="36" t="n"/>
      <c r="AD21" s="36" t="n"/>
      <c r="AE21" s="4" t="n"/>
      <c r="AF21" s="4" t="n"/>
      <c r="AG21" s="4" t="n"/>
      <c r="AH21" s="47" t="n"/>
    </row>
    <row r="22">
      <c r="A22" s="68">
        <f>A21+1</f>
        <v/>
      </c>
      <c r="B22" s="75">
        <f>C21</f>
        <v/>
      </c>
      <c r="C22" s="75" t="n">
        <v>1466</v>
      </c>
      <c r="D22" s="77">
        <f>C22-B22</f>
        <v/>
      </c>
      <c r="E22" s="78" t="n"/>
      <c r="F22" s="78" t="n"/>
      <c r="G22" s="79" t="n"/>
      <c r="H22" s="79" t="n"/>
      <c r="I22" s="75" t="n"/>
      <c r="J22" s="75" t="n"/>
      <c r="K22" s="75" t="n"/>
      <c r="L22" s="80" t="n"/>
      <c r="M22" s="62">
        <f>N21</f>
        <v/>
      </c>
      <c r="N22" s="4" t="n">
        <v>135</v>
      </c>
      <c r="O22" s="6">
        <f>N22-M22</f>
        <v/>
      </c>
      <c r="P22" s="7" t="n"/>
      <c r="Q22" s="7" t="n"/>
      <c r="R22" s="36" t="n"/>
      <c r="S22" s="36" t="n"/>
      <c r="T22" s="4" t="n"/>
      <c r="U22" s="4" t="n"/>
      <c r="V22" s="4" t="n"/>
      <c r="W22" s="47" t="n"/>
      <c r="X22" s="8">
        <f>Y21</f>
        <v/>
      </c>
      <c r="Y22" s="4" t="n">
        <v>33</v>
      </c>
      <c r="Z22" s="6">
        <f>Y22-X22</f>
        <v/>
      </c>
      <c r="AA22" s="7" t="n"/>
      <c r="AB22" s="7" t="n"/>
      <c r="AC22" s="36" t="n"/>
      <c r="AD22" s="36" t="n"/>
      <c r="AE22" s="4" t="n"/>
      <c r="AF22" s="4" t="n"/>
      <c r="AG22" s="4" t="n"/>
      <c r="AH22" s="47" t="n"/>
    </row>
    <row r="23">
      <c r="A23" s="68">
        <f>A22+1</f>
        <v/>
      </c>
      <c r="B23" s="75">
        <f>C22</f>
        <v/>
      </c>
      <c r="C23" s="75" t="n">
        <v>1470</v>
      </c>
      <c r="D23" s="77">
        <f>C23-B23</f>
        <v/>
      </c>
      <c r="E23" s="78" t="n"/>
      <c r="F23" s="78" t="n"/>
      <c r="G23" s="79" t="n"/>
      <c r="H23" s="79" t="n"/>
      <c r="I23" s="75" t="n">
        <v>82</v>
      </c>
      <c r="J23" s="75" t="inlineStr">
        <is>
          <t>N/F</t>
        </is>
      </c>
      <c r="K23" s="75" t="n"/>
      <c r="L23" s="80" t="n"/>
      <c r="M23" s="62">
        <f>N22</f>
        <v/>
      </c>
      <c r="N23" s="4" t="n">
        <v>141</v>
      </c>
      <c r="O23" s="6">
        <f>N23-M23</f>
        <v/>
      </c>
      <c r="P23" s="7" t="n"/>
      <c r="Q23" s="7" t="n"/>
      <c r="R23" s="36" t="n"/>
      <c r="S23" s="36" t="n"/>
      <c r="T23" s="4" t="n">
        <v>100</v>
      </c>
      <c r="U23" s="4" t="n">
        <v>136</v>
      </c>
      <c r="V23" s="4">
        <f>U23-U20</f>
        <v/>
      </c>
      <c r="W23" s="47">
        <f>T23/V23</f>
        <v/>
      </c>
      <c r="X23" s="8">
        <f>Y22</f>
        <v/>
      </c>
      <c r="Y23" s="4" t="n">
        <v>35</v>
      </c>
      <c r="Z23" s="6">
        <f>Y23-X23</f>
        <v/>
      </c>
      <c r="AA23" s="7" t="n"/>
      <c r="AB23" s="7" t="n"/>
      <c r="AC23" s="36" t="n"/>
      <c r="AD23" s="36" t="n"/>
      <c r="AE23" s="4" t="n">
        <v>100</v>
      </c>
      <c r="AF23" s="4" t="n">
        <v>34</v>
      </c>
      <c r="AG23" s="4">
        <f>AF23-AF2</f>
        <v/>
      </c>
      <c r="AH23" s="47">
        <f>AE23/AG23</f>
        <v/>
      </c>
    </row>
    <row r="24">
      <c r="A24" s="68">
        <f>A23+1</f>
        <v/>
      </c>
      <c r="B24" s="75">
        <f>C23</f>
        <v/>
      </c>
      <c r="C24" s="75" t="n">
        <v>1484</v>
      </c>
      <c r="D24" s="77">
        <f>C24-B24</f>
        <v/>
      </c>
      <c r="E24" s="78" t="n"/>
      <c r="F24" s="78" t="n"/>
      <c r="G24" s="79" t="n"/>
      <c r="H24" s="79" t="n"/>
      <c r="I24" s="75" t="n"/>
      <c r="J24" s="75" t="n"/>
      <c r="K24" s="75" t="n"/>
      <c r="L24" s="80" t="n"/>
      <c r="M24" s="62">
        <f>N23</f>
        <v/>
      </c>
      <c r="N24" s="4" t="n">
        <v>147</v>
      </c>
      <c r="O24" s="6">
        <f>N24-M24</f>
        <v/>
      </c>
      <c r="P24" s="7" t="n"/>
      <c r="Q24" s="7" t="n"/>
      <c r="R24" s="36" t="n"/>
      <c r="S24" s="36" t="n"/>
      <c r="T24" s="4" t="n"/>
      <c r="U24" s="4" t="n"/>
      <c r="V24" s="4" t="n"/>
      <c r="W24" s="47" t="n"/>
      <c r="X24" s="8">
        <f>Y23</f>
        <v/>
      </c>
      <c r="Y24" s="4" t="n">
        <v>38</v>
      </c>
      <c r="Z24" s="6">
        <f>Y24-X24</f>
        <v/>
      </c>
      <c r="AA24" s="7" t="n"/>
      <c r="AB24" s="7" t="n"/>
      <c r="AC24" s="36" t="n"/>
      <c r="AD24" s="36" t="n"/>
      <c r="AE24" s="4" t="n"/>
      <c r="AF24" s="4" t="n"/>
      <c r="AG24" s="4" t="n"/>
      <c r="AH24" s="47" t="n"/>
    </row>
    <row r="25">
      <c r="A25" s="68">
        <f>A24+1</f>
        <v/>
      </c>
      <c r="B25" s="75">
        <f>C24</f>
        <v/>
      </c>
      <c r="C25" s="75" t="n">
        <v>1488</v>
      </c>
      <c r="D25" s="77">
        <f>C25-B25</f>
        <v/>
      </c>
      <c r="E25" s="78" t="n"/>
      <c r="F25" s="78" t="n"/>
      <c r="G25" s="79" t="n"/>
      <c r="H25" s="79" t="n"/>
      <c r="I25" s="75" t="n">
        <v>228</v>
      </c>
      <c r="J25" s="75" t="inlineStr">
        <is>
          <t>N/F</t>
        </is>
      </c>
      <c r="K25" s="75" t="n"/>
      <c r="L25" s="80" t="n"/>
      <c r="M25" s="62">
        <f>N24</f>
        <v/>
      </c>
      <c r="N25" s="4" t="n">
        <v>151</v>
      </c>
      <c r="O25" s="6">
        <f>N25-M25</f>
        <v/>
      </c>
      <c r="P25" s="7" t="n"/>
      <c r="Q25" s="7" t="n"/>
      <c r="R25" s="36" t="n"/>
      <c r="S25" s="36" t="n"/>
      <c r="T25" s="4" t="n"/>
      <c r="U25" s="4" t="n"/>
      <c r="V25" s="4" t="n"/>
      <c r="W25" s="47" t="n"/>
      <c r="X25" s="8">
        <f>Y24</f>
        <v/>
      </c>
      <c r="Y25" s="4" t="n">
        <v>38</v>
      </c>
      <c r="Z25" s="6">
        <f>Y25-X25</f>
        <v/>
      </c>
      <c r="AA25" s="7" t="n"/>
      <c r="AB25" s="7" t="n"/>
      <c r="AC25" s="36" t="n"/>
      <c r="AD25" s="36" t="n"/>
      <c r="AE25" s="4" t="n"/>
      <c r="AF25" s="4" t="n"/>
      <c r="AG25" s="4" t="n"/>
      <c r="AH25" s="47" t="n"/>
    </row>
    <row r="26">
      <c r="A26" s="68">
        <f>A25+1</f>
        <v/>
      </c>
      <c r="B26" s="75">
        <f>C25</f>
        <v/>
      </c>
      <c r="C26" s="77" t="n">
        <v>1494</v>
      </c>
      <c r="D26" s="77">
        <f>C26-B26</f>
        <v/>
      </c>
      <c r="E26" s="78" t="n"/>
      <c r="F26" s="78" t="n"/>
      <c r="G26" s="79" t="n"/>
      <c r="H26" s="79" t="n"/>
      <c r="I26" s="75" t="n"/>
      <c r="J26" s="75" t="n"/>
      <c r="K26" s="75" t="n"/>
      <c r="L26" s="80" t="n"/>
      <c r="M26" s="62">
        <f>N25</f>
        <v/>
      </c>
      <c r="N26" s="4" t="n">
        <v>156</v>
      </c>
      <c r="O26" s="6">
        <f>N26-M26</f>
        <v/>
      </c>
      <c r="P26" s="7" t="n"/>
      <c r="Q26" s="7" t="n"/>
      <c r="R26" s="36" t="n"/>
      <c r="S26" s="36" t="n"/>
      <c r="T26" s="4" t="n"/>
      <c r="U26" s="4" t="n"/>
      <c r="V26" s="4" t="n"/>
      <c r="W26" s="47" t="n"/>
      <c r="X26" s="8">
        <f>Y25</f>
        <v/>
      </c>
      <c r="Y26" s="4" t="n">
        <v>38</v>
      </c>
      <c r="Z26" s="6">
        <f>Y26-X26</f>
        <v/>
      </c>
      <c r="AA26" s="7" t="n"/>
      <c r="AB26" s="7" t="n"/>
      <c r="AC26" s="36" t="n"/>
      <c r="AD26" s="36" t="n"/>
      <c r="AE26" s="4" t="n"/>
      <c r="AF26" s="4" t="n"/>
      <c r="AG26" s="4" t="n"/>
      <c r="AH26" s="47" t="n"/>
    </row>
    <row r="27">
      <c r="A27" s="68">
        <f>A26+1</f>
        <v/>
      </c>
      <c r="B27" s="75">
        <f>C26</f>
        <v/>
      </c>
      <c r="C27" s="75" t="n">
        <v>1505</v>
      </c>
      <c r="D27" s="77">
        <f>C27-B27</f>
        <v/>
      </c>
      <c r="E27" s="78" t="n"/>
      <c r="F27" s="78" t="n"/>
      <c r="G27" s="79" t="n"/>
      <c r="H27" s="79" t="n"/>
      <c r="I27" s="75" t="n">
        <v>181</v>
      </c>
      <c r="J27" s="75" t="n">
        <v>1495</v>
      </c>
      <c r="K27" s="75">
        <f>J27-J18</f>
        <v/>
      </c>
      <c r="L27" s="80">
        <f>(I27+I25+I23+I21+I19)/K27</f>
        <v/>
      </c>
      <c r="M27" s="83">
        <f>N26</f>
        <v/>
      </c>
      <c r="N27" s="84" t="n">
        <v>164</v>
      </c>
      <c r="O27" s="85">
        <f>N27-M27</f>
        <v/>
      </c>
      <c r="P27" s="7" t="n"/>
      <c r="Q27" s="7" t="n"/>
      <c r="R27" s="36" t="n"/>
      <c r="S27" s="36" t="n"/>
      <c r="T27" s="4" t="n">
        <v>400</v>
      </c>
      <c r="U27" s="4" t="n">
        <v>158</v>
      </c>
      <c r="V27" s="4">
        <f>U27-U23</f>
        <v/>
      </c>
      <c r="W27" s="47">
        <f>T27/V27</f>
        <v/>
      </c>
      <c r="X27" s="8">
        <f>Y26</f>
        <v/>
      </c>
      <c r="Y27" s="4" t="n">
        <v>41</v>
      </c>
      <c r="Z27" s="6">
        <f>Y27-X27</f>
        <v/>
      </c>
      <c r="AA27" s="7" t="n"/>
      <c r="AB27" s="7" t="n"/>
      <c r="AC27" s="36" t="n"/>
      <c r="AD27" s="36" t="n"/>
      <c r="AE27" s="4" t="n">
        <v>44</v>
      </c>
      <c r="AF27" s="4" t="n">
        <v>38</v>
      </c>
      <c r="AG27" s="4">
        <f>AF27-AF23</f>
        <v/>
      </c>
      <c r="AH27" s="47">
        <f>AE27/AG27</f>
        <v/>
      </c>
    </row>
    <row r="28">
      <c r="A28" s="68">
        <f>A27+1</f>
        <v/>
      </c>
      <c r="B28" s="75">
        <f>C27</f>
        <v/>
      </c>
      <c r="C28" s="75" t="n">
        <v>1508</v>
      </c>
      <c r="D28" s="77">
        <f>C28-B28</f>
        <v/>
      </c>
      <c r="E28" s="78" t="n"/>
      <c r="F28" s="78" t="n"/>
      <c r="G28" s="79" t="n"/>
      <c r="H28" s="79" t="n"/>
      <c r="I28" s="75" t="n"/>
      <c r="J28" s="75" t="n"/>
      <c r="K28" s="75" t="n"/>
      <c r="L28" s="80" t="n"/>
      <c r="M28" s="62">
        <f>N27</f>
        <v/>
      </c>
      <c r="N28" s="4" t="n">
        <v>164</v>
      </c>
      <c r="O28" s="6">
        <f>N28-M28</f>
        <v/>
      </c>
      <c r="P28" s="7" t="n"/>
      <c r="Q28" s="7" t="n"/>
      <c r="R28" s="36" t="n"/>
      <c r="S28" s="35" t="n"/>
      <c r="T28" s="4" t="n"/>
      <c r="U28" s="4" t="n"/>
      <c r="V28" s="4" t="n"/>
      <c r="W28" s="47" t="n"/>
      <c r="X28" s="8">
        <f>Y27</f>
        <v/>
      </c>
      <c r="Y28" s="4" t="n">
        <v>41</v>
      </c>
      <c r="Z28" s="6">
        <f>Y28-X28</f>
        <v/>
      </c>
      <c r="AA28" s="7" t="n"/>
      <c r="AB28" s="7" t="n"/>
      <c r="AC28" s="36" t="n"/>
      <c r="AD28" s="35" t="n"/>
      <c r="AE28" s="4" t="n"/>
      <c r="AF28" s="4" t="n"/>
      <c r="AG28" s="4" t="n"/>
      <c r="AH28" s="47" t="n"/>
    </row>
    <row r="29">
      <c r="A29" s="68">
        <f>A28+1</f>
        <v/>
      </c>
      <c r="B29" s="75">
        <f>C28</f>
        <v/>
      </c>
      <c r="C29" s="75" t="n">
        <v>1516</v>
      </c>
      <c r="D29" s="77">
        <f>C29-B29</f>
        <v/>
      </c>
      <c r="E29" s="78" t="n"/>
      <c r="F29" s="78" t="n"/>
      <c r="G29" s="79" t="n"/>
      <c r="H29" s="79" t="n"/>
      <c r="I29" s="75" t="n"/>
      <c r="J29" s="75" t="n"/>
      <c r="K29" s="75" t="n"/>
      <c r="L29" s="80" t="n"/>
      <c r="M29" s="62">
        <f>N28</f>
        <v/>
      </c>
      <c r="N29" s="4" t="n">
        <v>171</v>
      </c>
      <c r="O29" s="6">
        <f>N29-M29</f>
        <v/>
      </c>
      <c r="P29" s="7" t="n"/>
      <c r="Q29" s="7" t="n"/>
      <c r="R29" s="36" t="n"/>
      <c r="S29" s="36" t="n"/>
      <c r="T29" s="4" t="n"/>
      <c r="U29" s="4" t="n"/>
      <c r="V29" s="4" t="n"/>
      <c r="W29" s="47" t="n"/>
      <c r="X29" s="8">
        <f>Y28</f>
        <v/>
      </c>
      <c r="Y29" s="4" t="n">
        <v>41</v>
      </c>
      <c r="Z29" s="6">
        <f>Y29-X29</f>
        <v/>
      </c>
      <c r="AA29" s="7" t="n"/>
      <c r="AB29" s="7" t="n"/>
      <c r="AC29" s="36" t="n"/>
      <c r="AD29" s="36" t="n"/>
      <c r="AE29" s="4" t="n">
        <v>18</v>
      </c>
      <c r="AF29" s="4" t="n">
        <v>41</v>
      </c>
      <c r="AG29" s="4">
        <f>AF29-AF27</f>
        <v/>
      </c>
      <c r="AH29" s="47">
        <f>AE29/AG29</f>
        <v/>
      </c>
    </row>
    <row r="30">
      <c r="A30" s="68">
        <f>A29+1</f>
        <v/>
      </c>
      <c r="B30" s="75">
        <f>C29</f>
        <v/>
      </c>
      <c r="C30" s="75" t="n">
        <v>1521</v>
      </c>
      <c r="D30" s="77">
        <f>C30-B30</f>
        <v/>
      </c>
      <c r="E30" s="78" t="n"/>
      <c r="F30" s="78" t="n"/>
      <c r="G30" s="79" t="n"/>
      <c r="H30" s="79" t="n"/>
      <c r="I30" s="75" t="n"/>
      <c r="J30" s="75" t="n"/>
      <c r="K30" s="75" t="n"/>
      <c r="L30" s="80" t="n"/>
      <c r="M30" s="62">
        <f>N29</f>
        <v/>
      </c>
      <c r="N30" s="4" t="n">
        <v>176</v>
      </c>
      <c r="O30" s="6">
        <f>N30-M30</f>
        <v/>
      </c>
      <c r="P30" s="7" t="n"/>
      <c r="Q30" s="7" t="n"/>
      <c r="R30" s="36" t="n"/>
      <c r="S30" s="35" t="n"/>
      <c r="T30" s="4" t="n"/>
      <c r="U30" s="4" t="n"/>
      <c r="V30" s="4" t="n"/>
      <c r="W30" s="47" t="n"/>
      <c r="X30" s="8">
        <f>Y29</f>
        <v/>
      </c>
      <c r="Y30" s="4" t="n">
        <v>42</v>
      </c>
      <c r="Z30" s="6">
        <f>Y30-X30</f>
        <v/>
      </c>
      <c r="AA30" s="7" t="n"/>
      <c r="AB30" s="7" t="n"/>
      <c r="AC30" s="36" t="n"/>
      <c r="AD30" s="35" t="n"/>
      <c r="AE30" s="4" t="n"/>
      <c r="AF30" s="4" t="n"/>
      <c r="AG30" s="4" t="n"/>
      <c r="AH30" s="47" t="n"/>
    </row>
    <row r="31">
      <c r="A31" s="68">
        <f>A30+1</f>
        <v/>
      </c>
      <c r="B31" s="75">
        <f>C30</f>
        <v/>
      </c>
      <c r="C31" s="75" t="n">
        <v>1525</v>
      </c>
      <c r="D31" s="77">
        <f>C31-B31</f>
        <v/>
      </c>
      <c r="E31" s="78" t="n"/>
      <c r="F31" s="78" t="n"/>
      <c r="G31" s="79" t="n"/>
      <c r="H31" s="79" t="n"/>
      <c r="I31" s="75" t="n">
        <v>345</v>
      </c>
      <c r="J31" s="75" t="n">
        <v>1522</v>
      </c>
      <c r="K31" s="75">
        <f>J31-J27</f>
        <v/>
      </c>
      <c r="L31" s="80">
        <f>I31/K31</f>
        <v/>
      </c>
      <c r="M31" s="62">
        <f>N30</f>
        <v/>
      </c>
      <c r="N31" s="4" t="n">
        <v>180</v>
      </c>
      <c r="O31" s="6">
        <f>N31-M31</f>
        <v/>
      </c>
      <c r="P31" s="7" t="n"/>
      <c r="Q31" s="7" t="n"/>
      <c r="R31" s="36" t="n"/>
      <c r="S31" s="35" t="n"/>
      <c r="T31" s="4" t="n"/>
      <c r="U31" s="4" t="n"/>
      <c r="V31" s="4" t="n"/>
      <c r="W31" s="47" t="n"/>
      <c r="X31" s="8">
        <f>Y30</f>
        <v/>
      </c>
      <c r="Y31" s="4" t="n">
        <v>45</v>
      </c>
      <c r="Z31" s="6">
        <f>Y31-X31</f>
        <v/>
      </c>
      <c r="AA31" s="7" t="n"/>
      <c r="AB31" s="7" t="n"/>
      <c r="AC31" s="36" t="n"/>
      <c r="AD31" s="35" t="n"/>
      <c r="AE31" s="4" t="n"/>
      <c r="AF31" s="4" t="n"/>
      <c r="AG31" s="4" t="n"/>
      <c r="AH31" s="47" t="n"/>
    </row>
    <row r="32">
      <c r="A32" s="68">
        <f>A31+1</f>
        <v/>
      </c>
      <c r="B32" s="75">
        <f>C31</f>
        <v/>
      </c>
      <c r="C32" s="75" t="n">
        <v>1534</v>
      </c>
      <c r="D32" s="77">
        <f>C32-B32</f>
        <v/>
      </c>
      <c r="E32" s="78" t="n"/>
      <c r="F32" s="78" t="n"/>
      <c r="G32" s="79" t="n"/>
      <c r="H32" s="79" t="n"/>
      <c r="I32" s="75" t="n"/>
      <c r="J32" s="75" t="n"/>
      <c r="K32" s="75" t="n"/>
      <c r="L32" s="80" t="n"/>
      <c r="M32" s="62">
        <f>N31</f>
        <v/>
      </c>
      <c r="N32" s="4" t="n">
        <v>184</v>
      </c>
      <c r="O32" s="6">
        <f>N32-M32</f>
        <v/>
      </c>
      <c r="P32" s="7" t="n"/>
      <c r="Q32" s="7" t="n"/>
      <c r="R32" s="36" t="n"/>
      <c r="S32" s="35" t="n"/>
      <c r="T32" s="4" t="n"/>
      <c r="U32" s="4" t="n"/>
      <c r="V32" s="4" t="n"/>
      <c r="W32" s="47" t="n"/>
      <c r="X32" s="8">
        <f>Y31</f>
        <v/>
      </c>
      <c r="Y32" s="4" t="n">
        <v>45</v>
      </c>
      <c r="Z32" s="6">
        <f>Y32-X32</f>
        <v/>
      </c>
      <c r="AA32" s="7" t="n"/>
      <c r="AB32" s="7" t="n"/>
      <c r="AC32" s="36" t="n"/>
      <c r="AD32" s="35" t="n"/>
      <c r="AE32" s="4" t="n"/>
      <c r="AF32" s="4" t="n"/>
      <c r="AG32" s="4" t="n"/>
      <c r="AH32" s="47" t="n"/>
    </row>
    <row r="33" ht="16.5" customHeight="1" thickBot="1">
      <c r="A33" s="69" t="n"/>
      <c r="B33" s="70" t="n"/>
      <c r="C33" s="71" t="n"/>
      <c r="D33" s="72">
        <f>SUM(D3:D32)</f>
        <v/>
      </c>
      <c r="E33" s="73" t="n"/>
      <c r="F33" s="73" t="n"/>
      <c r="G33" s="72">
        <f>SUM(G3:G30)</f>
        <v/>
      </c>
      <c r="H33" s="73" t="n"/>
      <c r="I33" s="72">
        <f>SUM(I3:I32)</f>
        <v/>
      </c>
      <c r="J33" s="72" t="n"/>
      <c r="K33" s="72">
        <f>SUM(K3:K32)</f>
        <v/>
      </c>
      <c r="L33" s="74">
        <f>I33/K33</f>
        <v/>
      </c>
      <c r="M33" s="63" t="n"/>
      <c r="N33" s="13" t="n"/>
      <c r="O33" s="14">
        <f>SUBTOTAL(9,O3:O32)</f>
        <v/>
      </c>
      <c r="P33" s="11" t="n"/>
      <c r="Q33" s="11" t="n"/>
      <c r="R33" s="14">
        <f>SUM(R3:R30)</f>
        <v/>
      </c>
      <c r="S33" s="51" t="n"/>
      <c r="T33" s="14">
        <f>SUM(T3:T30)</f>
        <v/>
      </c>
      <c r="U33" s="14" t="n"/>
      <c r="V33" s="14">
        <f>SUM(V3:V30)</f>
        <v/>
      </c>
      <c r="W33" s="48">
        <f>T33/V33</f>
        <v/>
      </c>
      <c r="X33" s="12" t="n"/>
      <c r="Y33" s="13" t="n"/>
      <c r="Z33" s="14">
        <f>SUM(Z3:Z30)</f>
        <v/>
      </c>
      <c r="AA33" s="11" t="n"/>
      <c r="AB33" s="11" t="n"/>
      <c r="AC33" s="14">
        <f>SUM(AC3:AC30)</f>
        <v/>
      </c>
      <c r="AD33" s="51" t="n"/>
      <c r="AE33" s="14">
        <f>SUM(AE3:AE30)</f>
        <v/>
      </c>
      <c r="AF33" s="14" t="n"/>
      <c r="AG33" s="14">
        <f>SUM(AG3:AG30)</f>
        <v/>
      </c>
      <c r="AH33" s="48">
        <f>AE33/AG33</f>
        <v/>
      </c>
    </row>
    <row r="34">
      <c r="I34" s="57" t="n"/>
      <c r="K34" s="57" t="n"/>
      <c r="T34" s="115">
        <f>T33+T2</f>
        <v/>
      </c>
      <c r="U34" s="37" t="n"/>
      <c r="V34" s="37">
        <f>158-49</f>
        <v/>
      </c>
      <c r="W34" s="116">
        <f>T34/V34</f>
        <v/>
      </c>
      <c r="AE34" s="115" t="n"/>
      <c r="AG34" s="37" t="n"/>
      <c r="AH34" s="37" t="n"/>
    </row>
    <row r="35">
      <c r="X35" s="24" t="inlineStr">
        <is>
          <t>Monthly Hiring Charges</t>
        </is>
      </c>
      <c r="Y35" s="24" t="n">
        <v>900000</v>
      </c>
    </row>
    <row r="36">
      <c r="X36" s="24" t="inlineStr">
        <is>
          <t>1 Day Hiring Charges/31</t>
        </is>
      </c>
      <c r="Y36" s="24">
        <f>Y35/31</f>
        <v/>
      </c>
    </row>
    <row r="37">
      <c r="X37" s="24" t="inlineStr">
        <is>
          <t>30 Days Hiring Charges</t>
        </is>
      </c>
      <c r="Y37" s="24">
        <f>Y36*30</f>
        <v/>
      </c>
    </row>
    <row r="38">
      <c r="X38" s="24" t="inlineStr">
        <is>
          <t>Bill Amount</t>
        </is>
      </c>
      <c r="Y38" s="24">
        <f>Y37</f>
        <v/>
      </c>
    </row>
  </sheetData>
  <mergeCells count="3">
    <mergeCell ref="M1:N1"/>
    <mergeCell ref="B1:C1"/>
    <mergeCell ref="X1:Y1"/>
  </mergeCells>
  <conditionalFormatting sqref="A3:A17 A19:A32">
    <cfRule type="duplicateValues" priority="32"/>
  </conditionalFormatting>
  <conditionalFormatting sqref="A18">
    <cfRule type="duplicateValues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pane xSplit="1" ySplit="2" topLeftCell="N3" activePane="bottomRight" state="frozen"/>
      <selection pane="topRight" activeCell="B1" sqref="B1"/>
      <selection pane="bottomLeft" activeCell="A3" sqref="A3"/>
      <selection pane="bottomRight" activeCell="AH35" sqref="AH35"/>
    </sheetView>
  </sheetViews>
  <sheetFormatPr baseColWidth="8" defaultRowHeight="15"/>
  <cols>
    <col width="13.5703125" customWidth="1" min="2" max="2"/>
    <col width="22.140625" bestFit="1" customWidth="1" min="24" max="24"/>
  </cols>
  <sheetData>
    <row r="1" ht="63" customHeight="1">
      <c r="A1" s="64" t="n">
        <v>46143</v>
      </c>
      <c r="B1" s="92" t="inlineStr">
        <is>
          <t>KAMLAR-DHIRPUR</t>
        </is>
      </c>
      <c r="C1" s="133" t="n"/>
      <c r="D1" s="10" t="inlineStr">
        <is>
          <t>Daily Running Hours</t>
        </is>
      </c>
      <c r="E1" s="10" t="inlineStr">
        <is>
          <t>Breakdown start time</t>
        </is>
      </c>
      <c r="F1" s="10" t="inlineStr">
        <is>
          <t>Breakdown end time</t>
        </is>
      </c>
      <c r="G1" s="49" t="inlineStr">
        <is>
          <t>Total Breakdown Hour</t>
        </is>
      </c>
      <c r="H1" s="49" t="inlineStr">
        <is>
          <t>Breakdown Reason</t>
        </is>
      </c>
      <c r="I1" s="130" t="inlineStr">
        <is>
          <t>DIESEL Consumed</t>
        </is>
      </c>
      <c r="J1" s="130" t="inlineStr">
        <is>
          <t>Diesel HMR</t>
        </is>
      </c>
      <c r="K1" s="130" t="inlineStr">
        <is>
          <t xml:space="preserve">Hours </t>
        </is>
      </c>
      <c r="L1" s="65" t="inlineStr">
        <is>
          <t>Average</t>
        </is>
      </c>
      <c r="M1" s="133" t="inlineStr">
        <is>
          <t>KAMLAR-1-Dalpatpur</t>
        </is>
      </c>
      <c r="N1" s="132" t="n"/>
      <c r="O1" s="10" t="inlineStr">
        <is>
          <t>Daily Running Hours</t>
        </is>
      </c>
      <c r="P1" s="10" t="inlineStr">
        <is>
          <t>Breakdown start time</t>
        </is>
      </c>
      <c r="Q1" s="10" t="inlineStr">
        <is>
          <t>Breakdown end time</t>
        </is>
      </c>
      <c r="R1" s="49" t="inlineStr">
        <is>
          <t>Total Breakdown Hour</t>
        </is>
      </c>
      <c r="S1" s="49" t="inlineStr">
        <is>
          <t>Breakdown Reason</t>
        </is>
      </c>
      <c r="T1" s="130" t="inlineStr">
        <is>
          <t>DIESEL
Filled</t>
        </is>
      </c>
      <c r="U1" s="130" t="inlineStr">
        <is>
          <t>Diesel HMR</t>
        </is>
      </c>
      <c r="V1" s="130" t="inlineStr">
        <is>
          <t xml:space="preserve">Hours </t>
        </is>
      </c>
      <c r="W1" s="45" t="inlineStr">
        <is>
          <t>Average</t>
        </is>
      </c>
      <c r="X1" s="130" t="inlineStr">
        <is>
          <t>KAMLAR-2-Dalpatpur</t>
        </is>
      </c>
      <c r="Y1" s="132" t="n"/>
      <c r="Z1" s="10" t="inlineStr">
        <is>
          <t>Daily Running Hours</t>
        </is>
      </c>
      <c r="AA1" s="10" t="inlineStr">
        <is>
          <t>Breakdown start time</t>
        </is>
      </c>
      <c r="AB1" s="10" t="inlineStr">
        <is>
          <t>Breakdown end time</t>
        </is>
      </c>
      <c r="AC1" s="49" t="inlineStr">
        <is>
          <t>Total Breakdown Hour</t>
        </is>
      </c>
      <c r="AD1" s="49" t="inlineStr">
        <is>
          <t>Breakdown Reason</t>
        </is>
      </c>
      <c r="AE1" s="130" t="inlineStr">
        <is>
          <t>DIESEL
Filled</t>
        </is>
      </c>
      <c r="AF1" s="130" t="inlineStr">
        <is>
          <t>Diesel HMR</t>
        </is>
      </c>
      <c r="AG1" s="130" t="inlineStr">
        <is>
          <t xml:space="preserve">Hours </t>
        </is>
      </c>
      <c r="AH1" s="45" t="inlineStr">
        <is>
          <t>Average</t>
        </is>
      </c>
    </row>
    <row r="2" ht="30" customHeight="1">
      <c r="A2" s="66" t="inlineStr">
        <is>
          <t>PREV  Stock</t>
        </is>
      </c>
      <c r="B2" s="38" t="inlineStr">
        <is>
          <t>Start HMR</t>
        </is>
      </c>
      <c r="C2" s="38" t="inlineStr">
        <is>
          <t>End HMR</t>
        </is>
      </c>
      <c r="D2" s="39" t="n"/>
      <c r="E2" s="39" t="n"/>
      <c r="F2" s="39" t="n"/>
      <c r="G2" s="50" t="n"/>
      <c r="H2" s="50" t="n"/>
      <c r="I2" s="38" t="n"/>
      <c r="J2" s="40" t="n">
        <v>1522</v>
      </c>
      <c r="K2" s="38" t="n"/>
      <c r="L2" s="67" t="n"/>
      <c r="M2" s="61" t="inlineStr">
        <is>
          <t>Start HMR</t>
        </is>
      </c>
      <c r="N2" s="38" t="inlineStr">
        <is>
          <t>End HMR</t>
        </is>
      </c>
      <c r="O2" s="39" t="n"/>
      <c r="P2" s="39" t="n"/>
      <c r="Q2" s="39" t="n"/>
      <c r="R2" s="50" t="n"/>
      <c r="S2" s="50" t="n"/>
      <c r="T2" s="38" t="n"/>
      <c r="U2" s="40" t="n">
        <v>158</v>
      </c>
      <c r="V2" s="38" t="n"/>
      <c r="W2" s="46" t="n"/>
      <c r="X2" s="38" t="inlineStr">
        <is>
          <t>Start HMR</t>
        </is>
      </c>
      <c r="Y2" s="38" t="inlineStr">
        <is>
          <t>End HMR</t>
        </is>
      </c>
      <c r="Z2" s="39" t="n"/>
      <c r="AA2" s="39" t="n"/>
      <c r="AB2" s="39" t="n"/>
      <c r="AC2" s="50" t="n"/>
      <c r="AD2" s="50" t="n"/>
      <c r="AE2" s="38" t="n"/>
      <c r="AF2" s="40" t="n">
        <v>41</v>
      </c>
      <c r="AG2" s="38" t="n"/>
      <c r="AH2" s="46" t="n"/>
    </row>
    <row r="3">
      <c r="A3" s="68" t="n">
        <v>46143</v>
      </c>
      <c r="B3" s="75" t="n">
        <v>1534</v>
      </c>
      <c r="C3" s="76" t="n">
        <v>1550</v>
      </c>
      <c r="D3" s="77">
        <f>C3-B3</f>
        <v/>
      </c>
      <c r="E3" s="78" t="n"/>
      <c r="F3" s="78" t="n"/>
      <c r="G3" s="79" t="n"/>
      <c r="H3" s="79" t="n"/>
      <c r="I3" s="75" t="n">
        <v>280</v>
      </c>
      <c r="J3" s="75" t="n">
        <v>1539</v>
      </c>
      <c r="K3" s="75">
        <f>J3-J2</f>
        <v/>
      </c>
      <c r="L3" s="80">
        <f>I3/K3</f>
        <v/>
      </c>
      <c r="M3" s="4" t="n">
        <v>184</v>
      </c>
      <c r="N3" s="5" t="n">
        <v>186</v>
      </c>
      <c r="O3" s="6">
        <f>N3-M3</f>
        <v/>
      </c>
      <c r="P3" s="7" t="n"/>
      <c r="Q3" s="7" t="n"/>
      <c r="R3" s="36" t="n"/>
      <c r="S3" s="36" t="n"/>
      <c r="T3" s="4" t="n"/>
      <c r="U3" s="4" t="n"/>
      <c r="V3" s="4" t="n"/>
      <c r="W3" s="47" t="n"/>
      <c r="X3" s="4" t="n">
        <v>45</v>
      </c>
      <c r="Y3" s="5" t="n">
        <v>45</v>
      </c>
      <c r="Z3" s="6">
        <f>Y3-X3</f>
        <v/>
      </c>
      <c r="AA3" s="7" t="n"/>
      <c r="AB3" s="7" t="n"/>
      <c r="AC3" s="36" t="n"/>
      <c r="AD3" s="36" t="n"/>
      <c r="AE3" s="4" t="n"/>
      <c r="AF3" s="4" t="n"/>
      <c r="AG3" s="4" t="n"/>
      <c r="AH3" s="47" t="n"/>
    </row>
    <row r="4">
      <c r="A4" s="68">
        <f>A3+1</f>
        <v/>
      </c>
      <c r="B4" s="75">
        <f>C3</f>
        <v/>
      </c>
      <c r="C4" s="76" t="n">
        <v>1554</v>
      </c>
      <c r="D4" s="77">
        <f>C4-B4</f>
        <v/>
      </c>
      <c r="E4" s="78" t="n"/>
      <c r="F4" s="78" t="n"/>
      <c r="G4" s="79" t="n"/>
      <c r="H4" s="79" t="n"/>
      <c r="I4" s="75" t="n"/>
      <c r="J4" s="75" t="n"/>
      <c r="K4" s="75" t="n"/>
      <c r="L4" s="80" t="n"/>
      <c r="M4" s="62">
        <f>N3</f>
        <v/>
      </c>
      <c r="N4" s="5" t="n">
        <v>188</v>
      </c>
      <c r="O4" s="6">
        <f>N4-M4</f>
        <v/>
      </c>
      <c r="P4" s="7" t="n"/>
      <c r="Q4" s="7" t="n"/>
      <c r="R4" s="36" t="n"/>
      <c r="S4" s="36" t="n"/>
      <c r="T4" s="4" t="n"/>
      <c r="U4" s="4" t="n"/>
      <c r="V4" s="4" t="n"/>
      <c r="W4" s="47" t="n"/>
      <c r="X4" s="8">
        <f>Y3</f>
        <v/>
      </c>
      <c r="Y4" s="5" t="n">
        <v>45</v>
      </c>
      <c r="Z4" s="6">
        <f>Y4-X4</f>
        <v/>
      </c>
      <c r="AA4" s="7" t="n"/>
      <c r="AB4" s="7" t="n"/>
      <c r="AC4" s="36" t="n"/>
      <c r="AD4" s="36" t="n"/>
      <c r="AE4" s="4" t="n"/>
      <c r="AF4" s="4" t="n"/>
      <c r="AG4" s="4" t="n"/>
      <c r="AH4" s="47" t="n"/>
    </row>
    <row r="5">
      <c r="A5" s="68">
        <f>A4+1</f>
        <v/>
      </c>
      <c r="B5" s="75">
        <f>C4</f>
        <v/>
      </c>
      <c r="C5" s="81" t="n">
        <v>1556</v>
      </c>
      <c r="D5" s="77">
        <f>C5-B5</f>
        <v/>
      </c>
      <c r="E5" s="78" t="n"/>
      <c r="F5" s="78" t="n"/>
      <c r="G5" s="79" t="n"/>
      <c r="H5" s="79" t="n"/>
      <c r="I5" s="75" t="n"/>
      <c r="J5" s="75" t="n"/>
      <c r="K5" s="75" t="n"/>
      <c r="L5" s="80" t="n"/>
      <c r="M5" s="62">
        <f>N4</f>
        <v/>
      </c>
      <c r="N5" s="5" t="n">
        <v>191</v>
      </c>
      <c r="O5" s="6">
        <f>N5-M5</f>
        <v/>
      </c>
      <c r="P5" s="7" t="n"/>
      <c r="Q5" s="7" t="n"/>
      <c r="R5" s="36" t="n"/>
      <c r="S5" s="36" t="n"/>
      <c r="T5" s="4" t="n"/>
      <c r="U5" s="4" t="n"/>
      <c r="V5" s="4" t="n"/>
      <c r="W5" s="47" t="n"/>
      <c r="X5" s="8">
        <f>Y4</f>
        <v/>
      </c>
      <c r="Y5" s="4" t="n">
        <v>47</v>
      </c>
      <c r="Z5" s="6">
        <f>Y5-X5</f>
        <v/>
      </c>
      <c r="AA5" s="7" t="n"/>
      <c r="AB5" s="7" t="n"/>
      <c r="AC5" s="36" t="n"/>
      <c r="AD5" s="36" t="n"/>
      <c r="AE5" s="4" t="n"/>
      <c r="AF5" s="4" t="n"/>
      <c r="AG5" s="4" t="n"/>
      <c r="AH5" s="47" t="n"/>
    </row>
    <row r="6">
      <c r="A6" s="68">
        <f>A5+1</f>
        <v/>
      </c>
      <c r="B6" s="75">
        <f>C5</f>
        <v/>
      </c>
      <c r="C6" s="75" t="n">
        <v>1564</v>
      </c>
      <c r="D6" s="77">
        <f>C6-B6</f>
        <v/>
      </c>
      <c r="E6" s="78" t="n"/>
      <c r="F6" s="78" t="n"/>
      <c r="G6" s="79" t="n"/>
      <c r="H6" s="79" t="n"/>
      <c r="I6" s="75" t="n">
        <v>230</v>
      </c>
      <c r="J6" s="81" t="n">
        <v>1556</v>
      </c>
      <c r="K6" s="75">
        <f>J6-J3</f>
        <v/>
      </c>
      <c r="L6" s="80">
        <f>I6/K6</f>
        <v/>
      </c>
      <c r="M6" s="62">
        <f>N5</f>
        <v/>
      </c>
      <c r="N6" s="5" t="n">
        <v>195</v>
      </c>
      <c r="O6" s="6">
        <f>N6-M6</f>
        <v/>
      </c>
      <c r="P6" s="7" t="n"/>
      <c r="Q6" s="7" t="n"/>
      <c r="R6" s="36" t="n"/>
      <c r="S6" s="36" t="n"/>
      <c r="T6" s="4" t="n"/>
      <c r="U6" s="37" t="n"/>
      <c r="V6" s="4" t="n"/>
      <c r="W6" s="47" t="n"/>
      <c r="X6" s="8">
        <f>Y5</f>
        <v/>
      </c>
      <c r="Y6" s="4" t="n">
        <v>49</v>
      </c>
      <c r="Z6" s="6">
        <f>Y6-X6</f>
        <v/>
      </c>
      <c r="AA6" s="7" t="n"/>
      <c r="AB6" s="7" t="n"/>
      <c r="AC6" s="36" t="n"/>
      <c r="AD6" s="36" t="n"/>
      <c r="AE6" s="4" t="n"/>
      <c r="AF6" s="37" t="n"/>
      <c r="AG6" s="4" t="n"/>
      <c r="AH6" s="47" t="n"/>
    </row>
    <row r="7">
      <c r="A7" s="68">
        <f>A6+1</f>
        <v/>
      </c>
      <c r="B7" s="75">
        <f>C6</f>
        <v/>
      </c>
      <c r="C7" s="75" t="n">
        <v>1567</v>
      </c>
      <c r="D7" s="77">
        <f>C7-B7</f>
        <v/>
      </c>
      <c r="E7" s="78" t="n"/>
      <c r="F7" s="78" t="n"/>
      <c r="G7" s="79" t="n"/>
      <c r="H7" s="79" t="n"/>
      <c r="I7" s="75" t="n"/>
      <c r="J7" s="75" t="n"/>
      <c r="K7" s="75" t="n"/>
      <c r="L7" s="80" t="n"/>
      <c r="M7" s="62">
        <f>N6</f>
        <v/>
      </c>
      <c r="N7" s="5" t="n">
        <v>198</v>
      </c>
      <c r="O7" s="6">
        <f>N7-M7</f>
        <v/>
      </c>
      <c r="P7" s="7" t="n"/>
      <c r="Q7" s="7" t="n"/>
      <c r="R7" s="36" t="n"/>
      <c r="S7" s="36" t="n"/>
      <c r="T7" s="4" t="n">
        <v>300</v>
      </c>
      <c r="U7" s="4" t="n">
        <v>195</v>
      </c>
      <c r="V7" s="4">
        <f>U7-U2</f>
        <v/>
      </c>
      <c r="W7" s="47">
        <f>T7/V7</f>
        <v/>
      </c>
      <c r="X7" s="8">
        <f>Y6</f>
        <v/>
      </c>
      <c r="Y7" s="4" t="n">
        <v>49</v>
      </c>
      <c r="Z7" s="6">
        <f>Y7-X7</f>
        <v/>
      </c>
      <c r="AA7" s="7" t="n"/>
      <c r="AB7" s="7" t="n"/>
      <c r="AC7" s="36" t="n"/>
      <c r="AD7" s="36" t="n"/>
      <c r="AE7" s="4" t="n"/>
      <c r="AF7" s="4" t="n"/>
      <c r="AG7" s="4" t="n"/>
      <c r="AH7" s="47" t="n"/>
    </row>
    <row r="8">
      <c r="A8" s="68">
        <f>A7+1</f>
        <v/>
      </c>
      <c r="B8" s="75">
        <f>C7</f>
        <v/>
      </c>
      <c r="C8" s="75" t="n">
        <v>1570</v>
      </c>
      <c r="D8" s="77">
        <f>C8-B8</f>
        <v/>
      </c>
      <c r="E8" s="78" t="n"/>
      <c r="F8" s="78" t="n"/>
      <c r="G8" s="79" t="n"/>
      <c r="H8" s="79" t="n"/>
      <c r="I8" s="75" t="n"/>
      <c r="J8" s="75" t="n"/>
      <c r="K8" s="75" t="n"/>
      <c r="L8" s="80" t="n"/>
      <c r="M8" s="62">
        <f>N7</f>
        <v/>
      </c>
      <c r="N8" s="5" t="n">
        <v>202</v>
      </c>
      <c r="O8" s="6">
        <f>N8-M8</f>
        <v/>
      </c>
      <c r="P8" s="7" t="n"/>
      <c r="Q8" s="7" t="n"/>
      <c r="R8" s="36" t="n"/>
      <c r="S8" s="36" t="n"/>
      <c r="T8" s="4" t="n"/>
      <c r="U8" s="4" t="n"/>
      <c r="V8" s="4" t="n"/>
      <c r="W8" s="47" t="n"/>
      <c r="X8" s="8">
        <f>Y7</f>
        <v/>
      </c>
      <c r="Y8" s="4" t="n">
        <v>49</v>
      </c>
      <c r="Z8" s="6">
        <f>Y8-X8</f>
        <v/>
      </c>
      <c r="AA8" s="7" t="n"/>
      <c r="AB8" s="7" t="n"/>
      <c r="AC8" s="36" t="n"/>
      <c r="AD8" s="36" t="n"/>
      <c r="AE8" s="4" t="n"/>
      <c r="AF8" s="4" t="n"/>
      <c r="AG8" s="4" t="n"/>
      <c r="AH8" s="47" t="n"/>
    </row>
    <row r="9">
      <c r="A9" s="68">
        <f>A8+1</f>
        <v/>
      </c>
      <c r="B9" s="75">
        <f>C8</f>
        <v/>
      </c>
      <c r="C9" s="75" t="n">
        <v>1576</v>
      </c>
      <c r="D9" s="77">
        <f>C9-B9</f>
        <v/>
      </c>
      <c r="E9" s="78" t="n"/>
      <c r="F9" s="78" t="n"/>
      <c r="G9" s="79" t="n"/>
      <c r="H9" s="79" t="n"/>
      <c r="I9" s="75" t="n">
        <v>192</v>
      </c>
      <c r="J9" s="75" t="n">
        <v>1572</v>
      </c>
      <c r="K9" s="75">
        <f>J9-J6</f>
        <v/>
      </c>
      <c r="L9" s="80">
        <f>I9/K9</f>
        <v/>
      </c>
      <c r="M9" s="62">
        <f>N8</f>
        <v/>
      </c>
      <c r="N9" s="5" t="n">
        <v>207</v>
      </c>
      <c r="O9" s="6">
        <f>N9-M9</f>
        <v/>
      </c>
      <c r="P9" s="7" t="n"/>
      <c r="Q9" s="7" t="n"/>
      <c r="R9" s="36" t="n"/>
      <c r="S9" s="35" t="n"/>
      <c r="T9" s="4" t="n"/>
      <c r="U9" s="4" t="n"/>
      <c r="V9" s="4" t="n"/>
      <c r="W9" s="47" t="n"/>
      <c r="X9" s="8">
        <f>Y8</f>
        <v/>
      </c>
      <c r="Y9" s="4" t="n">
        <v>51</v>
      </c>
      <c r="Z9" s="6">
        <f>Y9-X9</f>
        <v/>
      </c>
      <c r="AA9" s="7" t="n"/>
      <c r="AB9" s="7" t="n"/>
      <c r="AC9" s="36" t="n"/>
      <c r="AD9" s="35" t="n"/>
      <c r="AE9" s="4" t="n"/>
      <c r="AF9" s="4" t="n"/>
      <c r="AG9" s="4" t="n"/>
      <c r="AH9" s="47" t="n"/>
    </row>
    <row r="10">
      <c r="A10" s="68">
        <f>A9+1</f>
        <v/>
      </c>
      <c r="B10" s="75">
        <f>C9</f>
        <v/>
      </c>
      <c r="C10" s="75" t="n">
        <v>1578</v>
      </c>
      <c r="D10" s="77">
        <f>C10-B10</f>
        <v/>
      </c>
      <c r="E10" s="78" t="n"/>
      <c r="F10" s="78" t="n"/>
      <c r="G10" s="79" t="n"/>
      <c r="H10" s="79" t="n"/>
      <c r="I10" s="75" t="n"/>
      <c r="J10" s="75" t="n"/>
      <c r="K10" s="75" t="n"/>
      <c r="L10" s="80" t="n"/>
      <c r="M10" s="62">
        <f>N9</f>
        <v/>
      </c>
      <c r="N10" s="5" t="n">
        <v>212</v>
      </c>
      <c r="O10" s="6">
        <f>N10-M10</f>
        <v/>
      </c>
      <c r="P10" s="7" t="n"/>
      <c r="Q10" s="7" t="n"/>
      <c r="R10" s="36" t="n"/>
      <c r="S10" s="36" t="n"/>
      <c r="T10" s="4" t="n"/>
      <c r="U10" s="4" t="n"/>
      <c r="V10" s="4" t="n"/>
      <c r="W10" s="47" t="n"/>
      <c r="X10" s="8">
        <f>Y9</f>
        <v/>
      </c>
      <c r="Y10" s="4" t="n">
        <v>53</v>
      </c>
      <c r="Z10" s="6">
        <f>Y10-X10</f>
        <v/>
      </c>
      <c r="AA10" s="7" t="n"/>
      <c r="AB10" s="7" t="n"/>
      <c r="AC10" s="36" t="n"/>
      <c r="AD10" s="36" t="n"/>
      <c r="AE10" s="4" t="n"/>
      <c r="AF10" s="4" t="n"/>
      <c r="AG10" s="4" t="n"/>
      <c r="AH10" s="47" t="n"/>
    </row>
    <row r="11">
      <c r="A11" s="68">
        <f>A10+1</f>
        <v/>
      </c>
      <c r="B11" s="75">
        <f>C10</f>
        <v/>
      </c>
      <c r="C11" s="75" t="n">
        <v>1593</v>
      </c>
      <c r="D11" s="77">
        <f>C11-B11</f>
        <v/>
      </c>
      <c r="E11" s="78" t="n"/>
      <c r="F11" s="78" t="n"/>
      <c r="G11" s="79" t="n"/>
      <c r="H11" s="79" t="n"/>
      <c r="I11" s="75" t="n">
        <v>120</v>
      </c>
      <c r="J11" s="75" t="n">
        <v>1578</v>
      </c>
      <c r="K11" s="75">
        <f>J11-J9</f>
        <v/>
      </c>
      <c r="L11" s="80">
        <f>I11/K11</f>
        <v/>
      </c>
      <c r="M11" s="62">
        <f>N10</f>
        <v/>
      </c>
      <c r="N11" s="4" t="n">
        <v>214</v>
      </c>
      <c r="O11" s="6">
        <f>N11-M11</f>
        <v/>
      </c>
      <c r="P11" s="7" t="n"/>
      <c r="Q11" s="7" t="n"/>
      <c r="R11" s="36" t="n"/>
      <c r="S11" s="36" t="n"/>
      <c r="T11" s="4" t="n"/>
      <c r="U11" s="4" t="n"/>
      <c r="V11" s="4" t="n"/>
      <c r="W11" s="47" t="n"/>
      <c r="X11" s="8">
        <f>Y10</f>
        <v/>
      </c>
      <c r="Y11" s="4" t="n">
        <v>53</v>
      </c>
      <c r="Z11" s="6">
        <f>Y11-X11</f>
        <v/>
      </c>
      <c r="AA11" s="7" t="n"/>
      <c r="AB11" s="7" t="n"/>
      <c r="AC11" s="36" t="n"/>
      <c r="AD11" s="36" t="n"/>
      <c r="AE11" s="4" t="n"/>
      <c r="AF11" s="4" t="n"/>
      <c r="AG11" s="4" t="n"/>
      <c r="AH11" s="47" t="n"/>
    </row>
    <row r="12">
      <c r="A12" s="68">
        <f>A11+1</f>
        <v/>
      </c>
      <c r="B12" s="75">
        <f>C11</f>
        <v/>
      </c>
      <c r="C12" s="75" t="n">
        <v>1594</v>
      </c>
      <c r="D12" s="77">
        <f>C12-B12</f>
        <v/>
      </c>
      <c r="E12" s="78" t="n"/>
      <c r="F12" s="78" t="n"/>
      <c r="G12" s="79" t="n"/>
      <c r="H12" s="79" t="n"/>
      <c r="I12" s="75" t="n"/>
      <c r="J12" s="75" t="n"/>
      <c r="K12" s="75" t="n"/>
      <c r="L12" s="80" t="n"/>
      <c r="M12" s="62">
        <f>N11</f>
        <v/>
      </c>
      <c r="N12" s="4" t="n">
        <v>215</v>
      </c>
      <c r="O12" s="6">
        <f>N12-M12</f>
        <v/>
      </c>
      <c r="P12" s="7" t="n"/>
      <c r="Q12" s="7" t="n"/>
      <c r="R12" s="36" t="n"/>
      <c r="S12" s="36" t="n"/>
      <c r="T12" s="4" t="n"/>
      <c r="U12" s="4" t="n"/>
      <c r="V12" s="4" t="n"/>
      <c r="W12" s="47" t="n"/>
      <c r="X12" s="8">
        <f>Y11</f>
        <v/>
      </c>
      <c r="Y12" s="4" t="n">
        <v>53</v>
      </c>
      <c r="Z12" s="6">
        <f>Y12-X12</f>
        <v/>
      </c>
      <c r="AA12" s="7" t="n"/>
      <c r="AB12" s="7" t="n"/>
      <c r="AC12" s="36" t="n"/>
      <c r="AD12" s="36" t="n"/>
      <c r="AE12" s="4" t="n"/>
      <c r="AF12" s="4" t="n"/>
      <c r="AG12" s="4" t="n"/>
      <c r="AH12" s="47" t="n"/>
    </row>
    <row r="13">
      <c r="A13" s="68">
        <f>A12+1</f>
        <v/>
      </c>
      <c r="B13" s="75">
        <f>C12</f>
        <v/>
      </c>
      <c r="C13" s="75" t="n">
        <v>1598</v>
      </c>
      <c r="D13" s="77">
        <f>C13-B13</f>
        <v/>
      </c>
      <c r="E13" s="78" t="n"/>
      <c r="F13" s="78" t="n"/>
      <c r="G13" s="79" t="n"/>
      <c r="H13" s="79" t="n"/>
      <c r="I13" s="75" t="n">
        <v>245</v>
      </c>
      <c r="J13" s="75" t="n">
        <v>1595</v>
      </c>
      <c r="K13" s="75">
        <f>J13-J11</f>
        <v/>
      </c>
      <c r="L13" s="80">
        <f>I13/K13</f>
        <v/>
      </c>
      <c r="M13" s="62">
        <f>N12</f>
        <v/>
      </c>
      <c r="N13" s="4" t="n">
        <v>216</v>
      </c>
      <c r="O13" s="6">
        <f>N13-M13</f>
        <v/>
      </c>
      <c r="P13" s="7" t="n"/>
      <c r="Q13" s="7" t="n"/>
      <c r="R13" s="36" t="n"/>
      <c r="S13" s="35" t="n"/>
      <c r="T13" s="4" t="n"/>
      <c r="U13" s="4" t="n"/>
      <c r="V13" s="4" t="n"/>
      <c r="W13" s="47" t="n"/>
      <c r="X13" s="8">
        <f>Y12</f>
        <v/>
      </c>
      <c r="Y13" s="4" t="n">
        <v>53</v>
      </c>
      <c r="Z13" s="6">
        <f>Y13-X13</f>
        <v/>
      </c>
      <c r="AA13" s="7" t="n"/>
      <c r="AB13" s="7" t="n"/>
      <c r="AC13" s="36" t="n"/>
      <c r="AD13" s="35" t="n"/>
      <c r="AE13" s="4" t="n"/>
      <c r="AF13" s="4" t="n"/>
      <c r="AG13" s="4" t="n"/>
      <c r="AH13" s="47" t="n"/>
    </row>
    <row r="14">
      <c r="A14" s="68">
        <f>A13+1</f>
        <v/>
      </c>
      <c r="B14" s="75">
        <f>C13</f>
        <v/>
      </c>
      <c r="C14" s="75" t="n">
        <v>1608</v>
      </c>
      <c r="D14" s="77">
        <f>C14-B14</f>
        <v/>
      </c>
      <c r="E14" s="78" t="n"/>
      <c r="F14" s="78" t="n"/>
      <c r="G14" s="79" t="n"/>
      <c r="H14" s="79" t="n"/>
      <c r="I14" s="75" t="n"/>
      <c r="J14" s="75" t="n"/>
      <c r="K14" s="75" t="n"/>
      <c r="L14" s="80" t="n"/>
      <c r="M14" s="62">
        <f>N13</f>
        <v/>
      </c>
      <c r="N14" s="4" t="n">
        <v>221</v>
      </c>
      <c r="O14" s="6">
        <f>N14-M14</f>
        <v/>
      </c>
      <c r="P14" s="7" t="n"/>
      <c r="Q14" s="7" t="n"/>
      <c r="R14" s="36" t="n"/>
      <c r="S14" s="36" t="n"/>
      <c r="T14" s="4" t="n">
        <v>300</v>
      </c>
      <c r="U14" s="4" t="n">
        <v>217</v>
      </c>
      <c r="V14" s="4">
        <f>U14-U7</f>
        <v/>
      </c>
      <c r="W14" s="47">
        <f>T14/V14</f>
        <v/>
      </c>
      <c r="X14" s="8">
        <f>Y13</f>
        <v/>
      </c>
      <c r="Y14" s="4" t="n">
        <v>55</v>
      </c>
      <c r="Z14" s="6">
        <f>Y14-X14</f>
        <v/>
      </c>
      <c r="AA14" s="7" t="n"/>
      <c r="AB14" s="7" t="n"/>
      <c r="AC14" s="36" t="n"/>
      <c r="AD14" s="36" t="n"/>
      <c r="AE14" s="4" t="n"/>
      <c r="AF14" s="4" t="n"/>
      <c r="AG14" s="4" t="n"/>
      <c r="AH14" s="47" t="n"/>
    </row>
    <row r="15">
      <c r="A15" s="68">
        <f>A14+1</f>
        <v/>
      </c>
      <c r="B15" s="75">
        <f>C14</f>
        <v/>
      </c>
      <c r="C15" s="75" t="n">
        <v>1614</v>
      </c>
      <c r="D15" s="77">
        <f>C15-B15</f>
        <v/>
      </c>
      <c r="E15" s="78" t="n"/>
      <c r="F15" s="78" t="n"/>
      <c r="G15" s="79" t="n"/>
      <c r="H15" s="79" t="n"/>
      <c r="I15" s="75" t="n">
        <v>210</v>
      </c>
      <c r="J15" s="75" t="n">
        <v>1611</v>
      </c>
      <c r="K15" s="75">
        <f>J15-J13</f>
        <v/>
      </c>
      <c r="L15" s="80">
        <f>I15/K15</f>
        <v/>
      </c>
      <c r="M15" s="62">
        <f>N14</f>
        <v/>
      </c>
      <c r="N15" s="4" t="n">
        <v>227</v>
      </c>
      <c r="O15" s="6">
        <f>N15-M15</f>
        <v/>
      </c>
      <c r="P15" s="7" t="n"/>
      <c r="Q15" s="7" t="n"/>
      <c r="R15" s="36" t="n"/>
      <c r="S15" s="36" t="n"/>
      <c r="T15" s="4" t="n"/>
      <c r="U15" s="4" t="n"/>
      <c r="V15" s="4" t="n"/>
      <c r="W15" s="47" t="n"/>
      <c r="X15" s="8">
        <f>Y14</f>
        <v/>
      </c>
      <c r="Y15" s="4" t="n">
        <v>58</v>
      </c>
      <c r="Z15" s="6">
        <f>Y15-X15</f>
        <v/>
      </c>
      <c r="AA15" s="7" t="n"/>
      <c r="AB15" s="7" t="n"/>
      <c r="AC15" s="36" t="n"/>
      <c r="AD15" s="36" t="n"/>
      <c r="AE15" s="4" t="n"/>
      <c r="AF15" s="4" t="n"/>
      <c r="AG15" s="4" t="n"/>
      <c r="AH15" s="47" t="n"/>
    </row>
    <row r="16">
      <c r="A16" s="68">
        <f>A15+1</f>
        <v/>
      </c>
      <c r="B16" s="75">
        <f>C15</f>
        <v/>
      </c>
      <c r="C16" s="75" t="n">
        <v>1619</v>
      </c>
      <c r="D16" s="77">
        <f>C16-B16</f>
        <v/>
      </c>
      <c r="E16" s="78" t="n"/>
      <c r="F16" s="78" t="n"/>
      <c r="G16" s="79" t="n"/>
      <c r="H16" s="79" t="n"/>
      <c r="I16" s="75" t="n"/>
      <c r="J16" s="75" t="n"/>
      <c r="K16" s="75" t="n"/>
      <c r="L16" s="80" t="n"/>
      <c r="M16" s="62">
        <f>N15</f>
        <v/>
      </c>
      <c r="N16" s="4" t="n">
        <v>229</v>
      </c>
      <c r="O16" s="6">
        <f>N16-M16</f>
        <v/>
      </c>
      <c r="P16" s="7" t="n"/>
      <c r="Q16" s="7" t="n"/>
      <c r="R16" s="36" t="n"/>
      <c r="S16" s="36" t="n"/>
      <c r="T16" s="4" t="n"/>
      <c r="U16" s="4" t="n"/>
      <c r="V16" s="4" t="n"/>
      <c r="W16" s="47" t="n"/>
      <c r="X16" s="8">
        <f>Y15</f>
        <v/>
      </c>
      <c r="Y16" s="4" t="n">
        <v>58</v>
      </c>
      <c r="Z16" s="6">
        <f>Y16-X16</f>
        <v/>
      </c>
      <c r="AA16" s="7" t="n"/>
      <c r="AB16" s="7" t="n"/>
      <c r="AC16" s="36" t="n"/>
      <c r="AD16" s="36" t="n"/>
      <c r="AE16" s="4" t="n"/>
      <c r="AF16" s="4" t="n"/>
      <c r="AG16" s="4" t="n"/>
      <c r="AH16" s="47" t="n"/>
    </row>
    <row r="17">
      <c r="A17" s="68">
        <f>A16+1</f>
        <v/>
      </c>
      <c r="B17" s="75">
        <f>C16</f>
        <v/>
      </c>
      <c r="C17" s="75" t="n">
        <v>1630</v>
      </c>
      <c r="D17" s="77">
        <f>C17-B17</f>
        <v/>
      </c>
      <c r="E17" s="78" t="n"/>
      <c r="F17" s="78" t="n"/>
      <c r="G17" s="79" t="n"/>
      <c r="H17" s="79" t="n"/>
      <c r="I17" s="75" t="n"/>
      <c r="J17" s="75" t="n"/>
      <c r="K17" s="75" t="n"/>
      <c r="L17" s="80" t="n"/>
      <c r="M17" s="62">
        <f>N16</f>
        <v/>
      </c>
      <c r="N17" s="4" t="n">
        <v>232</v>
      </c>
      <c r="O17" s="6">
        <f>N17-M17</f>
        <v/>
      </c>
      <c r="P17" s="7" t="n"/>
      <c r="Q17" s="7" t="n"/>
      <c r="R17" s="36" t="n"/>
      <c r="S17" s="36" t="n"/>
      <c r="T17" s="4" t="n"/>
      <c r="U17" s="4" t="n"/>
      <c r="V17" s="4" t="n"/>
      <c r="W17" s="47" t="n"/>
      <c r="X17" s="8">
        <f>Y16</f>
        <v/>
      </c>
      <c r="Y17" s="4" t="n">
        <v>58</v>
      </c>
      <c r="Z17" s="6">
        <f>Y17-X17</f>
        <v/>
      </c>
      <c r="AA17" s="7" t="n"/>
      <c r="AB17" s="7" t="n"/>
      <c r="AC17" s="36" t="n"/>
      <c r="AD17" s="36" t="n"/>
      <c r="AE17" s="4" t="n"/>
      <c r="AF17" s="4" t="n"/>
      <c r="AG17" s="4" t="n"/>
      <c r="AH17" s="47" t="n"/>
    </row>
    <row r="18">
      <c r="A18" s="68">
        <f>A17+1</f>
        <v/>
      </c>
      <c r="B18" s="75">
        <f>C17</f>
        <v/>
      </c>
      <c r="C18" s="75" t="n">
        <v>1636</v>
      </c>
      <c r="D18" s="77">
        <f>C18-B18</f>
        <v/>
      </c>
      <c r="E18" s="78" t="n"/>
      <c r="F18" s="78" t="n"/>
      <c r="G18" s="79" t="n"/>
      <c r="H18" s="79" t="n"/>
      <c r="I18" s="75" t="n">
        <v>375</v>
      </c>
      <c r="J18" s="75" t="n">
        <v>1630</v>
      </c>
      <c r="K18" s="75">
        <f>J18-J15</f>
        <v/>
      </c>
      <c r="L18" s="80">
        <f>I18/K18</f>
        <v/>
      </c>
      <c r="M18" s="62">
        <f>N17</f>
        <v/>
      </c>
      <c r="N18" s="4" t="n">
        <v>238</v>
      </c>
      <c r="O18" s="6">
        <f>N18-M18</f>
        <v/>
      </c>
      <c r="P18" s="7" t="n"/>
      <c r="Q18" s="7" t="n"/>
      <c r="R18" s="36" t="n"/>
      <c r="S18" s="36" t="n"/>
      <c r="T18" s="4" t="n"/>
      <c r="U18" s="4" t="n"/>
      <c r="V18" s="4" t="n"/>
      <c r="W18" s="47" t="n"/>
      <c r="X18" s="8">
        <f>Y17</f>
        <v/>
      </c>
      <c r="Y18" s="4" t="n">
        <v>62</v>
      </c>
      <c r="Z18" s="6">
        <f>Y18-X18</f>
        <v/>
      </c>
      <c r="AA18" s="7" t="n"/>
      <c r="AB18" s="7" t="n"/>
      <c r="AC18" s="36" t="n"/>
      <c r="AD18" s="36" t="n"/>
      <c r="AE18" s="4" t="n"/>
      <c r="AF18" s="4" t="n"/>
      <c r="AG18" s="4" t="n"/>
      <c r="AH18" s="47" t="n"/>
    </row>
    <row r="19">
      <c r="A19" s="68">
        <f>A18+1</f>
        <v/>
      </c>
      <c r="B19" s="75">
        <f>C18</f>
        <v/>
      </c>
      <c r="C19" s="75" t="n">
        <v>1645</v>
      </c>
      <c r="D19" s="77">
        <f>C19-B19</f>
        <v/>
      </c>
      <c r="E19" s="78" t="n"/>
      <c r="F19" s="78" t="n"/>
      <c r="G19" s="79" t="n"/>
      <c r="H19" s="79" t="n"/>
      <c r="I19" s="75" t="n"/>
      <c r="J19" s="75" t="n"/>
      <c r="K19" s="75" t="n"/>
      <c r="L19" s="80" t="n"/>
      <c r="M19" s="62">
        <f>N18</f>
        <v/>
      </c>
      <c r="N19" s="4" t="n">
        <v>239</v>
      </c>
      <c r="O19" s="6">
        <f>N19-M19</f>
        <v/>
      </c>
      <c r="P19" s="7" t="n"/>
      <c r="Q19" s="7" t="n"/>
      <c r="R19" s="36" t="n"/>
      <c r="S19" s="36" t="n"/>
      <c r="T19" s="4" t="n"/>
      <c r="U19" s="4" t="n"/>
      <c r="V19" s="4" t="n"/>
      <c r="W19" s="47" t="n"/>
      <c r="X19" s="8">
        <f>Y18</f>
        <v/>
      </c>
      <c r="Y19" s="4" t="n">
        <v>62</v>
      </c>
      <c r="Z19" s="6">
        <f>Y19-X19</f>
        <v/>
      </c>
      <c r="AA19" s="7" t="n"/>
      <c r="AB19" s="7" t="n"/>
      <c r="AC19" s="36" t="n"/>
      <c r="AD19" s="36" t="n"/>
      <c r="AE19" s="4" t="n"/>
      <c r="AF19" s="4" t="n"/>
      <c r="AG19" s="4" t="n"/>
      <c r="AH19" s="47" t="n"/>
    </row>
    <row r="20">
      <c r="A20" s="68">
        <f>A19+1</f>
        <v/>
      </c>
      <c r="B20" s="75">
        <f>C19</f>
        <v/>
      </c>
      <c r="C20" s="75" t="n">
        <v>1655</v>
      </c>
      <c r="D20" s="77">
        <f>C20-B20</f>
        <v/>
      </c>
      <c r="E20" s="78" t="n"/>
      <c r="F20" s="78" t="n"/>
      <c r="G20" s="79" t="n"/>
      <c r="H20" s="79" t="n"/>
      <c r="I20" s="75" t="n"/>
      <c r="J20" s="75" t="n"/>
      <c r="K20" s="75" t="n"/>
      <c r="L20" s="80" t="n"/>
      <c r="M20" s="62">
        <f>N19</f>
        <v/>
      </c>
      <c r="N20" s="4" t="n">
        <v>245</v>
      </c>
      <c r="O20" s="6">
        <f>N20-M20</f>
        <v/>
      </c>
      <c r="P20" s="7" t="n"/>
      <c r="Q20" s="7" t="n"/>
      <c r="R20" s="36" t="n"/>
      <c r="S20" s="35" t="n"/>
      <c r="T20" s="4" t="n"/>
      <c r="U20" s="4" t="n"/>
      <c r="V20" s="4" t="n"/>
      <c r="W20" s="47" t="n"/>
      <c r="X20" s="8">
        <f>Y19</f>
        <v/>
      </c>
      <c r="Y20" s="4" t="n">
        <v>62</v>
      </c>
      <c r="Z20" s="6">
        <f>Y20-X20</f>
        <v/>
      </c>
      <c r="AA20" s="7" t="n"/>
      <c r="AB20" s="7" t="n"/>
      <c r="AC20" s="36" t="n"/>
      <c r="AD20" s="35" t="n"/>
      <c r="AE20" s="4" t="n"/>
      <c r="AF20" s="4" t="n"/>
      <c r="AG20" s="4" t="n"/>
      <c r="AH20" s="47" t="n"/>
    </row>
    <row r="21">
      <c r="A21" s="68">
        <f>A20+1</f>
        <v/>
      </c>
      <c r="B21" s="75">
        <f>C20</f>
        <v/>
      </c>
      <c r="C21" s="82" t="n">
        <v>1672</v>
      </c>
      <c r="D21" s="77">
        <f>C21-B21</f>
        <v/>
      </c>
      <c r="E21" s="78" t="n"/>
      <c r="F21" s="78" t="n"/>
      <c r="G21" s="79" t="n"/>
      <c r="H21" s="79" t="n"/>
      <c r="I21" s="75" t="n">
        <v>465</v>
      </c>
      <c r="J21" s="75" t="n">
        <v>1660</v>
      </c>
      <c r="K21" s="75">
        <f>J21-J18</f>
        <v/>
      </c>
      <c r="L21" s="80">
        <f>I21/K21</f>
        <v/>
      </c>
      <c r="M21" s="62">
        <f>N20</f>
        <v/>
      </c>
      <c r="N21" s="4" t="n">
        <v>252</v>
      </c>
      <c r="O21" s="6">
        <f>N21-M21</f>
        <v/>
      </c>
      <c r="P21" s="7" t="n"/>
      <c r="Q21" s="7" t="n"/>
      <c r="R21" s="36" t="n"/>
      <c r="S21" s="36" t="n"/>
      <c r="T21" s="4" t="n">
        <v>300</v>
      </c>
      <c r="U21" s="4" t="n">
        <v>249</v>
      </c>
      <c r="V21" s="4">
        <f>U21-U14</f>
        <v/>
      </c>
      <c r="W21" s="47">
        <f>T21/V21</f>
        <v/>
      </c>
      <c r="X21" s="8">
        <f>Y20</f>
        <v/>
      </c>
      <c r="Y21" s="4" t="n">
        <v>62</v>
      </c>
      <c r="Z21" s="6">
        <f>Y21-X21</f>
        <v/>
      </c>
      <c r="AA21" s="7" t="n"/>
      <c r="AB21" s="7" t="n"/>
      <c r="AC21" s="36" t="n"/>
      <c r="AD21" s="36" t="n"/>
      <c r="AE21" s="4" t="n">
        <v>100</v>
      </c>
      <c r="AF21" s="4" t="n">
        <v>62</v>
      </c>
      <c r="AG21" s="4" t="n"/>
      <c r="AH21" s="47" t="n"/>
    </row>
    <row r="22">
      <c r="A22" s="68">
        <f>A21+1</f>
        <v/>
      </c>
      <c r="B22" s="75">
        <f>C21</f>
        <v/>
      </c>
      <c r="C22" s="75" t="n">
        <v>1680</v>
      </c>
      <c r="D22" s="77">
        <f>C22-B22</f>
        <v/>
      </c>
      <c r="E22" s="78" t="n"/>
      <c r="F22" s="78" t="n"/>
      <c r="G22" s="79" t="n"/>
      <c r="H22" s="79" t="n"/>
      <c r="I22" s="75" t="n"/>
      <c r="J22" s="75" t="n"/>
      <c r="K22" s="75" t="n"/>
      <c r="L22" s="80" t="n"/>
      <c r="M22" s="62">
        <f>N21</f>
        <v/>
      </c>
      <c r="N22" s="4" t="n">
        <v>261</v>
      </c>
      <c r="O22" s="6">
        <f>N22-M22</f>
        <v/>
      </c>
      <c r="P22" s="7" t="n"/>
      <c r="Q22" s="7" t="n"/>
      <c r="R22" s="36" t="n"/>
      <c r="S22" s="36" t="n"/>
      <c r="T22" s="4" t="n"/>
      <c r="U22" s="4" t="n"/>
      <c r="V22" s="4" t="n"/>
      <c r="W22" s="47" t="n"/>
      <c r="X22" s="8">
        <f>Y21</f>
        <v/>
      </c>
      <c r="Y22" s="4" t="n">
        <v>66</v>
      </c>
      <c r="Z22" s="6">
        <f>Y22-X22</f>
        <v/>
      </c>
      <c r="AA22" s="7" t="n"/>
      <c r="AB22" s="7" t="n"/>
      <c r="AC22" s="36" t="n"/>
      <c r="AD22" s="36" t="n"/>
      <c r="AE22" s="4" t="n"/>
      <c r="AF22" s="4" t="n"/>
      <c r="AG22" s="4" t="n"/>
      <c r="AH22" s="47" t="n"/>
    </row>
    <row r="23">
      <c r="A23" s="68">
        <f>A22+1</f>
        <v/>
      </c>
      <c r="B23" s="75">
        <f>C22</f>
        <v/>
      </c>
      <c r="C23" s="75" t="n">
        <v>1685</v>
      </c>
      <c r="D23" s="77">
        <f>C23-B23</f>
        <v/>
      </c>
      <c r="E23" s="78" t="n"/>
      <c r="F23" s="78" t="n"/>
      <c r="G23" s="79" t="n"/>
      <c r="H23" s="79" t="n"/>
      <c r="I23" s="75" t="n">
        <v>283</v>
      </c>
      <c r="J23" s="75" t="n">
        <v>1681</v>
      </c>
      <c r="K23" s="75">
        <f>J23-J21</f>
        <v/>
      </c>
      <c r="L23" s="80">
        <f>I23/K23</f>
        <v/>
      </c>
      <c r="M23" s="62">
        <f>N22</f>
        <v/>
      </c>
      <c r="N23" s="4" t="n">
        <v>270</v>
      </c>
      <c r="O23" s="6">
        <f>N23-M23</f>
        <v/>
      </c>
      <c r="P23" s="7" t="n"/>
      <c r="Q23" s="7" t="n"/>
      <c r="R23" s="36" t="n"/>
      <c r="S23" s="36" t="n"/>
      <c r="T23" s="4" t="n"/>
      <c r="U23" s="4" t="n"/>
      <c r="V23" s="4" t="n"/>
      <c r="W23" s="47" t="n"/>
      <c r="X23" s="8">
        <f>Y22</f>
        <v/>
      </c>
      <c r="Y23" s="4" t="n">
        <v>66</v>
      </c>
      <c r="Z23" s="6">
        <f>Y23-X23</f>
        <v/>
      </c>
      <c r="AA23" s="7" t="n"/>
      <c r="AB23" s="7" t="n"/>
      <c r="AC23" s="36" t="n"/>
      <c r="AD23" s="36" t="n"/>
      <c r="AE23" s="4" t="n"/>
      <c r="AF23" s="4" t="n"/>
      <c r="AG23" s="4" t="n"/>
      <c r="AH23" s="47" t="n"/>
    </row>
    <row r="24">
      <c r="A24" s="68">
        <f>A23+1</f>
        <v/>
      </c>
      <c r="B24" s="75">
        <f>C23</f>
        <v/>
      </c>
      <c r="C24" s="75" t="n">
        <v>1694</v>
      </c>
      <c r="D24" s="77">
        <f>C24-B24</f>
        <v/>
      </c>
      <c r="E24" s="78" t="n"/>
      <c r="F24" s="78" t="n"/>
      <c r="G24" s="79" t="n"/>
      <c r="H24" s="79" t="n"/>
      <c r="I24" s="75" t="n"/>
      <c r="J24" s="75" t="n"/>
      <c r="K24" s="75" t="n"/>
      <c r="L24" s="80" t="n"/>
      <c r="M24" s="62">
        <f>N23</f>
        <v/>
      </c>
      <c r="N24" s="4" t="n">
        <v>276</v>
      </c>
      <c r="O24" s="6">
        <f>N24-M24</f>
        <v/>
      </c>
      <c r="P24" s="7" t="n"/>
      <c r="Q24" s="7" t="n"/>
      <c r="R24" s="36" t="n"/>
      <c r="S24" s="36" t="n"/>
      <c r="T24" s="4" t="n">
        <v>300</v>
      </c>
      <c r="U24" s="4" t="n">
        <v>271</v>
      </c>
      <c r="V24" s="4">
        <f>U24-U21</f>
        <v/>
      </c>
      <c r="W24" s="47">
        <f>T24/V24</f>
        <v/>
      </c>
      <c r="X24" s="8">
        <f>Y23</f>
        <v/>
      </c>
      <c r="Y24" s="4" t="n">
        <v>66</v>
      </c>
      <c r="Z24" s="6">
        <f>Y24-X24</f>
        <v/>
      </c>
      <c r="AA24" s="7" t="n"/>
      <c r="AB24" s="7" t="n"/>
      <c r="AC24" s="36" t="n"/>
      <c r="AD24" s="36" t="n"/>
      <c r="AE24" s="4" t="n"/>
      <c r="AF24" s="4" t="n"/>
      <c r="AG24" s="4" t="n"/>
      <c r="AH24" s="47" t="n"/>
    </row>
    <row r="25">
      <c r="A25" s="68">
        <f>A24+1</f>
        <v/>
      </c>
      <c r="B25" s="75">
        <f>C24</f>
        <v/>
      </c>
      <c r="C25" s="75" t="n">
        <v>1704</v>
      </c>
      <c r="D25" s="77">
        <f>C25-B25</f>
        <v/>
      </c>
      <c r="E25" s="78" t="n"/>
      <c r="F25" s="78" t="n"/>
      <c r="G25" s="79" t="n"/>
      <c r="H25" s="79" t="n"/>
      <c r="I25" s="75" t="n">
        <v>230</v>
      </c>
      <c r="J25" s="75" t="n">
        <v>1697</v>
      </c>
      <c r="K25" s="75">
        <f>J25-J23</f>
        <v/>
      </c>
      <c r="L25" s="80">
        <f>I25/K25</f>
        <v/>
      </c>
      <c r="M25" s="62">
        <f>N24</f>
        <v/>
      </c>
      <c r="N25" s="4" t="n">
        <v>284</v>
      </c>
      <c r="O25" s="6">
        <f>N25-M25</f>
        <v/>
      </c>
      <c r="P25" s="7" t="n"/>
      <c r="Q25" s="7" t="n"/>
      <c r="R25" s="36" t="n"/>
      <c r="S25" s="36" t="n"/>
      <c r="T25" s="4" t="n"/>
      <c r="U25" s="4" t="n"/>
      <c r="V25" s="4" t="n"/>
      <c r="W25" s="47" t="n"/>
      <c r="X25" s="8">
        <f>Y24</f>
        <v/>
      </c>
      <c r="Y25" s="4" t="n">
        <v>69</v>
      </c>
      <c r="Z25" s="6">
        <f>Y25-X25</f>
        <v/>
      </c>
      <c r="AA25" s="7" t="n"/>
      <c r="AB25" s="7" t="n"/>
      <c r="AC25" s="36" t="n"/>
      <c r="AD25" s="36" t="n"/>
      <c r="AE25" s="4" t="n"/>
      <c r="AF25" s="4" t="n"/>
      <c r="AG25" s="4" t="n"/>
      <c r="AH25" s="47" t="n"/>
    </row>
    <row r="26">
      <c r="A26" s="68">
        <f>A25+1</f>
        <v/>
      </c>
      <c r="B26" s="75">
        <f>C25</f>
        <v/>
      </c>
      <c r="C26" s="77" t="n">
        <v>1708</v>
      </c>
      <c r="D26" s="77">
        <f>C26-B26</f>
        <v/>
      </c>
      <c r="E26" s="78" t="n"/>
      <c r="F26" s="78" t="n"/>
      <c r="G26" s="79" t="n"/>
      <c r="H26" s="79" t="n"/>
      <c r="I26" s="75" t="n"/>
      <c r="J26" s="75" t="n"/>
      <c r="K26" s="75" t="n"/>
      <c r="L26" s="80" t="n"/>
      <c r="M26" s="62">
        <f>N25</f>
        <v/>
      </c>
      <c r="N26" s="4" t="n">
        <v>286</v>
      </c>
      <c r="O26" s="6">
        <f>N26-M26</f>
        <v/>
      </c>
      <c r="P26" s="7" t="n"/>
      <c r="Q26" s="7" t="n"/>
      <c r="R26" s="36" t="n"/>
      <c r="S26" s="36" t="n"/>
      <c r="T26" s="4" t="n"/>
      <c r="U26" s="4" t="n"/>
      <c r="V26" s="4" t="n"/>
      <c r="W26" s="47" t="n"/>
      <c r="X26" s="8">
        <f>Y25</f>
        <v/>
      </c>
      <c r="Y26" s="4" t="n">
        <v>71</v>
      </c>
      <c r="Z26" s="6">
        <f>Y26-X26</f>
        <v/>
      </c>
      <c r="AA26" s="7" t="n"/>
      <c r="AB26" s="7" t="n"/>
      <c r="AC26" s="36" t="n"/>
      <c r="AD26" s="36" t="n"/>
      <c r="AE26" s="4" t="n"/>
      <c r="AF26" s="4" t="n"/>
      <c r="AG26" s="4" t="n"/>
      <c r="AH26" s="47" t="n"/>
    </row>
    <row r="27">
      <c r="A27" s="68">
        <f>A26+1</f>
        <v/>
      </c>
      <c r="B27" s="75">
        <f>C26</f>
        <v/>
      </c>
      <c r="C27" s="75" t="n">
        <v>1717</v>
      </c>
      <c r="D27" s="77">
        <f>C27-B27</f>
        <v/>
      </c>
      <c r="E27" s="78" t="n"/>
      <c r="F27" s="78" t="n"/>
      <c r="G27" s="79" t="n"/>
      <c r="H27" s="79" t="n"/>
      <c r="I27" s="75" t="n"/>
      <c r="J27" s="75" t="n"/>
      <c r="K27" s="75" t="n"/>
      <c r="L27" s="80" t="n"/>
      <c r="M27" s="62">
        <f>N26</f>
        <v/>
      </c>
      <c r="N27" s="4" t="n">
        <v>290</v>
      </c>
      <c r="O27" s="6">
        <f>N27-M27</f>
        <v/>
      </c>
      <c r="P27" s="7" t="n"/>
      <c r="Q27" s="7" t="n"/>
      <c r="R27" s="36" t="n"/>
      <c r="S27" s="36" t="n"/>
      <c r="T27" s="4" t="n"/>
      <c r="U27" s="4" t="n"/>
      <c r="V27" s="4" t="n"/>
      <c r="W27" s="47" t="n"/>
      <c r="X27" s="8">
        <f>Y26</f>
        <v/>
      </c>
      <c r="Y27" s="4" t="n">
        <v>71</v>
      </c>
      <c r="Z27" s="6">
        <f>Y27-X27</f>
        <v/>
      </c>
      <c r="AA27" s="7" t="n"/>
      <c r="AB27" s="7" t="n"/>
      <c r="AC27" s="36" t="n"/>
      <c r="AD27" s="36" t="n"/>
      <c r="AE27" s="4" t="n"/>
      <c r="AF27" s="4" t="n"/>
      <c r="AG27" s="4" t="n"/>
      <c r="AH27" s="47" t="n"/>
    </row>
    <row r="28">
      <c r="A28" s="68">
        <f>A27+1</f>
        <v/>
      </c>
      <c r="B28" s="75">
        <f>C27</f>
        <v/>
      </c>
      <c r="C28" s="75" t="n">
        <v>1733</v>
      </c>
      <c r="D28" s="77">
        <f>C28-B28</f>
        <v/>
      </c>
      <c r="E28" s="78" t="n"/>
      <c r="F28" s="78" t="n"/>
      <c r="G28" s="79" t="n"/>
      <c r="H28" s="79" t="n"/>
      <c r="I28" s="75" t="n"/>
      <c r="J28" s="75" t="n"/>
      <c r="K28" s="75" t="n"/>
      <c r="L28" s="80" t="n"/>
      <c r="M28" s="62">
        <f>N27</f>
        <v/>
      </c>
      <c r="N28" s="4" t="n">
        <v>296</v>
      </c>
      <c r="O28" s="6">
        <f>N28-M28</f>
        <v/>
      </c>
      <c r="P28" s="7" t="n"/>
      <c r="Q28" s="7" t="n"/>
      <c r="R28" s="36" t="n"/>
      <c r="S28" s="35" t="n"/>
      <c r="T28" s="4" t="n">
        <v>200</v>
      </c>
      <c r="U28" s="4" t="n">
        <v>290</v>
      </c>
      <c r="V28" s="4">
        <f>U28-U24</f>
        <v/>
      </c>
      <c r="W28" s="47">
        <f>T28/V28</f>
        <v/>
      </c>
      <c r="X28" s="8">
        <f>Y27</f>
        <v/>
      </c>
      <c r="Y28" s="4" t="n">
        <v>73</v>
      </c>
      <c r="Z28" s="6">
        <f>Y28-X28</f>
        <v/>
      </c>
      <c r="AA28" s="7" t="n"/>
      <c r="AB28" s="7" t="n"/>
      <c r="AC28" s="36" t="n"/>
      <c r="AD28" s="35" t="n"/>
      <c r="AE28" s="4" t="n"/>
      <c r="AF28" s="4" t="n"/>
      <c r="AG28" s="4" t="n"/>
      <c r="AH28" s="47" t="n"/>
    </row>
    <row r="29">
      <c r="A29" s="68">
        <f>A28+1</f>
        <v/>
      </c>
      <c r="B29" s="75">
        <f>C28</f>
        <v/>
      </c>
      <c r="C29" s="75" t="n">
        <v>1750</v>
      </c>
      <c r="D29" s="77">
        <f>C29-B29</f>
        <v/>
      </c>
      <c r="E29" s="78" t="n"/>
      <c r="F29" s="78" t="n"/>
      <c r="G29" s="79" t="n"/>
      <c r="H29" s="79" t="n"/>
      <c r="I29" s="75" t="n">
        <v>213</v>
      </c>
      <c r="J29" s="75" t="n">
        <v>1741</v>
      </c>
      <c r="K29" s="75">
        <f>J29-J25</f>
        <v/>
      </c>
      <c r="L29" s="80">
        <f>I29/K29</f>
        <v/>
      </c>
      <c r="M29" s="62">
        <f>N28</f>
        <v/>
      </c>
      <c r="N29" s="4" t="n">
        <v>304</v>
      </c>
      <c r="O29" s="6">
        <f>N29-M29</f>
        <v/>
      </c>
      <c r="P29" s="7" t="n"/>
      <c r="Q29" s="7" t="n"/>
      <c r="R29" s="36" t="n"/>
      <c r="S29" s="36" t="n"/>
      <c r="T29" s="4" t="n"/>
      <c r="U29" s="4" t="n"/>
      <c r="V29" s="4" t="n"/>
      <c r="W29" s="47" t="n"/>
      <c r="X29" s="8">
        <f>Y28</f>
        <v/>
      </c>
      <c r="Y29" s="4" t="n">
        <v>76</v>
      </c>
      <c r="Z29" s="6">
        <f>Y29-X29</f>
        <v/>
      </c>
      <c r="AA29" s="7" t="n"/>
      <c r="AB29" s="7" t="n"/>
      <c r="AC29" s="36" t="n"/>
      <c r="AD29" s="36" t="n"/>
      <c r="AE29" s="4" t="n"/>
      <c r="AF29" s="4" t="n"/>
      <c r="AG29" s="4" t="n"/>
      <c r="AH29" s="47" t="n"/>
    </row>
    <row r="30">
      <c r="A30" s="68">
        <f>A29+1</f>
        <v/>
      </c>
      <c r="B30" s="75">
        <f>C29</f>
        <v/>
      </c>
      <c r="C30" s="75" t="n">
        <v>1756</v>
      </c>
      <c r="D30" s="77">
        <f>C30-B30</f>
        <v/>
      </c>
      <c r="E30" s="78" t="n"/>
      <c r="F30" s="78" t="n"/>
      <c r="G30" s="79" t="n"/>
      <c r="H30" s="79" t="n"/>
      <c r="I30" s="75" t="n"/>
      <c r="J30" s="75" t="n"/>
      <c r="K30" s="75" t="n"/>
      <c r="L30" s="80" t="n"/>
      <c r="M30" s="62">
        <f>N29</f>
        <v/>
      </c>
      <c r="N30" s="4" t="n">
        <v>306</v>
      </c>
      <c r="O30" s="6">
        <f>N30-M30</f>
        <v/>
      </c>
      <c r="P30" s="7" t="n"/>
      <c r="Q30" s="7" t="n"/>
      <c r="R30" s="36" t="n"/>
      <c r="S30" s="35" t="n"/>
      <c r="T30" s="4" t="n"/>
      <c r="U30" s="4" t="n"/>
      <c r="V30" s="4" t="n"/>
      <c r="W30" s="47" t="n"/>
      <c r="X30" s="8">
        <f>Y29</f>
        <v/>
      </c>
      <c r="Y30" s="4" t="n">
        <v>76</v>
      </c>
      <c r="Z30" s="6">
        <f>Y30-X30</f>
        <v/>
      </c>
      <c r="AA30" s="7" t="n"/>
      <c r="AB30" s="7" t="n"/>
      <c r="AC30" s="36" t="n"/>
      <c r="AD30" s="35" t="n"/>
      <c r="AE30" s="4" t="n"/>
      <c r="AF30" s="4" t="n"/>
      <c r="AG30" s="4" t="n"/>
      <c r="AH30" s="47" t="n"/>
    </row>
    <row r="31">
      <c r="A31" s="68">
        <f>A30+1</f>
        <v/>
      </c>
      <c r="B31" s="75">
        <f>C30</f>
        <v/>
      </c>
      <c r="C31" s="75" t="n">
        <v>1764</v>
      </c>
      <c r="D31" s="77">
        <f>C31-B31</f>
        <v/>
      </c>
      <c r="E31" s="78" t="n"/>
      <c r="F31" s="78" t="n"/>
      <c r="G31" s="79" t="n"/>
      <c r="H31" s="79" t="n"/>
      <c r="I31" s="75" t="n"/>
      <c r="J31" s="75" t="n"/>
      <c r="K31" s="75" t="n"/>
      <c r="L31" s="80" t="n"/>
      <c r="M31" s="62">
        <f>N30</f>
        <v/>
      </c>
      <c r="N31" s="4" t="n">
        <v>311</v>
      </c>
      <c r="O31" s="6">
        <f>N31-M31</f>
        <v/>
      </c>
      <c r="P31" s="7" t="n"/>
      <c r="Q31" s="7" t="n"/>
      <c r="R31" s="36" t="n"/>
      <c r="S31" s="35" t="n"/>
      <c r="T31" s="4" t="n"/>
      <c r="U31" s="4" t="n"/>
      <c r="V31" s="4" t="n"/>
      <c r="W31" s="47" t="n"/>
      <c r="X31" s="8">
        <f>Y30</f>
        <v/>
      </c>
      <c r="Y31" s="4" t="n">
        <v>76</v>
      </c>
      <c r="Z31" s="6">
        <f>Y31-X31</f>
        <v/>
      </c>
      <c r="AA31" s="7" t="n"/>
      <c r="AB31" s="7" t="n"/>
      <c r="AC31" s="36" t="n"/>
      <c r="AD31" s="35" t="n"/>
      <c r="AE31" s="4" t="n"/>
      <c r="AF31" s="4" t="n"/>
      <c r="AG31" s="4" t="n"/>
      <c r="AH31" s="47" t="n"/>
    </row>
    <row r="32">
      <c r="A32" s="68">
        <f>A31+1</f>
        <v/>
      </c>
      <c r="B32" s="75">
        <f>C31</f>
        <v/>
      </c>
      <c r="C32" s="75" t="n">
        <v>1774</v>
      </c>
      <c r="D32" s="77">
        <f>C32-B32</f>
        <v/>
      </c>
      <c r="E32" s="78" t="n"/>
      <c r="F32" s="78" t="n"/>
      <c r="G32" s="79" t="n"/>
      <c r="H32" s="79" t="n"/>
      <c r="I32" s="75" t="n">
        <v>341</v>
      </c>
      <c r="J32" s="75" t="n">
        <v>1765</v>
      </c>
      <c r="K32" s="75">
        <f>J32-J29</f>
        <v/>
      </c>
      <c r="L32" s="80">
        <f>I32/K32</f>
        <v/>
      </c>
      <c r="M32" s="62">
        <f>N31</f>
        <v/>
      </c>
      <c r="N32" s="4" t="n">
        <v>317</v>
      </c>
      <c r="O32" s="6">
        <f>N32-M32</f>
        <v/>
      </c>
      <c r="P32" s="7" t="n"/>
      <c r="Q32" s="7" t="n"/>
      <c r="R32" s="36" t="n"/>
      <c r="S32" s="35" t="n"/>
      <c r="T32" s="4" t="n">
        <v>200</v>
      </c>
      <c r="U32" s="4" t="n">
        <v>312</v>
      </c>
      <c r="V32" s="4">
        <f>U32-U28</f>
        <v/>
      </c>
      <c r="W32" s="47">
        <f>T32/V32</f>
        <v/>
      </c>
      <c r="X32" s="8">
        <f>Y31</f>
        <v/>
      </c>
      <c r="Y32" s="4" t="n">
        <v>80</v>
      </c>
      <c r="Z32" s="6">
        <f>Y32-X32</f>
        <v/>
      </c>
      <c r="AA32" s="7" t="n"/>
      <c r="AB32" s="7" t="n"/>
      <c r="AC32" s="36" t="n"/>
      <c r="AD32" s="35" t="n"/>
      <c r="AE32" s="4" t="n">
        <v>100</v>
      </c>
      <c r="AF32" s="4" t="n">
        <v>76</v>
      </c>
      <c r="AG32" s="4">
        <f>AF32-AF2</f>
        <v/>
      </c>
      <c r="AH32" s="47" t="n"/>
    </row>
    <row r="33">
      <c r="A33" s="68">
        <f>A32+1</f>
        <v/>
      </c>
      <c r="B33" s="75">
        <f>C32</f>
        <v/>
      </c>
      <c r="C33" s="86" t="n">
        <v>1790</v>
      </c>
      <c r="D33" s="87">
        <f>C33-B33</f>
        <v/>
      </c>
      <c r="E33" s="88" t="n"/>
      <c r="F33" s="88" t="n"/>
      <c r="G33" s="89" t="n"/>
      <c r="H33" s="89" t="n"/>
      <c r="I33" s="86" t="n"/>
      <c r="J33" s="86" t="n"/>
      <c r="K33" s="86" t="n"/>
      <c r="L33" s="90" t="n"/>
      <c r="M33" s="62">
        <f>N32</f>
        <v/>
      </c>
      <c r="N33" s="4" t="n">
        <v>317</v>
      </c>
      <c r="O33" s="6">
        <f>N33-M33</f>
        <v/>
      </c>
      <c r="P33" s="7" t="n"/>
      <c r="Q33" s="7" t="n"/>
      <c r="R33" s="36" t="n"/>
      <c r="S33" s="35" t="n"/>
      <c r="T33" s="4" t="n"/>
      <c r="U33" s="4" t="n"/>
      <c r="V33" s="4" t="n"/>
      <c r="W33" s="47" t="n"/>
      <c r="X33" s="8">
        <f>Y32</f>
        <v/>
      </c>
      <c r="Y33" s="4" t="n">
        <v>80</v>
      </c>
      <c r="Z33" s="6">
        <f>Y33-X33</f>
        <v/>
      </c>
      <c r="AA33" s="7" t="n"/>
      <c r="AB33" s="7" t="n"/>
      <c r="AC33" s="36" t="n"/>
      <c r="AD33" s="35" t="n"/>
      <c r="AE33" s="4" t="n"/>
      <c r="AF33" s="4" t="n"/>
      <c r="AG33" s="4" t="n"/>
      <c r="AH33" s="47" t="n"/>
    </row>
    <row r="34" ht="16.5" customHeight="1" thickBot="1">
      <c r="A34" s="69" t="n"/>
      <c r="B34" s="70" t="n"/>
      <c r="C34" s="71" t="n"/>
      <c r="D34" s="72">
        <f>SUM(D3:D33)</f>
        <v/>
      </c>
      <c r="E34" s="73" t="n"/>
      <c r="F34" s="73" t="n"/>
      <c r="G34" s="72">
        <f>SUBTOTAL(9,G3:G33)</f>
        <v/>
      </c>
      <c r="H34" s="73" t="n"/>
      <c r="I34" s="72">
        <f>SUM(I3:I33)</f>
        <v/>
      </c>
      <c r="J34" s="72" t="n"/>
      <c r="K34" s="72">
        <f>SUM(K3:K33)</f>
        <v/>
      </c>
      <c r="L34" s="74">
        <f>I34/K34</f>
        <v/>
      </c>
      <c r="M34" s="63" t="n"/>
      <c r="N34" s="13" t="n"/>
      <c r="O34" s="72">
        <f>SUM(O3:O33)</f>
        <v/>
      </c>
      <c r="P34" s="11" t="n"/>
      <c r="Q34" s="11" t="n"/>
      <c r="R34" s="72">
        <f>SUBTOTAL(9,R3:R33)</f>
        <v/>
      </c>
      <c r="S34" s="51" t="n"/>
      <c r="T34" s="72">
        <f>SUM(T3:T33)</f>
        <v/>
      </c>
      <c r="U34" s="14" t="n"/>
      <c r="V34" s="72">
        <f>SUM(V3:V33)</f>
        <v/>
      </c>
      <c r="W34" s="48">
        <f>T34/V34</f>
        <v/>
      </c>
      <c r="X34" s="12" t="n"/>
      <c r="Y34" s="13" t="n"/>
      <c r="Z34" s="72">
        <f>SUM(Z3:Z33)</f>
        <v/>
      </c>
      <c r="AA34" s="11" t="n"/>
      <c r="AB34" s="11" t="n"/>
      <c r="AC34" s="72">
        <f>SUBTOTAL(9,AC3:AC33)</f>
        <v/>
      </c>
      <c r="AD34" s="51" t="n"/>
      <c r="AE34" s="72">
        <f>SUM(AE3:AE33)</f>
        <v/>
      </c>
      <c r="AF34" s="14" t="n"/>
      <c r="AG34" s="72">
        <f>SUM(AG3:AG33)</f>
        <v/>
      </c>
      <c r="AH34" s="48">
        <f>AE34/AG34</f>
        <v/>
      </c>
    </row>
    <row r="35">
      <c r="I35" s="57" t="n"/>
      <c r="K35" s="57" t="n"/>
      <c r="T35" s="60" t="n"/>
      <c r="AH35" s="57" t="n"/>
    </row>
    <row r="36">
      <c r="X36" s="24" t="inlineStr">
        <is>
          <t>Monthly Hiring Charges</t>
        </is>
      </c>
      <c r="Y36" s="24" t="n">
        <v>900000</v>
      </c>
      <c r="AC36" t="n">
        <v>162</v>
      </c>
    </row>
    <row r="37">
      <c r="X37" s="24" t="inlineStr">
        <is>
          <t>1 Day Hiring Charges/31</t>
        </is>
      </c>
      <c r="Y37" s="24">
        <f>Y36/31</f>
        <v/>
      </c>
      <c r="AC37" t="n">
        <v>155</v>
      </c>
    </row>
    <row r="38">
      <c r="X38" s="24" t="inlineStr">
        <is>
          <t>30 Days Hiring Charges</t>
        </is>
      </c>
      <c r="Y38" s="24">
        <f>Y37*30</f>
        <v/>
      </c>
      <c r="AC38">
        <f>AC36-AC37</f>
        <v/>
      </c>
    </row>
    <row r="39">
      <c r="X39" s="24" t="inlineStr">
        <is>
          <t>Bill Amount</t>
        </is>
      </c>
      <c r="Y39" s="24">
        <f>Y38</f>
        <v/>
      </c>
    </row>
  </sheetData>
  <mergeCells count="2">
    <mergeCell ref="M1:N1"/>
    <mergeCell ref="X1:Y1"/>
  </mergeCells>
  <conditionalFormatting sqref="A3:A17 A19:A33">
    <cfRule type="duplicateValues" priority="2"/>
  </conditionalFormatting>
  <conditionalFormatting sqref="A18">
    <cfRule type="duplicateValues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pane xSplit="1" ySplit="2" topLeftCell="B30" activePane="bottomRight" state="frozen"/>
      <selection pane="topRight" activeCell="B1" sqref="B1"/>
      <selection pane="bottomLeft" activeCell="A3" sqref="A3"/>
      <selection pane="bottomRight" activeCell="A1" sqref="A1:AH33"/>
    </sheetView>
  </sheetViews>
  <sheetFormatPr baseColWidth="8" defaultRowHeight="15"/>
  <cols>
    <col width="13" customWidth="1" min="2" max="2"/>
    <col width="9.140625" customWidth="1" min="3" max="7"/>
    <col width="12.5703125" bestFit="1" customWidth="1" min="8" max="8"/>
    <col width="12.7109375" customWidth="1" min="9" max="9"/>
    <col width="18.140625" customWidth="1" min="24" max="24"/>
  </cols>
  <sheetData>
    <row r="1" ht="63" customHeight="1">
      <c r="A1" s="64" t="n">
        <v>46174</v>
      </c>
      <c r="B1" s="130" t="inlineStr">
        <is>
          <t>KAMLAR-DHIRPUR</t>
        </is>
      </c>
      <c r="C1" s="132" t="n"/>
      <c r="D1" s="10" t="inlineStr">
        <is>
          <t>Daily Running Hours</t>
        </is>
      </c>
      <c r="E1" s="10" t="inlineStr">
        <is>
          <t>Breakdown start time</t>
        </is>
      </c>
      <c r="F1" s="10" t="inlineStr">
        <is>
          <t>Breakdown end time</t>
        </is>
      </c>
      <c r="G1" s="49" t="inlineStr">
        <is>
          <t>Total Breakdown Hour</t>
        </is>
      </c>
      <c r="H1" s="49" t="inlineStr">
        <is>
          <t>Breakdown Reason</t>
        </is>
      </c>
      <c r="I1" s="130" t="inlineStr">
        <is>
          <t>DIESEL Consumed</t>
        </is>
      </c>
      <c r="J1" s="130" t="inlineStr">
        <is>
          <t>Diesel HMR</t>
        </is>
      </c>
      <c r="K1" s="130" t="inlineStr">
        <is>
          <t xml:space="preserve">Hours </t>
        </is>
      </c>
      <c r="L1" s="65" t="inlineStr">
        <is>
          <t>Average</t>
        </is>
      </c>
      <c r="M1" s="133" t="inlineStr">
        <is>
          <t>KAMLAR-1-Dalpatpur</t>
        </is>
      </c>
      <c r="N1" s="132" t="n"/>
      <c r="O1" s="10" t="inlineStr">
        <is>
          <t>Daily Running Hours</t>
        </is>
      </c>
      <c r="P1" s="10" t="inlineStr">
        <is>
          <t>Breakdown start time</t>
        </is>
      </c>
      <c r="Q1" s="10" t="inlineStr">
        <is>
          <t>Breakdown end time</t>
        </is>
      </c>
      <c r="R1" s="49" t="inlineStr">
        <is>
          <t>Total Breakdown Hour</t>
        </is>
      </c>
      <c r="S1" s="49" t="inlineStr">
        <is>
          <t>Breakdown Reason</t>
        </is>
      </c>
      <c r="T1" s="130" t="inlineStr">
        <is>
          <t>DIESEL
Filled</t>
        </is>
      </c>
      <c r="U1" s="130" t="inlineStr">
        <is>
          <t>Diesel HMR</t>
        </is>
      </c>
      <c r="V1" s="130" t="inlineStr">
        <is>
          <t xml:space="preserve">Hours </t>
        </is>
      </c>
      <c r="W1" s="45" t="inlineStr">
        <is>
          <t>Average</t>
        </is>
      </c>
      <c r="X1" s="130" t="inlineStr">
        <is>
          <t>KAMLAR-2-Dalpatpur</t>
        </is>
      </c>
      <c r="Y1" s="132" t="n"/>
      <c r="Z1" s="10" t="inlineStr">
        <is>
          <t>Daily Running Hours</t>
        </is>
      </c>
      <c r="AA1" s="10" t="inlineStr">
        <is>
          <t>Breakdown start time</t>
        </is>
      </c>
      <c r="AB1" s="10" t="inlineStr">
        <is>
          <t>Breakdown end time</t>
        </is>
      </c>
      <c r="AC1" s="49" t="inlineStr">
        <is>
          <t>Total Breakdown Hour</t>
        </is>
      </c>
      <c r="AD1" s="49" t="inlineStr">
        <is>
          <t>Breakdown Reason</t>
        </is>
      </c>
      <c r="AE1" s="130" t="inlineStr">
        <is>
          <t>DIESEL
Filled</t>
        </is>
      </c>
      <c r="AF1" s="130" t="inlineStr">
        <is>
          <t>Diesel HMR</t>
        </is>
      </c>
      <c r="AG1" s="130" t="inlineStr">
        <is>
          <t xml:space="preserve">Hours </t>
        </is>
      </c>
      <c r="AH1" s="45" t="inlineStr">
        <is>
          <t>Average</t>
        </is>
      </c>
    </row>
    <row r="2" ht="30" customHeight="1">
      <c r="A2" s="66" t="inlineStr">
        <is>
          <t>PREV  Stock</t>
        </is>
      </c>
      <c r="B2" s="38" t="inlineStr">
        <is>
          <t>Start HMR</t>
        </is>
      </c>
      <c r="C2" s="38" t="inlineStr">
        <is>
          <t>End HMR</t>
        </is>
      </c>
      <c r="D2" s="39" t="n"/>
      <c r="E2" s="39" t="n"/>
      <c r="F2" s="39" t="n"/>
      <c r="G2" s="50" t="n"/>
      <c r="H2" s="50" t="n"/>
      <c r="I2" s="38" t="n"/>
      <c r="J2" s="40" t="n">
        <v>1765</v>
      </c>
      <c r="K2" s="38" t="n"/>
      <c r="L2" s="67" t="n"/>
      <c r="M2" s="61" t="inlineStr">
        <is>
          <t>Start HMR</t>
        </is>
      </c>
      <c r="N2" s="38" t="inlineStr">
        <is>
          <t>End HMR</t>
        </is>
      </c>
      <c r="O2" s="39" t="n"/>
      <c r="P2" s="39" t="n"/>
      <c r="Q2" s="39" t="n"/>
      <c r="R2" s="50" t="n"/>
      <c r="S2" s="50" t="n"/>
      <c r="T2" s="38" t="n"/>
      <c r="U2" s="40" t="n">
        <v>312</v>
      </c>
      <c r="V2" s="38" t="n"/>
      <c r="W2" s="46" t="n"/>
      <c r="X2" s="38" t="inlineStr">
        <is>
          <t>Start HMR</t>
        </is>
      </c>
      <c r="Y2" s="38" t="inlineStr">
        <is>
          <t>End HMR</t>
        </is>
      </c>
      <c r="Z2" s="39" t="n"/>
      <c r="AA2" s="39" t="n"/>
      <c r="AB2" s="39" t="n"/>
      <c r="AC2" s="50" t="n"/>
      <c r="AD2" s="50" t="n"/>
      <c r="AE2" s="38" t="n"/>
      <c r="AF2" s="40" t="n">
        <v>76</v>
      </c>
      <c r="AG2" s="38" t="n"/>
      <c r="AH2" s="46" t="n"/>
    </row>
    <row r="3">
      <c r="A3" s="68" t="n">
        <v>46174</v>
      </c>
      <c r="B3" s="86" t="n">
        <v>1790</v>
      </c>
      <c r="C3" s="76" t="n">
        <v>1796</v>
      </c>
      <c r="D3" s="77">
        <f>C3-B3</f>
        <v/>
      </c>
      <c r="E3" s="78" t="n"/>
      <c r="F3" s="78" t="n"/>
      <c r="G3" s="79" t="n"/>
      <c r="H3" s="79" t="n"/>
      <c r="I3" s="75" t="n">
        <v>430</v>
      </c>
      <c r="J3" s="75" t="n">
        <v>1792</v>
      </c>
      <c r="K3" s="75">
        <f>J3-J2</f>
        <v/>
      </c>
      <c r="L3" s="80">
        <f>I3/K3</f>
        <v/>
      </c>
      <c r="M3" s="4" t="n">
        <v>317</v>
      </c>
      <c r="N3" s="5" t="n">
        <v>323</v>
      </c>
      <c r="O3" s="6">
        <f>N3-M3</f>
        <v/>
      </c>
      <c r="P3" s="7" t="n"/>
      <c r="Q3" s="7" t="n"/>
      <c r="R3" s="36" t="n"/>
      <c r="S3" s="36" t="n"/>
      <c r="T3" s="4" t="n"/>
      <c r="U3" s="4" t="n"/>
      <c r="V3" s="4" t="n"/>
      <c r="W3" s="47" t="n"/>
      <c r="X3" s="4" t="n">
        <v>80</v>
      </c>
      <c r="Y3" s="5" t="n">
        <v>80</v>
      </c>
      <c r="Z3" s="6">
        <f>Y3-X3</f>
        <v/>
      </c>
      <c r="AA3" s="7" t="n"/>
      <c r="AB3" s="7" t="n"/>
      <c r="AC3" s="36" t="n"/>
      <c r="AD3" s="36" t="n"/>
      <c r="AE3" s="4" t="n"/>
      <c r="AF3" s="4" t="n"/>
      <c r="AG3" s="4" t="n"/>
      <c r="AH3" s="47" t="n"/>
    </row>
    <row r="4">
      <c r="A4" s="68">
        <f>A3+1</f>
        <v/>
      </c>
      <c r="B4" s="75">
        <f>C3</f>
        <v/>
      </c>
      <c r="C4" s="76" t="n">
        <v>1804</v>
      </c>
      <c r="D4" s="77">
        <f>C4-B4</f>
        <v/>
      </c>
      <c r="E4" s="78" t="n"/>
      <c r="F4" s="78" t="n"/>
      <c r="G4" s="79" t="n"/>
      <c r="H4" s="79" t="n"/>
      <c r="I4" s="75" t="n"/>
      <c r="J4" s="75" t="n"/>
      <c r="K4" s="75" t="n"/>
      <c r="L4" s="80" t="n"/>
      <c r="M4" s="62">
        <f>N3</f>
        <v/>
      </c>
      <c r="N4" s="5" t="n">
        <v>328</v>
      </c>
      <c r="O4" s="6">
        <f>N4-M4</f>
        <v/>
      </c>
      <c r="P4" s="7" t="n"/>
      <c r="Q4" s="7" t="n"/>
      <c r="R4" s="36" t="n"/>
      <c r="S4" s="36" t="n"/>
      <c r="T4" s="4" t="n"/>
      <c r="U4" s="4" t="n"/>
      <c r="V4" s="4" t="n"/>
      <c r="W4" s="47" t="n"/>
      <c r="X4" s="8">
        <f>Y3</f>
        <v/>
      </c>
      <c r="Y4" s="5" t="n">
        <v>81</v>
      </c>
      <c r="Z4" s="6">
        <f>Y4-X4</f>
        <v/>
      </c>
      <c r="AA4" s="7" t="n"/>
      <c r="AB4" s="7" t="n"/>
      <c r="AC4" s="36" t="n"/>
      <c r="AD4" s="36" t="n"/>
      <c r="AE4" s="4" t="n"/>
      <c r="AF4" s="4" t="n"/>
      <c r="AG4" s="4" t="n"/>
      <c r="AH4" s="47" t="n"/>
    </row>
    <row r="5">
      <c r="A5" s="68">
        <f>A4+1</f>
        <v/>
      </c>
      <c r="B5" s="75">
        <f>C4</f>
        <v/>
      </c>
      <c r="C5" s="81" t="n">
        <v>1811</v>
      </c>
      <c r="D5" s="77">
        <f>C5-B5</f>
        <v/>
      </c>
      <c r="E5" s="78" t="n"/>
      <c r="F5" s="78" t="n"/>
      <c r="G5" s="79" t="n"/>
      <c r="H5" s="79" t="n"/>
      <c r="I5" s="75" t="n"/>
      <c r="J5" s="75" t="n"/>
      <c r="K5" s="75" t="n"/>
      <c r="L5" s="80" t="n"/>
      <c r="M5" s="62">
        <f>N4</f>
        <v/>
      </c>
      <c r="N5" s="5" t="n">
        <v>334</v>
      </c>
      <c r="O5" s="6">
        <f>N5-M5</f>
        <v/>
      </c>
      <c r="P5" s="7" t="n"/>
      <c r="Q5" s="7" t="n"/>
      <c r="R5" s="36" t="n"/>
      <c r="S5" s="36" t="n"/>
      <c r="T5" s="4" t="n">
        <v>450</v>
      </c>
      <c r="U5" s="4" t="n">
        <v>330</v>
      </c>
      <c r="V5" s="4">
        <f>U5-U2</f>
        <v/>
      </c>
      <c r="W5" s="47">
        <f>T5/V5</f>
        <v/>
      </c>
      <c r="X5" s="8">
        <f>Y4</f>
        <v/>
      </c>
      <c r="Y5" s="4" t="n">
        <v>83</v>
      </c>
      <c r="Z5" s="6">
        <f>Y5-X5</f>
        <v/>
      </c>
      <c r="AA5" s="7" t="n"/>
      <c r="AB5" s="7" t="n"/>
      <c r="AC5" s="36" t="n"/>
      <c r="AD5" s="36" t="n"/>
      <c r="AE5" s="4" t="n">
        <v>350</v>
      </c>
      <c r="AF5" s="4" t="inlineStr">
        <is>
          <t>N/F</t>
        </is>
      </c>
      <c r="AG5" s="4" t="n"/>
      <c r="AH5" s="47">
        <f>AE5/AG5</f>
        <v/>
      </c>
    </row>
    <row r="6">
      <c r="A6" s="68">
        <f>A5+1</f>
        <v/>
      </c>
      <c r="B6" s="75">
        <f>C5</f>
        <v/>
      </c>
      <c r="C6" s="75" t="n">
        <v>1815</v>
      </c>
      <c r="D6" s="77">
        <f>C6-B6</f>
        <v/>
      </c>
      <c r="E6" s="78" t="n"/>
      <c r="F6" s="78" t="n"/>
      <c r="G6" s="79" t="n"/>
      <c r="H6" s="79" t="n"/>
      <c r="I6" s="75" t="n"/>
      <c r="J6" s="81" t="n"/>
      <c r="K6" s="75" t="n"/>
      <c r="L6" s="80" t="n"/>
      <c r="M6" s="62">
        <f>N5</f>
        <v/>
      </c>
      <c r="N6" s="5" t="n">
        <v>338</v>
      </c>
      <c r="O6" s="6">
        <f>N6-M6</f>
        <v/>
      </c>
      <c r="P6" s="7" t="n"/>
      <c r="Q6" s="7" t="n"/>
      <c r="R6" s="36" t="n"/>
      <c r="S6" s="36" t="n"/>
      <c r="T6" s="4" t="n"/>
      <c r="U6" s="37" t="n"/>
      <c r="V6" s="4" t="n"/>
      <c r="W6" s="47" t="n"/>
      <c r="X6" s="8">
        <f>Y5</f>
        <v/>
      </c>
      <c r="Y6" s="4" t="n">
        <v>83</v>
      </c>
      <c r="Z6" s="6">
        <f>Y6-X6</f>
        <v/>
      </c>
      <c r="AA6" s="7" t="n"/>
      <c r="AB6" s="7" t="n"/>
      <c r="AC6" s="36" t="n"/>
      <c r="AD6" s="36" t="n"/>
      <c r="AE6" s="4" t="n"/>
      <c r="AF6" s="37" t="n"/>
      <c r="AG6" s="4" t="n"/>
      <c r="AH6" s="47" t="n"/>
    </row>
    <row r="7">
      <c r="A7" s="68">
        <f>A6+1</f>
        <v/>
      </c>
      <c r="B7" s="75">
        <f>C6</f>
        <v/>
      </c>
      <c r="C7" s="75" t="n">
        <v>1819</v>
      </c>
      <c r="D7" s="77">
        <f>C7-B7</f>
        <v/>
      </c>
      <c r="E7" s="78" t="n"/>
      <c r="F7" s="78" t="n"/>
      <c r="G7" s="79" t="n"/>
      <c r="H7" s="79" t="n"/>
      <c r="I7" s="75" t="n">
        <v>315</v>
      </c>
      <c r="J7" s="75" t="n">
        <v>1815</v>
      </c>
      <c r="K7" s="75">
        <f>J7-J3</f>
        <v/>
      </c>
      <c r="L7" s="80">
        <f>I7/K7</f>
        <v/>
      </c>
      <c r="M7" s="62">
        <f>N6</f>
        <v/>
      </c>
      <c r="N7" s="5" t="n">
        <v>344</v>
      </c>
      <c r="O7" s="6">
        <f>N7-M7</f>
        <v/>
      </c>
      <c r="P7" s="7" t="n"/>
      <c r="Q7" s="7" t="n"/>
      <c r="R7" s="36" t="n"/>
      <c r="S7" s="36" t="n"/>
      <c r="T7" s="4" t="n"/>
      <c r="U7" s="4" t="n"/>
      <c r="V7" s="4" t="n"/>
      <c r="W7" s="47" t="n"/>
      <c r="X7" s="8">
        <f>Y6</f>
        <v/>
      </c>
      <c r="Y7" s="4" t="n">
        <v>83</v>
      </c>
      <c r="Z7" s="6">
        <f>Y7-X7</f>
        <v/>
      </c>
      <c r="AA7" s="7" t="n"/>
      <c r="AB7" s="7" t="n"/>
      <c r="AC7" s="36" t="n"/>
      <c r="AD7" s="36" t="n"/>
      <c r="AE7" s="4" t="n"/>
      <c r="AF7" s="4" t="n"/>
      <c r="AG7" s="4" t="n"/>
      <c r="AH7" s="47" t="n"/>
    </row>
    <row r="8">
      <c r="A8" s="68">
        <f>A7+1</f>
        <v/>
      </c>
      <c r="B8" s="75">
        <f>C7</f>
        <v/>
      </c>
      <c r="C8" s="75" t="n">
        <v>1831</v>
      </c>
      <c r="D8" s="77">
        <f>C8-B8</f>
        <v/>
      </c>
      <c r="E8" s="78" t="n"/>
      <c r="F8" s="78" t="n"/>
      <c r="G8" s="79" t="n"/>
      <c r="H8" s="79" t="n"/>
      <c r="I8" s="75" t="n"/>
      <c r="J8" s="75" t="n"/>
      <c r="K8" s="75" t="n"/>
      <c r="L8" s="80" t="n"/>
      <c r="M8" s="62">
        <f>N7</f>
        <v/>
      </c>
      <c r="N8" s="5" t="n">
        <v>347</v>
      </c>
      <c r="O8" s="6">
        <f>N8-M8</f>
        <v/>
      </c>
      <c r="P8" s="7" t="n"/>
      <c r="Q8" s="7" t="n"/>
      <c r="R8" s="36" t="n"/>
      <c r="S8" s="36" t="n"/>
      <c r="T8" s="4" t="n"/>
      <c r="U8" s="4" t="n"/>
      <c r="V8" s="4" t="n"/>
      <c r="W8" s="47" t="n"/>
      <c r="X8" s="8">
        <f>Y7</f>
        <v/>
      </c>
      <c r="Y8" s="4" t="n">
        <v>83</v>
      </c>
      <c r="Z8" s="6">
        <f>Y8-X8</f>
        <v/>
      </c>
      <c r="AA8" s="7" t="n"/>
      <c r="AB8" s="7" t="n"/>
      <c r="AC8" s="36" t="n"/>
      <c r="AD8" s="36" t="n"/>
      <c r="AE8" s="4" t="n"/>
      <c r="AF8" s="4" t="n"/>
      <c r="AG8" s="4" t="n"/>
      <c r="AH8" s="47" t="n"/>
    </row>
    <row r="9">
      <c r="A9" s="68">
        <f>A8+1</f>
        <v/>
      </c>
      <c r="B9" s="75">
        <f>C8</f>
        <v/>
      </c>
      <c r="C9" s="75" t="n">
        <v>1834</v>
      </c>
      <c r="D9" s="77">
        <f>C9-B9</f>
        <v/>
      </c>
      <c r="E9" s="78" t="n"/>
      <c r="F9" s="78" t="n"/>
      <c r="G9" s="79" t="n"/>
      <c r="H9" s="79" t="n"/>
      <c r="I9" s="75" t="n"/>
      <c r="J9" s="75" t="n"/>
      <c r="K9" s="75" t="n"/>
      <c r="L9" s="80" t="n"/>
      <c r="M9" s="62">
        <f>N8</f>
        <v/>
      </c>
      <c r="N9" s="5" t="n">
        <v>349</v>
      </c>
      <c r="O9" s="6">
        <f>N9-M9</f>
        <v/>
      </c>
      <c r="P9" s="7" t="n"/>
      <c r="Q9" s="7" t="n"/>
      <c r="R9" s="36" t="n"/>
      <c r="S9" s="35" t="n"/>
      <c r="T9" s="4" t="n"/>
      <c r="U9" s="4" t="n"/>
      <c r="V9" s="4" t="n"/>
      <c r="W9" s="47" t="n"/>
      <c r="X9" s="8">
        <f>Y8</f>
        <v/>
      </c>
      <c r="Y9" s="4" t="n">
        <v>83</v>
      </c>
      <c r="Z9" s="6">
        <f>Y9-X9</f>
        <v/>
      </c>
      <c r="AA9" s="7" t="n"/>
      <c r="AB9" s="7" t="n"/>
      <c r="AC9" s="36" t="n"/>
      <c r="AD9" s="35" t="n"/>
      <c r="AE9" s="4" t="n"/>
      <c r="AF9" s="4" t="n"/>
      <c r="AG9" s="4" t="n"/>
      <c r="AH9" s="47" t="n"/>
    </row>
    <row r="10">
      <c r="A10" s="68">
        <f>A9+1</f>
        <v/>
      </c>
      <c r="B10" s="75">
        <f>C9</f>
        <v/>
      </c>
      <c r="C10" s="75" t="n">
        <v>1838</v>
      </c>
      <c r="D10" s="77">
        <f>C10-B10</f>
        <v/>
      </c>
      <c r="E10" s="78" t="n"/>
      <c r="F10" s="78" t="n"/>
      <c r="G10" s="79" t="n"/>
      <c r="H10" s="79" t="n"/>
      <c r="I10" s="75" t="n">
        <v>290</v>
      </c>
      <c r="J10" s="75" t="n">
        <v>1834</v>
      </c>
      <c r="K10" s="75">
        <f>J10-J7</f>
        <v/>
      </c>
      <c r="L10" s="80">
        <f>I10/K10</f>
        <v/>
      </c>
      <c r="M10" s="62">
        <f>N9</f>
        <v/>
      </c>
      <c r="N10" s="5" t="n">
        <v>360</v>
      </c>
      <c r="O10" s="6">
        <f>N10-M10</f>
        <v/>
      </c>
      <c r="P10" s="7" t="n"/>
      <c r="Q10" s="7" t="n"/>
      <c r="R10" s="36" t="n"/>
      <c r="S10" s="36" t="n"/>
      <c r="T10" s="4" t="n"/>
      <c r="U10" s="4" t="n"/>
      <c r="V10" s="4" t="n"/>
      <c r="W10" s="47" t="n"/>
      <c r="X10" s="8">
        <f>Y9</f>
        <v/>
      </c>
      <c r="Y10" s="4" t="n">
        <v>88</v>
      </c>
      <c r="Z10" s="6">
        <f>Y10-X10</f>
        <v/>
      </c>
      <c r="AA10" s="7" t="n"/>
      <c r="AB10" s="7" t="n"/>
      <c r="AC10" s="36" t="n"/>
      <c r="AD10" s="36" t="n"/>
      <c r="AE10" s="4" t="n"/>
      <c r="AF10" s="4" t="n"/>
      <c r="AG10" s="4" t="n"/>
      <c r="AH10" s="47" t="n"/>
    </row>
    <row r="11">
      <c r="A11" s="68">
        <f>A10+1</f>
        <v/>
      </c>
      <c r="B11" s="75">
        <f>C10</f>
        <v/>
      </c>
      <c r="C11" s="75" t="n">
        <v>1842</v>
      </c>
      <c r="D11" s="77">
        <f>C11-B11</f>
        <v/>
      </c>
      <c r="E11" s="78" t="n"/>
      <c r="F11" s="78" t="n"/>
      <c r="G11" s="79" t="n"/>
      <c r="H11" s="79" t="n"/>
      <c r="I11" s="75" t="n"/>
      <c r="J11" s="75" t="n"/>
      <c r="K11" s="75" t="n"/>
      <c r="L11" s="80" t="n"/>
      <c r="M11" s="62">
        <f>N10</f>
        <v/>
      </c>
      <c r="N11" s="4" t="n">
        <v>368</v>
      </c>
      <c r="O11" s="6">
        <f>N11-M11</f>
        <v/>
      </c>
      <c r="P11" s="7" t="n"/>
      <c r="Q11" s="7" t="n"/>
      <c r="R11" s="36" t="n"/>
      <c r="S11" s="36" t="n"/>
      <c r="T11" s="4" t="n"/>
      <c r="U11" s="4" t="n"/>
      <c r="V11" s="4" t="n"/>
      <c r="W11" s="47" t="n"/>
      <c r="X11" s="8">
        <f>Y10</f>
        <v/>
      </c>
      <c r="Y11" s="4" t="n">
        <v>89</v>
      </c>
      <c r="Z11" s="6">
        <f>Y11-X11</f>
        <v/>
      </c>
      <c r="AA11" s="7" t="n"/>
      <c r="AB11" s="7" t="n"/>
      <c r="AC11" s="36" t="n"/>
      <c r="AD11" s="36" t="n"/>
      <c r="AE11" s="4" t="n"/>
      <c r="AF11" s="4" t="n"/>
      <c r="AG11" s="4" t="n"/>
      <c r="AH11" s="47" t="n"/>
    </row>
    <row r="12">
      <c r="A12" s="68">
        <f>A11+1</f>
        <v/>
      </c>
      <c r="B12" s="75">
        <f>C11</f>
        <v/>
      </c>
      <c r="C12" s="75" t="n">
        <v>1847</v>
      </c>
      <c r="D12" s="77">
        <f>C12-B12</f>
        <v/>
      </c>
      <c r="E12" s="78" t="n"/>
      <c r="F12" s="78" t="n"/>
      <c r="G12" s="79" t="n"/>
      <c r="H12" s="79" t="n"/>
      <c r="I12" s="75" t="n"/>
      <c r="J12" s="75" t="n"/>
      <c r="K12" s="75" t="n"/>
      <c r="L12" s="80" t="n"/>
      <c r="M12" s="62">
        <f>N11</f>
        <v/>
      </c>
      <c r="N12" s="4" t="n">
        <v>373</v>
      </c>
      <c r="O12" s="6">
        <f>N12-M12</f>
        <v/>
      </c>
      <c r="P12" s="7" t="n"/>
      <c r="Q12" s="7" t="n"/>
      <c r="R12" s="36" t="n"/>
      <c r="S12" s="36" t="n"/>
      <c r="T12" s="4" t="n">
        <v>450</v>
      </c>
      <c r="U12" s="4" t="n">
        <v>368</v>
      </c>
      <c r="V12" s="4">
        <f>U12-U2</f>
        <v/>
      </c>
      <c r="W12" s="47">
        <f>T12/V12</f>
        <v/>
      </c>
      <c r="X12" s="8">
        <f>Y11</f>
        <v/>
      </c>
      <c r="Y12" s="4" t="n">
        <v>90</v>
      </c>
      <c r="Z12" s="6">
        <f>Y12-X12</f>
        <v/>
      </c>
      <c r="AA12" s="7" t="n"/>
      <c r="AB12" s="7" t="n"/>
      <c r="AC12" s="36" t="n"/>
      <c r="AD12" s="36" t="n"/>
      <c r="AE12" s="4" t="n"/>
      <c r="AF12" s="4" t="n"/>
      <c r="AG12" s="4" t="n"/>
      <c r="AH12" s="47" t="n"/>
    </row>
    <row r="13">
      <c r="A13" s="68">
        <f>A12+1</f>
        <v/>
      </c>
      <c r="B13" s="75">
        <f>C12</f>
        <v/>
      </c>
      <c r="C13" s="75" t="n">
        <v>1864</v>
      </c>
      <c r="D13" s="77">
        <f>C13-B13</f>
        <v/>
      </c>
      <c r="E13" s="78" t="n"/>
      <c r="F13" s="78" t="n"/>
      <c r="G13" s="79" t="n"/>
      <c r="H13" s="79" t="n"/>
      <c r="I13" s="75" t="n">
        <v>210</v>
      </c>
      <c r="J13" s="75" t="n">
        <v>1848</v>
      </c>
      <c r="K13" s="75">
        <f>J13-J10</f>
        <v/>
      </c>
      <c r="L13" s="80">
        <f>I13/K13</f>
        <v/>
      </c>
      <c r="M13" s="62">
        <f>N12</f>
        <v/>
      </c>
      <c r="N13" s="4" t="n">
        <v>381</v>
      </c>
      <c r="O13" s="6">
        <f>N13-M13</f>
        <v/>
      </c>
      <c r="P13" s="7" t="n"/>
      <c r="Q13" s="7" t="n"/>
      <c r="R13" s="36" t="n"/>
      <c r="S13" s="35" t="n"/>
      <c r="T13" s="4" t="n"/>
      <c r="U13" s="4" t="n"/>
      <c r="V13" s="4" t="n"/>
      <c r="W13" s="47" t="n"/>
      <c r="X13" s="8">
        <f>Y12</f>
        <v/>
      </c>
      <c r="Y13" s="4" t="n">
        <v>90</v>
      </c>
      <c r="Z13" s="6">
        <f>Y13-X13</f>
        <v/>
      </c>
      <c r="AA13" s="7" t="n"/>
      <c r="AB13" s="7" t="n"/>
      <c r="AC13" s="36" t="n"/>
      <c r="AD13" s="35" t="n"/>
      <c r="AE13" s="4" t="n"/>
      <c r="AF13" s="4" t="n"/>
      <c r="AG13" s="4" t="n"/>
      <c r="AH13" s="47" t="n"/>
    </row>
    <row r="14">
      <c r="A14" s="68">
        <f>A13+1</f>
        <v/>
      </c>
      <c r="B14" s="75">
        <f>C13</f>
        <v/>
      </c>
      <c r="C14" s="75" t="n">
        <v>1868</v>
      </c>
      <c r="D14" s="77">
        <f>C14-B14</f>
        <v/>
      </c>
      <c r="E14" s="78" t="n"/>
      <c r="F14" s="78" t="n"/>
      <c r="G14" s="79" t="n"/>
      <c r="H14" s="79" t="n"/>
      <c r="I14" s="75" t="n">
        <v>280</v>
      </c>
      <c r="J14" s="75" t="n">
        <v>1865</v>
      </c>
      <c r="K14" s="75">
        <f>J14-J13</f>
        <v/>
      </c>
      <c r="L14" s="80">
        <f>I14/K14</f>
        <v/>
      </c>
      <c r="M14" s="62">
        <f>N13</f>
        <v/>
      </c>
      <c r="N14" s="4" t="n">
        <v>389</v>
      </c>
      <c r="O14" s="6">
        <f>N14-M14</f>
        <v/>
      </c>
      <c r="P14" s="7" t="n"/>
      <c r="Q14" s="7" t="n"/>
      <c r="R14" s="36" t="n"/>
      <c r="S14" s="36" t="n"/>
      <c r="T14" s="4" t="n"/>
      <c r="U14" s="4" t="n"/>
      <c r="V14" s="4" t="n"/>
      <c r="W14" s="47" t="n"/>
      <c r="X14" s="8">
        <f>Y13</f>
        <v/>
      </c>
      <c r="Y14" s="4" t="n">
        <v>93</v>
      </c>
      <c r="Z14" s="6">
        <f>Y14-X14</f>
        <v/>
      </c>
      <c r="AA14" s="7" t="n"/>
      <c r="AB14" s="7" t="n"/>
      <c r="AC14" s="36" t="n"/>
      <c r="AD14" s="36" t="n"/>
      <c r="AE14" s="4" t="n"/>
      <c r="AF14" s="4" t="n"/>
      <c r="AG14" s="4" t="n"/>
      <c r="AH14" s="47" t="n"/>
    </row>
    <row r="15">
      <c r="A15" s="68">
        <f>A14+1</f>
        <v/>
      </c>
      <c r="B15" s="75">
        <f>C14</f>
        <v/>
      </c>
      <c r="C15" s="75" t="n">
        <v>1871</v>
      </c>
      <c r="D15" s="77">
        <f>C15-B15</f>
        <v/>
      </c>
      <c r="E15" s="78" t="n"/>
      <c r="F15" s="78" t="n"/>
      <c r="G15" s="79" t="n"/>
      <c r="H15" s="79" t="n"/>
      <c r="I15" s="75" t="n"/>
      <c r="J15" s="75" t="n"/>
      <c r="K15" s="75" t="n"/>
      <c r="L15" s="80" t="n"/>
      <c r="M15" s="62">
        <f>N14</f>
        <v/>
      </c>
      <c r="N15" s="4" t="n">
        <v>393</v>
      </c>
      <c r="O15" s="6">
        <f>N15-M15</f>
        <v/>
      </c>
      <c r="P15" s="7" t="n"/>
      <c r="Q15" s="7" t="n"/>
      <c r="R15" s="36" t="n"/>
      <c r="S15" s="36" t="n"/>
      <c r="T15" s="4" t="n"/>
      <c r="U15" s="4" t="n"/>
      <c r="V15" s="4" t="n"/>
      <c r="W15" s="47" t="n"/>
      <c r="X15" s="8">
        <f>Y14</f>
        <v/>
      </c>
      <c r="Y15" s="4" t="n">
        <v>93</v>
      </c>
      <c r="Z15" s="6">
        <f>Y15-X15</f>
        <v/>
      </c>
      <c r="AA15" s="7" t="n"/>
      <c r="AB15" s="7" t="n"/>
      <c r="AC15" s="36" t="n"/>
      <c r="AD15" s="36" t="n"/>
      <c r="AE15" s="4" t="n"/>
      <c r="AF15" s="4" t="n"/>
      <c r="AG15" s="4" t="n"/>
      <c r="AH15" s="47" t="n"/>
    </row>
    <row r="16">
      <c r="A16" s="68">
        <f>A15+1</f>
        <v/>
      </c>
      <c r="B16" s="75">
        <f>C15</f>
        <v/>
      </c>
      <c r="C16" s="75" t="n">
        <v>1873</v>
      </c>
      <c r="D16" s="77">
        <f>C16-B16</f>
        <v/>
      </c>
      <c r="E16" s="78" t="n"/>
      <c r="F16" s="78" t="n"/>
      <c r="G16" s="79" t="n"/>
      <c r="H16" s="79" t="n"/>
      <c r="I16" s="75" t="n"/>
      <c r="J16" s="75" t="n"/>
      <c r="K16" s="75" t="n"/>
      <c r="L16" s="80" t="n"/>
      <c r="M16" s="62">
        <f>N15</f>
        <v/>
      </c>
      <c r="N16" s="4" t="n">
        <v>393</v>
      </c>
      <c r="O16" s="6">
        <f>N16-M16</f>
        <v/>
      </c>
      <c r="P16" s="7" t="n"/>
      <c r="Q16" s="7" t="n"/>
      <c r="R16" s="36" t="n"/>
      <c r="S16" s="36" t="n"/>
      <c r="T16" s="4" t="n"/>
      <c r="U16" s="4" t="n"/>
      <c r="V16" s="4" t="n"/>
      <c r="W16" s="47" t="n"/>
      <c r="X16" s="8">
        <f>Y15</f>
        <v/>
      </c>
      <c r="Y16" s="4" t="n">
        <v>93</v>
      </c>
      <c r="Z16" s="6">
        <f>Y16-X16</f>
        <v/>
      </c>
      <c r="AA16" s="7" t="n"/>
      <c r="AB16" s="7" t="n"/>
      <c r="AC16" s="36" t="n"/>
      <c r="AD16" s="36" t="n"/>
      <c r="AE16" s="4" t="n"/>
      <c r="AF16" s="4" t="n"/>
      <c r="AG16" s="4" t="n"/>
      <c r="AH16" s="47" t="n"/>
    </row>
    <row r="17">
      <c r="A17" s="68">
        <f>A16+1</f>
        <v/>
      </c>
      <c r="B17" s="75">
        <f>C16</f>
        <v/>
      </c>
      <c r="C17" s="75" t="n">
        <v>1887</v>
      </c>
      <c r="D17" s="77">
        <f>C17-B17</f>
        <v/>
      </c>
      <c r="E17" s="78" t="n"/>
      <c r="F17" s="78" t="n"/>
      <c r="G17" s="79" t="n"/>
      <c r="H17" s="79" t="n"/>
      <c r="I17" s="75" t="n"/>
      <c r="J17" s="75" t="n"/>
      <c r="K17" s="75" t="n"/>
      <c r="L17" s="80" t="n"/>
      <c r="M17" s="62">
        <f>N16</f>
        <v/>
      </c>
      <c r="N17" s="4" t="n">
        <v>401</v>
      </c>
      <c r="O17" s="6">
        <f>N17-M17</f>
        <v/>
      </c>
      <c r="P17" s="7" t="n"/>
      <c r="Q17" s="7" t="n"/>
      <c r="R17" s="36" t="n"/>
      <c r="S17" s="36" t="n"/>
      <c r="T17" s="4" t="n"/>
      <c r="U17" s="4" t="n"/>
      <c r="V17" s="4" t="n"/>
      <c r="W17" s="47" t="n"/>
      <c r="X17" s="8">
        <f>Y16</f>
        <v/>
      </c>
      <c r="Y17" s="4" t="n">
        <v>93</v>
      </c>
      <c r="Z17" s="6">
        <f>Y17-X17</f>
        <v/>
      </c>
      <c r="AA17" s="7" t="n"/>
      <c r="AB17" s="7" t="n"/>
      <c r="AC17" s="36" t="n"/>
      <c r="AD17" s="36" t="n"/>
      <c r="AE17" s="4" t="n"/>
      <c r="AF17" s="4" t="n"/>
      <c r="AG17" s="4" t="n"/>
      <c r="AH17" s="47" t="n"/>
    </row>
    <row r="18">
      <c r="A18" s="68">
        <f>A17+1</f>
        <v/>
      </c>
      <c r="B18" s="75">
        <f>C17</f>
        <v/>
      </c>
      <c r="C18" s="75" t="n">
        <v>1892</v>
      </c>
      <c r="D18" s="77">
        <f>C18-B18</f>
        <v/>
      </c>
      <c r="E18" s="78" t="n"/>
      <c r="F18" s="78" t="n"/>
      <c r="G18" s="79" t="n"/>
      <c r="H18" s="79" t="n"/>
      <c r="I18" s="75" t="n">
        <v>301</v>
      </c>
      <c r="J18" s="75" t="n">
        <v>1888</v>
      </c>
      <c r="K18" s="75">
        <f>J18-J14</f>
        <v/>
      </c>
      <c r="L18" s="80">
        <f>I18/K18</f>
        <v/>
      </c>
      <c r="M18" s="62">
        <f>N17</f>
        <v/>
      </c>
      <c r="N18" s="4" t="n">
        <v>405</v>
      </c>
      <c r="O18" s="6">
        <f>N18-M18</f>
        <v/>
      </c>
      <c r="P18" s="7" t="n"/>
      <c r="Q18" s="7" t="n"/>
      <c r="R18" s="36" t="n"/>
      <c r="S18" s="36" t="n"/>
      <c r="T18" s="4" t="n"/>
      <c r="U18" s="4" t="n"/>
      <c r="V18" s="4" t="n"/>
      <c r="W18" s="47" t="n"/>
      <c r="X18" s="8">
        <f>Y17</f>
        <v/>
      </c>
      <c r="Y18" s="4" t="n">
        <v>93</v>
      </c>
      <c r="Z18" s="6">
        <f>Y18-X18</f>
        <v/>
      </c>
      <c r="AA18" s="7" t="n"/>
      <c r="AB18" s="7" t="n"/>
      <c r="AC18" s="36" t="n"/>
      <c r="AD18" s="36" t="n"/>
      <c r="AE18" s="4" t="n"/>
      <c r="AF18" s="4" t="n"/>
      <c r="AG18" s="4" t="n"/>
      <c r="AH18" s="47" t="n"/>
    </row>
    <row r="19">
      <c r="A19" s="68">
        <f>A18+1</f>
        <v/>
      </c>
      <c r="B19" s="75">
        <f>C18</f>
        <v/>
      </c>
      <c r="C19" s="75" t="n">
        <v>1899</v>
      </c>
      <c r="D19" s="77">
        <f>C19-B19</f>
        <v/>
      </c>
      <c r="E19" s="78" t="n"/>
      <c r="F19" s="78" t="n"/>
      <c r="G19" s="79" t="n"/>
      <c r="H19" s="79" t="n"/>
      <c r="I19" s="75" t="n"/>
      <c r="J19" s="75" t="n"/>
      <c r="K19" s="75" t="n"/>
      <c r="L19" s="80" t="n"/>
      <c r="M19" s="62">
        <f>N18</f>
        <v/>
      </c>
      <c r="N19" s="4" t="n">
        <v>411</v>
      </c>
      <c r="O19" s="6">
        <f>N19-M19</f>
        <v/>
      </c>
      <c r="P19" s="7" t="n"/>
      <c r="Q19" s="7" t="n"/>
      <c r="R19" s="36" t="n"/>
      <c r="S19" s="36" t="n"/>
      <c r="T19" s="120" t="n">
        <v>200</v>
      </c>
      <c r="U19" s="120" t="n">
        <v>405</v>
      </c>
      <c r="V19" s="120" t="inlineStr">
        <is>
          <t>N/F</t>
        </is>
      </c>
      <c r="W19" s="47" t="n"/>
      <c r="X19" s="8">
        <f>Y18</f>
        <v/>
      </c>
      <c r="Y19" s="4" t="n">
        <v>95</v>
      </c>
      <c r="Z19" s="6">
        <f>Y19-X19</f>
        <v/>
      </c>
      <c r="AA19" s="7" t="n"/>
      <c r="AB19" s="7" t="n"/>
      <c r="AC19" s="36" t="n"/>
      <c r="AD19" s="36" t="n"/>
      <c r="AE19" s="4" t="n"/>
      <c r="AF19" s="4" t="n"/>
      <c r="AG19" s="4" t="n"/>
      <c r="AH19" s="47" t="n"/>
    </row>
    <row r="20">
      <c r="A20" s="68">
        <f>A19+1</f>
        <v/>
      </c>
      <c r="B20" s="75">
        <f>C19</f>
        <v/>
      </c>
      <c r="C20" s="75" t="n">
        <v>1906</v>
      </c>
      <c r="D20" s="77">
        <f>C20-B20</f>
        <v/>
      </c>
      <c r="E20" s="78" t="n"/>
      <c r="F20" s="78" t="n"/>
      <c r="G20" s="79" t="n"/>
      <c r="H20" s="79" t="n"/>
      <c r="I20" s="75" t="n"/>
      <c r="J20" s="75" t="n"/>
      <c r="K20" s="75" t="n"/>
      <c r="L20" s="80" t="n"/>
      <c r="M20" s="62">
        <f>N19</f>
        <v/>
      </c>
      <c r="N20" s="4" t="n">
        <v>419</v>
      </c>
      <c r="O20" s="6">
        <f>N20-M20</f>
        <v/>
      </c>
      <c r="P20" s="7" t="n"/>
      <c r="Q20" s="7" t="n"/>
      <c r="R20" s="36" t="n"/>
      <c r="S20" s="35" t="n"/>
      <c r="T20" s="4" t="n">
        <v>380</v>
      </c>
      <c r="U20" s="4" t="n">
        <v>412</v>
      </c>
      <c r="V20" s="4">
        <f>U20-U12</f>
        <v/>
      </c>
      <c r="W20" s="47">
        <f>(T20+T19)/V20</f>
        <v/>
      </c>
      <c r="X20" s="8">
        <f>Y19</f>
        <v/>
      </c>
      <c r="Y20" s="4" t="n">
        <v>100</v>
      </c>
      <c r="Z20" s="6">
        <f>Y20-X20</f>
        <v/>
      </c>
      <c r="AA20" s="7" t="n"/>
      <c r="AB20" s="7" t="n"/>
      <c r="AC20" s="36" t="n"/>
      <c r="AD20" s="35" t="n"/>
      <c r="AE20" s="4" t="n">
        <v>170</v>
      </c>
      <c r="AF20" s="4" t="inlineStr">
        <is>
          <t>N/F</t>
        </is>
      </c>
      <c r="AG20" s="4" t="n"/>
      <c r="AH20" s="47">
        <f>AE20/AG20</f>
        <v/>
      </c>
    </row>
    <row r="21">
      <c r="A21" s="68">
        <f>A20+1</f>
        <v/>
      </c>
      <c r="B21" s="75">
        <f>C20</f>
        <v/>
      </c>
      <c r="C21" s="82" t="n">
        <v>1911</v>
      </c>
      <c r="D21" s="77">
        <f>C21-B21</f>
        <v/>
      </c>
      <c r="E21" s="78" t="n"/>
      <c r="F21" s="78" t="n"/>
      <c r="G21" s="79" t="n"/>
      <c r="H21" s="79" t="n"/>
      <c r="I21" s="75" t="n">
        <v>311</v>
      </c>
      <c r="J21" s="75" t="n">
        <v>1907</v>
      </c>
      <c r="K21" s="75">
        <f>J21-J18</f>
        <v/>
      </c>
      <c r="L21" s="80">
        <f>I21/K21</f>
        <v/>
      </c>
      <c r="M21" s="62">
        <f>N20</f>
        <v/>
      </c>
      <c r="N21" s="4" t="n">
        <v>424</v>
      </c>
      <c r="O21" s="6">
        <f>N21-M21</f>
        <v/>
      </c>
      <c r="P21" s="7" t="n"/>
      <c r="Q21" s="7" t="n"/>
      <c r="R21" s="36" t="n"/>
      <c r="S21" s="36" t="n"/>
      <c r="T21" s="4" t="n"/>
      <c r="U21" s="4" t="n"/>
      <c r="V21" s="4" t="n"/>
      <c r="W21" s="47" t="n"/>
      <c r="X21" s="8">
        <f>Y20</f>
        <v/>
      </c>
      <c r="Y21" s="4" t="n">
        <v>100</v>
      </c>
      <c r="Z21" s="6">
        <f>Y21-X21</f>
        <v/>
      </c>
      <c r="AA21" s="7" t="n"/>
      <c r="AB21" s="7" t="n"/>
      <c r="AC21" s="36" t="n"/>
      <c r="AD21" s="36" t="n"/>
      <c r="AE21" s="4" t="n"/>
      <c r="AF21" s="4" t="n"/>
      <c r="AG21" s="4" t="n"/>
      <c r="AH21" s="47" t="n"/>
    </row>
    <row r="22">
      <c r="A22" s="68">
        <f>A21+1</f>
        <v/>
      </c>
      <c r="B22" s="75">
        <f>C21</f>
        <v/>
      </c>
      <c r="C22" s="75" t="n">
        <v>1926</v>
      </c>
      <c r="D22" s="77">
        <f>C22-B22</f>
        <v/>
      </c>
      <c r="E22" s="78" t="n"/>
      <c r="F22" s="78" t="n"/>
      <c r="G22" s="79" t="n"/>
      <c r="H22" s="79" t="n"/>
      <c r="I22" s="75" t="n">
        <v>72.45999999999999</v>
      </c>
      <c r="J22" s="75" t="inlineStr">
        <is>
          <t>N/F</t>
        </is>
      </c>
      <c r="K22" s="75" t="n"/>
      <c r="L22" s="80" t="n"/>
      <c r="M22" s="62">
        <f>N21</f>
        <v/>
      </c>
      <c r="N22" s="4" t="n">
        <v>434</v>
      </c>
      <c r="O22" s="6">
        <f>N22-M22</f>
        <v/>
      </c>
      <c r="P22" s="7" t="n"/>
      <c r="Q22" s="7" t="n"/>
      <c r="R22" s="36" t="n"/>
      <c r="S22" s="36" t="n"/>
      <c r="T22" s="4" t="n"/>
      <c r="U22" s="4" t="n"/>
      <c r="V22" s="4" t="n"/>
      <c r="W22" s="47" t="n"/>
      <c r="X22" s="8">
        <f>Y21</f>
        <v/>
      </c>
      <c r="Y22" s="4" t="n">
        <v>104</v>
      </c>
      <c r="Z22" s="6">
        <f>Y22-X22</f>
        <v/>
      </c>
      <c r="AA22" s="7" t="n"/>
      <c r="AB22" s="7" t="n"/>
      <c r="AC22" s="36" t="n"/>
      <c r="AD22" s="36" t="n"/>
      <c r="AE22" s="4" t="n"/>
      <c r="AF22" s="4" t="n"/>
      <c r="AG22" s="4" t="n"/>
      <c r="AH22" s="47" t="n"/>
    </row>
    <row r="23">
      <c r="A23" s="68">
        <f>A22+1</f>
        <v/>
      </c>
      <c r="B23" s="75">
        <f>C22</f>
        <v/>
      </c>
      <c r="C23" s="75" t="n">
        <v>1943</v>
      </c>
      <c r="D23" s="77">
        <f>C23-B23</f>
        <v/>
      </c>
      <c r="E23" s="78" t="n"/>
      <c r="F23" s="78" t="n"/>
      <c r="G23" s="79" t="n"/>
      <c r="H23" s="79" t="n"/>
      <c r="I23" s="75" t="n"/>
      <c r="J23" s="75" t="n"/>
      <c r="K23" s="75" t="n"/>
      <c r="L23" s="80" t="n"/>
      <c r="M23" s="62">
        <f>N22</f>
        <v/>
      </c>
      <c r="N23" s="4" t="n">
        <v>436</v>
      </c>
      <c r="O23" s="6">
        <f>N23-M23</f>
        <v/>
      </c>
      <c r="P23" s="7" t="n"/>
      <c r="Q23" s="7" t="n"/>
      <c r="R23" s="36" t="n"/>
      <c r="S23" s="36" t="n"/>
      <c r="T23" s="4" t="n"/>
      <c r="U23" s="4" t="n"/>
      <c r="V23" s="4" t="n"/>
      <c r="W23" s="47" t="n"/>
      <c r="X23" s="8">
        <f>Y22</f>
        <v/>
      </c>
      <c r="Y23" s="4" t="n">
        <v>105</v>
      </c>
      <c r="Z23" s="6">
        <f>Y23-X23</f>
        <v/>
      </c>
      <c r="AA23" s="7" t="n"/>
      <c r="AB23" s="7" t="n"/>
      <c r="AC23" s="36" t="n"/>
      <c r="AD23" s="36" t="n"/>
      <c r="AE23" s="4" t="n"/>
      <c r="AF23" s="4" t="n"/>
      <c r="AG23" s="4" t="n"/>
      <c r="AH23" s="47" t="n"/>
    </row>
    <row r="24">
      <c r="A24" s="68">
        <f>A23+1</f>
        <v/>
      </c>
      <c r="B24" s="75">
        <f>C23</f>
        <v/>
      </c>
      <c r="C24" s="75" t="n">
        <v>1955</v>
      </c>
      <c r="D24" s="77">
        <f>C24-B24</f>
        <v/>
      </c>
      <c r="E24" s="78" t="n"/>
      <c r="F24" s="78" t="n"/>
      <c r="G24" s="79" t="n"/>
      <c r="H24" s="79" t="n"/>
      <c r="I24" s="75" t="n">
        <v>372</v>
      </c>
      <c r="J24" s="75" t="n">
        <v>1945</v>
      </c>
      <c r="K24" s="75">
        <f>J24-J21</f>
        <v/>
      </c>
      <c r="L24" s="80">
        <f>(I24+I22)/K24</f>
        <v/>
      </c>
      <c r="M24" s="62">
        <f>N23</f>
        <v/>
      </c>
      <c r="N24" s="4" t="n">
        <v>441</v>
      </c>
      <c r="O24" s="6">
        <f>N24-M24</f>
        <v/>
      </c>
      <c r="P24" s="7" t="n"/>
      <c r="Q24" s="7" t="n"/>
      <c r="R24" s="36" t="n"/>
      <c r="S24" s="36" t="n"/>
      <c r="T24" s="4" t="n"/>
      <c r="U24" s="4" t="n"/>
      <c r="V24" s="4" t="n"/>
      <c r="W24" s="47" t="n"/>
      <c r="X24" s="8">
        <f>Y23</f>
        <v/>
      </c>
      <c r="Y24" s="4" t="n">
        <v>107</v>
      </c>
      <c r="Z24" s="6">
        <f>Y24-X24</f>
        <v/>
      </c>
      <c r="AA24" s="7" t="n"/>
      <c r="AB24" s="7" t="n"/>
      <c r="AC24" s="36" t="n"/>
      <c r="AD24" s="36" t="n"/>
      <c r="AE24" s="4" t="n"/>
      <c r="AF24" s="4" t="n"/>
      <c r="AG24" s="4" t="n"/>
      <c r="AH24" s="47" t="n"/>
    </row>
    <row r="25">
      <c r="A25" s="68">
        <f>A24+1</f>
        <v/>
      </c>
      <c r="B25" s="75">
        <f>C24</f>
        <v/>
      </c>
      <c r="C25" s="75" t="n">
        <v>1966</v>
      </c>
      <c r="D25" s="77">
        <f>C25-B25</f>
        <v/>
      </c>
      <c r="E25" s="78" t="n"/>
      <c r="F25" s="78" t="n"/>
      <c r="G25" s="79" t="n"/>
      <c r="H25" s="79" t="n"/>
      <c r="I25" s="75" t="n"/>
      <c r="J25" s="75" t="n"/>
      <c r="K25" s="75" t="n"/>
      <c r="L25" s="80" t="n"/>
      <c r="M25" s="62">
        <f>N24</f>
        <v/>
      </c>
      <c r="N25" s="4" t="n">
        <v>452</v>
      </c>
      <c r="O25" s="6">
        <f>N25-M25</f>
        <v/>
      </c>
      <c r="P25" s="7" t="n"/>
      <c r="Q25" s="7" t="n"/>
      <c r="R25" s="36" t="n"/>
      <c r="S25" s="36" t="n"/>
      <c r="T25" s="4" t="n"/>
      <c r="U25" s="4" t="n"/>
      <c r="V25" s="4" t="n"/>
      <c r="W25" s="47" t="n"/>
      <c r="X25" s="8">
        <f>Y24</f>
        <v/>
      </c>
      <c r="Y25" s="4" t="n">
        <v>111</v>
      </c>
      <c r="Z25" s="6">
        <f>Y25-X25</f>
        <v/>
      </c>
      <c r="AA25" s="7" t="n"/>
      <c r="AB25" s="7" t="n"/>
      <c r="AC25" s="36" t="n"/>
      <c r="AD25" s="36" t="n"/>
      <c r="AE25" s="4" t="n"/>
      <c r="AF25" s="4" t="n"/>
      <c r="AG25" s="4" t="n"/>
      <c r="AH25" s="47" t="n"/>
    </row>
    <row r="26">
      <c r="A26" s="68">
        <f>A25+1</f>
        <v/>
      </c>
      <c r="B26" s="75">
        <f>C25</f>
        <v/>
      </c>
      <c r="C26" s="77" t="n">
        <v>1977</v>
      </c>
      <c r="D26" s="77">
        <f>C26-B26</f>
        <v/>
      </c>
      <c r="E26" s="78" t="n"/>
      <c r="F26" s="78" t="n"/>
      <c r="G26" s="79" t="n"/>
      <c r="H26" s="79" t="n"/>
      <c r="I26" s="75" t="n">
        <v>241</v>
      </c>
      <c r="J26" s="75" t="n">
        <v>1966</v>
      </c>
      <c r="K26" s="75">
        <f>J26-J24</f>
        <v/>
      </c>
      <c r="L26" s="80">
        <f>I26/K26</f>
        <v/>
      </c>
      <c r="M26" s="62">
        <f>N25</f>
        <v/>
      </c>
      <c r="N26" s="4" t="n">
        <v>456</v>
      </c>
      <c r="O26" s="6">
        <f>N26-M26</f>
        <v/>
      </c>
      <c r="P26" s="7" t="n"/>
      <c r="Q26" s="7" t="n"/>
      <c r="R26" s="36" t="n"/>
      <c r="S26" s="36" t="n"/>
      <c r="T26" s="4">
        <f>440+30</f>
        <v/>
      </c>
      <c r="U26" s="4" t="n">
        <v>454</v>
      </c>
      <c r="V26" s="4">
        <f>U26-U20</f>
        <v/>
      </c>
      <c r="W26" s="47">
        <f>T26/V26</f>
        <v/>
      </c>
      <c r="X26" s="8">
        <f>Y25</f>
        <v/>
      </c>
      <c r="Y26" s="4" t="n">
        <v>111</v>
      </c>
      <c r="Z26" s="6">
        <f>Y26-X26</f>
        <v/>
      </c>
      <c r="AA26" s="7" t="n"/>
      <c r="AB26" s="7" t="n"/>
      <c r="AC26" s="36" t="n"/>
      <c r="AD26" s="36" t="n"/>
      <c r="AE26" s="4" t="n">
        <v>215</v>
      </c>
      <c r="AF26" s="4" t="n">
        <v>111</v>
      </c>
      <c r="AG26" s="4">
        <f>AF26-AF2</f>
        <v/>
      </c>
      <c r="AH26" s="47">
        <f>(AE26+AE20+AE5)/AG26</f>
        <v/>
      </c>
    </row>
    <row r="27">
      <c r="A27" s="68">
        <f>A26+1</f>
        <v/>
      </c>
      <c r="B27" s="75">
        <f>C26</f>
        <v/>
      </c>
      <c r="C27" s="75" t="n">
        <v>1987</v>
      </c>
      <c r="D27" s="77">
        <f>C27-B27</f>
        <v/>
      </c>
      <c r="E27" s="78" t="n">
        <v>0.4097222222222222</v>
      </c>
      <c r="F27" s="78" t="n">
        <v>0.7847222222222222</v>
      </c>
      <c r="G27" s="79">
        <f>F27-E27</f>
        <v/>
      </c>
      <c r="H27" s="79" t="inlineStr">
        <is>
          <t>Tyre puncher</t>
        </is>
      </c>
      <c r="I27" s="75" t="n">
        <v>145</v>
      </c>
      <c r="J27" s="75" t="n">
        <v>1978</v>
      </c>
      <c r="K27" s="75">
        <f>J27-J24</f>
        <v/>
      </c>
      <c r="L27" s="80">
        <f>I27/K27</f>
        <v/>
      </c>
      <c r="M27" s="62">
        <f>N26</f>
        <v/>
      </c>
      <c r="N27" s="4" t="n">
        <v>462</v>
      </c>
      <c r="O27" s="6">
        <f>N27-M27</f>
        <v/>
      </c>
      <c r="P27" s="7" t="n"/>
      <c r="Q27" s="7" t="n"/>
      <c r="R27" s="36" t="n"/>
      <c r="S27" s="36" t="n"/>
      <c r="T27" s="120" t="n"/>
      <c r="U27" s="120" t="n"/>
      <c r="V27" s="120" t="n"/>
      <c r="W27" s="47" t="n"/>
      <c r="X27" s="8">
        <f>Y26</f>
        <v/>
      </c>
      <c r="Y27" s="4" t="n">
        <v>116</v>
      </c>
      <c r="Z27" s="6">
        <f>Y27-X27</f>
        <v/>
      </c>
      <c r="AA27" s="7" t="n"/>
      <c r="AB27" s="7" t="n"/>
      <c r="AC27" s="36" t="n"/>
      <c r="AD27" s="36" t="n"/>
      <c r="AE27" s="4" t="n"/>
      <c r="AF27" s="4" t="n"/>
      <c r="AG27" s="4" t="n"/>
      <c r="AH27" s="47" t="n"/>
    </row>
    <row r="28">
      <c r="A28" s="68">
        <f>A27+1</f>
        <v/>
      </c>
      <c r="B28" s="75">
        <f>C27</f>
        <v/>
      </c>
      <c r="C28" s="75" t="n">
        <v>1992</v>
      </c>
      <c r="D28" s="77">
        <f>C28-B28</f>
        <v/>
      </c>
      <c r="E28" s="78" t="n"/>
      <c r="F28" s="78" t="n"/>
      <c r="G28" s="79" t="n"/>
      <c r="H28" s="79" t="n"/>
      <c r="I28" s="75" t="n"/>
      <c r="J28" s="75" t="n"/>
      <c r="K28" s="75" t="n"/>
      <c r="L28" s="80" t="n"/>
      <c r="M28" s="62">
        <f>N27</f>
        <v/>
      </c>
      <c r="N28" s="4" t="n">
        <v>463</v>
      </c>
      <c r="O28" s="6">
        <f>N28-M28</f>
        <v/>
      </c>
      <c r="P28" s="7" t="n"/>
      <c r="Q28" s="7" t="n"/>
      <c r="R28" s="36" t="n"/>
      <c r="S28" s="35" t="n"/>
      <c r="T28" s="4" t="n"/>
      <c r="U28" s="4" t="n"/>
      <c r="V28" s="4" t="n"/>
      <c r="W28" s="47" t="n"/>
      <c r="X28" s="8">
        <f>Y27</f>
        <v/>
      </c>
      <c r="Y28" s="4" t="n">
        <v>116</v>
      </c>
      <c r="Z28" s="6">
        <f>Y28-X28</f>
        <v/>
      </c>
      <c r="AA28" s="7" t="n"/>
      <c r="AB28" s="7" t="n"/>
      <c r="AC28" s="36" t="n"/>
      <c r="AD28" s="35" t="n"/>
      <c r="AE28" s="4" t="n"/>
      <c r="AF28" s="4" t="n"/>
      <c r="AG28" s="4" t="n"/>
      <c r="AH28" s="47" t="n"/>
    </row>
    <row r="29">
      <c r="A29" s="68">
        <f>A28+1</f>
        <v/>
      </c>
      <c r="B29" s="75">
        <f>C28</f>
        <v/>
      </c>
      <c r="C29" s="75" t="n">
        <v>1998</v>
      </c>
      <c r="D29" s="77">
        <f>C29-B29</f>
        <v/>
      </c>
      <c r="E29" s="78" t="n"/>
      <c r="F29" s="78" t="n"/>
      <c r="G29" s="79" t="n"/>
      <c r="H29" s="79" t="n"/>
      <c r="I29" s="75" t="n">
        <v>133.69</v>
      </c>
      <c r="J29" s="75" t="n">
        <v>1993</v>
      </c>
      <c r="K29" s="75">
        <f>J29-J27</f>
        <v/>
      </c>
      <c r="L29" s="80">
        <f>I29/K29</f>
        <v/>
      </c>
      <c r="M29" s="62">
        <f>N28</f>
        <v/>
      </c>
      <c r="N29" s="4" t="n">
        <v>468</v>
      </c>
      <c r="O29" s="6">
        <f>N29-M29</f>
        <v/>
      </c>
      <c r="P29" s="7" t="n"/>
      <c r="Q29" s="7" t="n"/>
      <c r="R29" s="36" t="n"/>
      <c r="S29" s="36" t="n"/>
      <c r="T29" s="4" t="n"/>
      <c r="U29" s="4" t="n"/>
      <c r="V29" s="4" t="n"/>
      <c r="W29" s="47" t="n"/>
      <c r="X29" s="8">
        <f>Y28</f>
        <v/>
      </c>
      <c r="Y29" s="4" t="n">
        <v>116</v>
      </c>
      <c r="Z29" s="6">
        <f>Y29-X29</f>
        <v/>
      </c>
      <c r="AA29" s="7" t="n"/>
      <c r="AB29" s="7" t="n"/>
      <c r="AC29" s="36" t="n"/>
      <c r="AD29" s="36" t="n"/>
      <c r="AE29" s="4" t="n"/>
      <c r="AF29" s="4" t="n"/>
      <c r="AG29" s="4" t="n"/>
      <c r="AH29" s="47" t="n"/>
    </row>
    <row r="30">
      <c r="A30" s="68">
        <f>A29+1</f>
        <v/>
      </c>
      <c r="B30" s="75">
        <f>C29</f>
        <v/>
      </c>
      <c r="C30" s="75" t="n">
        <v>2001</v>
      </c>
      <c r="D30" s="77">
        <f>C30-B30</f>
        <v/>
      </c>
      <c r="E30" s="78" t="n"/>
      <c r="F30" s="78" t="n"/>
      <c r="G30" s="79" t="n"/>
      <c r="H30" s="79" t="n"/>
      <c r="I30" s="75" t="n"/>
      <c r="J30" s="75" t="n"/>
      <c r="K30" s="75" t="n"/>
      <c r="L30" s="80" t="n"/>
      <c r="M30" s="62">
        <f>N29</f>
        <v/>
      </c>
      <c r="N30" s="4" t="n">
        <v>469</v>
      </c>
      <c r="O30" s="6">
        <f>N30-M30</f>
        <v/>
      </c>
      <c r="P30" s="7" t="n"/>
      <c r="Q30" s="7" t="n"/>
      <c r="R30" s="36" t="n"/>
      <c r="S30" s="35" t="n"/>
      <c r="T30" s="4" t="n"/>
      <c r="U30" s="4" t="n"/>
      <c r="V30" s="4" t="n"/>
      <c r="W30" s="47" t="n"/>
      <c r="X30" s="8">
        <f>Y29</f>
        <v/>
      </c>
      <c r="Y30" s="4" t="n">
        <v>116</v>
      </c>
      <c r="Z30" s="6">
        <f>Y30-X30</f>
        <v/>
      </c>
      <c r="AA30" s="7" t="n"/>
      <c r="AB30" s="7" t="n"/>
      <c r="AC30" s="36" t="n"/>
      <c r="AD30" s="35" t="n"/>
      <c r="AE30" s="4" t="n"/>
      <c r="AF30" s="4" t="n"/>
      <c r="AG30" s="4" t="n"/>
      <c r="AH30" s="47" t="n"/>
    </row>
    <row r="31">
      <c r="A31" s="68">
        <f>A30+1</f>
        <v/>
      </c>
      <c r="B31" s="75">
        <f>C30</f>
        <v/>
      </c>
      <c r="C31" s="75" t="n">
        <v>2014</v>
      </c>
      <c r="D31" s="77">
        <f>C31-B31</f>
        <v/>
      </c>
      <c r="E31" s="78" t="n"/>
      <c r="F31" s="78" t="n"/>
      <c r="G31" s="79" t="n"/>
      <c r="H31" s="79" t="n"/>
      <c r="I31" s="75" t="n">
        <v>180</v>
      </c>
      <c r="J31" s="75" t="n">
        <v>2001</v>
      </c>
      <c r="K31" s="75">
        <f>J31-J29</f>
        <v/>
      </c>
      <c r="L31" s="80">
        <f>I31/K31</f>
        <v/>
      </c>
      <c r="M31" s="62">
        <f>N30</f>
        <v/>
      </c>
      <c r="N31" s="4" t="n">
        <v>479</v>
      </c>
      <c r="O31" s="6">
        <f>N31-M31</f>
        <v/>
      </c>
      <c r="P31" s="7" t="n"/>
      <c r="Q31" s="7" t="n"/>
      <c r="R31" s="36" t="n"/>
      <c r="S31" s="35" t="n"/>
      <c r="T31" s="4" t="n"/>
      <c r="U31" s="4" t="n"/>
      <c r="V31" s="4" t="n"/>
      <c r="W31" s="47" t="n"/>
      <c r="X31" s="8">
        <f>Y30</f>
        <v/>
      </c>
      <c r="Y31" s="4" t="n">
        <v>121</v>
      </c>
      <c r="Z31" s="6">
        <f>Y31-X31</f>
        <v/>
      </c>
      <c r="AA31" s="7" t="n"/>
      <c r="AB31" s="7" t="n"/>
      <c r="AC31" s="36" t="n"/>
      <c r="AD31" s="35" t="n"/>
      <c r="AE31" s="4" t="n"/>
      <c r="AF31" s="4" t="n"/>
      <c r="AG31" s="4" t="n"/>
      <c r="AH31" s="47" t="n"/>
    </row>
    <row r="32">
      <c r="A32" s="68">
        <f>A31+1</f>
        <v/>
      </c>
      <c r="B32" s="75">
        <f>C31</f>
        <v/>
      </c>
      <c r="C32" s="75" t="n">
        <v>2025</v>
      </c>
      <c r="D32" s="77">
        <f>C32-B32</f>
        <v/>
      </c>
      <c r="E32" s="78" t="n"/>
      <c r="F32" s="78" t="n"/>
      <c r="G32" s="79" t="n"/>
      <c r="H32" s="79" t="n"/>
      <c r="I32" s="75" t="n"/>
      <c r="J32" s="75" t="n"/>
      <c r="K32" s="75" t="n"/>
      <c r="L32" s="80" t="n"/>
      <c r="M32" s="62">
        <f>N31</f>
        <v/>
      </c>
      <c r="N32" s="4" t="n">
        <v>485</v>
      </c>
      <c r="O32" s="6">
        <f>N32-M32</f>
        <v/>
      </c>
      <c r="P32" s="7" t="n"/>
      <c r="Q32" s="7" t="n"/>
      <c r="R32" s="36" t="n"/>
      <c r="S32" s="35" t="n"/>
      <c r="T32" s="4" t="n">
        <v>45</v>
      </c>
      <c r="U32" s="4" t="n">
        <v>480</v>
      </c>
      <c r="V32" s="4" t="n"/>
      <c r="W32" s="47" t="n"/>
      <c r="X32" s="8">
        <f>Y31</f>
        <v/>
      </c>
      <c r="Y32" s="4" t="n">
        <v>123</v>
      </c>
      <c r="Z32" s="6">
        <f>Y32-X32</f>
        <v/>
      </c>
      <c r="AA32" s="7" t="n"/>
      <c r="AB32" s="7" t="n"/>
      <c r="AC32" s="36" t="n"/>
      <c r="AD32" s="35" t="n"/>
      <c r="AE32" s="4" t="n"/>
      <c r="AF32" s="4" t="n"/>
      <c r="AG32" s="4" t="n"/>
      <c r="AH32" s="47" t="n"/>
    </row>
    <row r="33" ht="16.5" customHeight="1" thickBot="1">
      <c r="A33" s="69" t="n"/>
      <c r="B33" s="70" t="n"/>
      <c r="C33" s="71" t="n"/>
      <c r="D33" s="72">
        <f>SUM(D3:D32)</f>
        <v/>
      </c>
      <c r="E33" s="73" t="n"/>
      <c r="F33" s="73" t="n"/>
      <c r="G33" s="119">
        <f>SUBTOTAL(9,G3:G32)</f>
        <v/>
      </c>
      <c r="H33" s="73" t="n"/>
      <c r="I33" s="72">
        <f>SUM(I3:I32)</f>
        <v/>
      </c>
      <c r="J33" s="72" t="n"/>
      <c r="K33" s="72">
        <f>SUM(K3:K32)</f>
        <v/>
      </c>
      <c r="L33" s="74">
        <f>I33/K33</f>
        <v/>
      </c>
      <c r="M33" s="63" t="n"/>
      <c r="N33" s="13" t="n"/>
      <c r="O33" s="72">
        <f>SUM(O3:O32)</f>
        <v/>
      </c>
      <c r="P33" s="118" t="n"/>
      <c r="Q33" s="118" t="n"/>
      <c r="R33" s="72">
        <f>SUBTOTAL(9,R3:R32)</f>
        <v/>
      </c>
      <c r="S33" s="51" t="inlineStr">
        <is>
          <t>NO B/D.</t>
        </is>
      </c>
      <c r="T33" s="72">
        <f>SUM(T3:T32)</f>
        <v/>
      </c>
      <c r="U33" s="14" t="n"/>
      <c r="V33" s="72">
        <f>SUM(V3:V32)</f>
        <v/>
      </c>
      <c r="W33" s="48">
        <f>T33/V33</f>
        <v/>
      </c>
      <c r="X33" s="12" t="n"/>
      <c r="Y33" s="13" t="n"/>
      <c r="Z33" s="72">
        <f>SUM(Z3:Z32)</f>
        <v/>
      </c>
      <c r="AA33" s="118" t="n"/>
      <c r="AB33" s="117" t="n"/>
      <c r="AC33" s="72">
        <f>SUBTOTAL(9,AC3:AC32)</f>
        <v/>
      </c>
      <c r="AD33" s="51" t="inlineStr">
        <is>
          <t>NO B/D.</t>
        </is>
      </c>
      <c r="AE33" s="72">
        <f>SUM(AE3:AE32)</f>
        <v/>
      </c>
      <c r="AF33" s="14" t="n"/>
      <c r="AG33" s="72">
        <f>SUM(AG3:AG32)</f>
        <v/>
      </c>
      <c r="AH33" s="48">
        <f>AE33/AG33</f>
        <v/>
      </c>
    </row>
    <row r="34">
      <c r="I34" s="57" t="n"/>
      <c r="K34" s="57" t="n"/>
      <c r="T34" s="60" t="n"/>
      <c r="AE34">
        <f>AE33/Z33</f>
        <v/>
      </c>
      <c r="AG34">
        <f>AF32-AF21</f>
        <v/>
      </c>
      <c r="AH34" s="57">
        <f>AE33/AG34</f>
        <v/>
      </c>
    </row>
  </sheetData>
  <mergeCells count="3">
    <mergeCell ref="M1:N1"/>
    <mergeCell ref="B1:C1"/>
    <mergeCell ref="X1:Y1"/>
  </mergeCells>
  <conditionalFormatting sqref="A3:A17 A19:A32">
    <cfRule type="duplicateValues" priority="33"/>
  </conditionalFormatting>
  <conditionalFormatting sqref="A18">
    <cfRule type="duplicateValues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4"/>
  <sheetViews>
    <sheetView topLeftCell="A19" workbookViewId="0">
      <selection activeCell="AM33" sqref="AM33"/>
    </sheetView>
  </sheetViews>
  <sheetFormatPr baseColWidth="8" defaultRowHeight="15"/>
  <sheetData>
    <row r="1" ht="63" customHeight="1">
      <c r="A1" s="64" t="n">
        <v>46204</v>
      </c>
      <c r="B1" s="130" t="inlineStr">
        <is>
          <t>KAMLAR-DHIRPUR</t>
        </is>
      </c>
      <c r="C1" s="132" t="n"/>
      <c r="D1" s="10" t="inlineStr">
        <is>
          <t>Daily Running Hours</t>
        </is>
      </c>
      <c r="E1" s="10" t="inlineStr">
        <is>
          <t>Breakdown start time</t>
        </is>
      </c>
      <c r="F1" s="10" t="inlineStr">
        <is>
          <t>Breakdown end time</t>
        </is>
      </c>
      <c r="G1" s="49" t="inlineStr">
        <is>
          <t>Total Breakdown Hour</t>
        </is>
      </c>
      <c r="H1" s="49" t="inlineStr">
        <is>
          <t>Breakdown Reason</t>
        </is>
      </c>
      <c r="I1" s="130" t="inlineStr">
        <is>
          <t>DIESEL Consumed</t>
        </is>
      </c>
      <c r="J1" s="130" t="inlineStr">
        <is>
          <t>Diesel HMR</t>
        </is>
      </c>
      <c r="K1" s="130" t="inlineStr">
        <is>
          <t xml:space="preserve">Hours </t>
        </is>
      </c>
      <c r="L1" s="65" t="inlineStr">
        <is>
          <t>Average</t>
        </is>
      </c>
      <c r="M1" s="133" t="inlineStr">
        <is>
          <t>KAMLAR-1-Dalpatpur</t>
        </is>
      </c>
      <c r="N1" s="132" t="n"/>
      <c r="O1" s="10" t="inlineStr">
        <is>
          <t>Daily Running Hours</t>
        </is>
      </c>
      <c r="P1" s="10" t="inlineStr">
        <is>
          <t>Breakdown start time</t>
        </is>
      </c>
      <c r="Q1" s="10" t="inlineStr">
        <is>
          <t>Breakdown end time</t>
        </is>
      </c>
      <c r="R1" s="49" t="inlineStr">
        <is>
          <t>Total Breakdown Hour</t>
        </is>
      </c>
      <c r="S1" s="49" t="inlineStr">
        <is>
          <t>Breakdown Reason</t>
        </is>
      </c>
      <c r="T1" s="130" t="inlineStr">
        <is>
          <t>DIESEL
Filled</t>
        </is>
      </c>
      <c r="U1" s="130" t="inlineStr">
        <is>
          <t>Diesel HMR</t>
        </is>
      </c>
      <c r="V1" s="130" t="inlineStr">
        <is>
          <t xml:space="preserve">Hours </t>
        </is>
      </c>
      <c r="W1" s="45" t="inlineStr">
        <is>
          <t>Average</t>
        </is>
      </c>
      <c r="X1" s="130" t="inlineStr">
        <is>
          <t>KAMLAR-2-Dalpatpur</t>
        </is>
      </c>
      <c r="Y1" s="132" t="n"/>
      <c r="Z1" s="10" t="inlineStr">
        <is>
          <t>Daily Running Hours</t>
        </is>
      </c>
      <c r="AA1" s="10" t="inlineStr">
        <is>
          <t>Breakdown start time</t>
        </is>
      </c>
      <c r="AB1" s="10" t="inlineStr">
        <is>
          <t>Breakdown end time</t>
        </is>
      </c>
      <c r="AC1" s="49" t="inlineStr">
        <is>
          <t>Total Breakdown Hour</t>
        </is>
      </c>
      <c r="AD1" s="49" t="inlineStr">
        <is>
          <t>Breakdown Reason</t>
        </is>
      </c>
      <c r="AE1" s="130" t="inlineStr">
        <is>
          <t>DIESEL
Filled</t>
        </is>
      </c>
      <c r="AF1" s="130" t="inlineStr">
        <is>
          <t>Diesel HMR</t>
        </is>
      </c>
      <c r="AG1" s="130" t="inlineStr">
        <is>
          <t xml:space="preserve">Hours </t>
        </is>
      </c>
      <c r="AH1" s="45" t="inlineStr">
        <is>
          <t>Average</t>
        </is>
      </c>
    </row>
    <row r="2" ht="30" customHeight="1">
      <c r="A2" s="66" t="inlineStr">
        <is>
          <t>PREV  Stock</t>
        </is>
      </c>
      <c r="B2" s="38" t="inlineStr">
        <is>
          <t>Start HMR</t>
        </is>
      </c>
      <c r="C2" s="38" t="inlineStr">
        <is>
          <t>End HMR</t>
        </is>
      </c>
      <c r="D2" s="39" t="n"/>
      <c r="E2" s="39" t="n"/>
      <c r="F2" s="39" t="n"/>
      <c r="G2" s="50" t="n"/>
      <c r="H2" s="50" t="n"/>
      <c r="I2" s="38" t="n"/>
      <c r="J2" s="40" t="n">
        <v>2001</v>
      </c>
      <c r="K2" s="38" t="n"/>
      <c r="L2" s="67" t="n"/>
      <c r="M2" s="61" t="inlineStr">
        <is>
          <t>Start HMR</t>
        </is>
      </c>
      <c r="N2" s="38" t="inlineStr">
        <is>
          <t>End HMR</t>
        </is>
      </c>
      <c r="O2" s="39" t="n"/>
      <c r="P2" s="39" t="n"/>
      <c r="Q2" s="39" t="n"/>
      <c r="R2" s="50" t="n"/>
      <c r="S2" s="50" t="n"/>
      <c r="T2" s="38" t="n">
        <v>45</v>
      </c>
      <c r="U2" s="40" t="n">
        <v>454</v>
      </c>
      <c r="V2" s="38" t="n"/>
      <c r="W2" s="46" t="n"/>
      <c r="X2" s="38" t="inlineStr">
        <is>
          <t>Start HMR</t>
        </is>
      </c>
      <c r="Y2" s="38" t="inlineStr">
        <is>
          <t>End HMR</t>
        </is>
      </c>
      <c r="Z2" s="39" t="n"/>
      <c r="AA2" s="39" t="n"/>
      <c r="AB2" s="39" t="n"/>
      <c r="AC2" s="50" t="n"/>
      <c r="AD2" s="50" t="n"/>
      <c r="AE2" s="38" t="n"/>
      <c r="AF2" s="40" t="n">
        <v>111</v>
      </c>
      <c r="AG2" s="38" t="n"/>
      <c r="AH2" s="46" t="n"/>
    </row>
    <row r="3">
      <c r="A3" s="68" t="n">
        <v>46204</v>
      </c>
      <c r="B3" s="75" t="n">
        <v>2025</v>
      </c>
      <c r="C3" s="76" t="n">
        <v>2029</v>
      </c>
      <c r="D3" s="77">
        <f>C3-B3</f>
        <v/>
      </c>
      <c r="E3" s="78" t="n"/>
      <c r="F3" s="78" t="n"/>
      <c r="G3" s="79" t="n"/>
      <c r="H3" s="79" t="n"/>
      <c r="I3" s="75" t="n">
        <v>301</v>
      </c>
      <c r="J3" s="75" t="n">
        <v>2026</v>
      </c>
      <c r="K3" s="75">
        <f>J3-J2</f>
        <v/>
      </c>
      <c r="L3" s="80">
        <f>I3/K3</f>
        <v/>
      </c>
      <c r="M3" s="4" t="n">
        <v>485</v>
      </c>
      <c r="N3" s="5" t="n">
        <v>490</v>
      </c>
      <c r="O3" s="6">
        <f>N3-M3</f>
        <v/>
      </c>
      <c r="P3" s="7" t="n"/>
      <c r="Q3" s="7" t="n"/>
      <c r="R3" s="36" t="n"/>
      <c r="S3" s="36" t="n"/>
      <c r="T3" s="4" t="n">
        <v>350</v>
      </c>
      <c r="U3" s="4" t="n">
        <v>486</v>
      </c>
      <c r="V3" s="4">
        <f>U3-U2</f>
        <v/>
      </c>
      <c r="W3" s="47">
        <f>T3/V3</f>
        <v/>
      </c>
      <c r="X3" s="4" t="n">
        <v>123</v>
      </c>
      <c r="Y3" s="5" t="n">
        <v>124</v>
      </c>
      <c r="Z3" s="6">
        <f>Y3-X3</f>
        <v/>
      </c>
      <c r="AA3" s="7" t="n"/>
      <c r="AB3" s="7" t="n"/>
      <c r="AC3" s="36" t="n"/>
      <c r="AD3" s="36" t="n"/>
      <c r="AE3" s="4" t="n">
        <v>100</v>
      </c>
      <c r="AF3" s="4" t="n">
        <v>123</v>
      </c>
      <c r="AG3" s="4">
        <f>AF3-AF2</f>
        <v/>
      </c>
      <c r="AH3" s="47">
        <f>AE3/AG3</f>
        <v/>
      </c>
    </row>
    <row r="4">
      <c r="A4" s="68">
        <f>A3+1</f>
        <v/>
      </c>
      <c r="B4" s="75">
        <f>C3</f>
        <v/>
      </c>
      <c r="C4" s="76" t="n">
        <v>2035</v>
      </c>
      <c r="D4" s="77">
        <f>C4-B4</f>
        <v/>
      </c>
      <c r="E4" s="78" t="n"/>
      <c r="F4" s="78" t="n"/>
      <c r="G4" s="79" t="n"/>
      <c r="H4" s="79" t="n"/>
      <c r="I4" s="75" t="n"/>
      <c r="J4" s="75" t="n"/>
      <c r="K4" s="75" t="n"/>
      <c r="L4" s="80" t="n"/>
      <c r="M4" s="62">
        <f>N3</f>
        <v/>
      </c>
      <c r="N4" s="5" t="n">
        <v>498</v>
      </c>
      <c r="O4" s="6">
        <f>N4-M4</f>
        <v/>
      </c>
      <c r="P4" s="7" t="n"/>
      <c r="Q4" s="7" t="n"/>
      <c r="R4" s="36" t="n"/>
      <c r="S4" s="36" t="n"/>
      <c r="T4" s="4" t="n"/>
      <c r="U4" s="4" t="n"/>
      <c r="V4" s="4" t="n"/>
      <c r="W4" s="47" t="n"/>
      <c r="X4" s="8">
        <f>Y3</f>
        <v/>
      </c>
      <c r="Y4" s="5" t="n">
        <v>125</v>
      </c>
      <c r="Z4" s="6">
        <f>Y4-X4</f>
        <v/>
      </c>
      <c r="AA4" s="7" t="n"/>
      <c r="AB4" s="7" t="n"/>
      <c r="AC4" s="36" t="n"/>
      <c r="AD4" s="36" t="n"/>
      <c r="AE4" s="4" t="n"/>
      <c r="AF4" s="4" t="n"/>
      <c r="AG4" s="4" t="n"/>
      <c r="AH4" s="47" t="n"/>
    </row>
    <row r="5">
      <c r="A5" s="68">
        <f>A4+1</f>
        <v/>
      </c>
      <c r="B5" s="75">
        <f>C4</f>
        <v/>
      </c>
      <c r="C5" s="81" t="n">
        <v>2050</v>
      </c>
      <c r="D5" s="77">
        <f>C5-B5</f>
        <v/>
      </c>
      <c r="E5" s="78" t="n"/>
      <c r="F5" s="78" t="n"/>
      <c r="G5" s="79" t="n"/>
      <c r="H5" s="79" t="n"/>
      <c r="I5" s="75" t="n">
        <v>172</v>
      </c>
      <c r="J5" s="75" t="n">
        <v>2039</v>
      </c>
      <c r="K5" s="75">
        <f>J5-J3</f>
        <v/>
      </c>
      <c r="L5" s="80">
        <f>I5/K5</f>
        <v/>
      </c>
      <c r="M5" s="62">
        <f>N4</f>
        <v/>
      </c>
      <c r="N5" s="5" t="n">
        <v>504</v>
      </c>
      <c r="O5" s="6">
        <f>N5-M5</f>
        <v/>
      </c>
      <c r="P5" s="7" t="n"/>
      <c r="Q5" s="7" t="n"/>
      <c r="R5" s="36" t="n"/>
      <c r="S5" s="36" t="n"/>
      <c r="T5" s="4" t="n"/>
      <c r="U5" s="4" t="n"/>
      <c r="V5" s="4" t="n"/>
      <c r="W5" s="47" t="n"/>
      <c r="X5" s="8">
        <f>Y4</f>
        <v/>
      </c>
      <c r="Y5" s="5" t="n">
        <v>125</v>
      </c>
      <c r="Z5" s="6">
        <f>Y5-X5</f>
        <v/>
      </c>
      <c r="AA5" s="7" t="n"/>
      <c r="AB5" s="7" t="n"/>
      <c r="AC5" s="36" t="n"/>
      <c r="AD5" s="36" t="n"/>
      <c r="AE5" s="4" t="n"/>
      <c r="AF5" s="4" t="n"/>
      <c r="AG5" s="4" t="n"/>
      <c r="AH5" s="47" t="n"/>
    </row>
    <row r="6">
      <c r="A6" s="68">
        <f>A5+1</f>
        <v/>
      </c>
      <c r="B6" s="75">
        <f>C5</f>
        <v/>
      </c>
      <c r="C6" s="75" t="n">
        <v>2056</v>
      </c>
      <c r="D6" s="77">
        <f>C6-B6</f>
        <v/>
      </c>
      <c r="E6" s="78" t="n"/>
      <c r="F6" s="78" t="n"/>
      <c r="G6" s="79" t="n"/>
      <c r="H6" s="79" t="n"/>
      <c r="I6" s="75" t="n"/>
      <c r="J6" s="81" t="n"/>
      <c r="K6" s="75" t="n"/>
      <c r="L6" s="80" t="n"/>
      <c r="M6" s="62">
        <f>N5</f>
        <v/>
      </c>
      <c r="N6" s="5" t="n">
        <v>511</v>
      </c>
      <c r="O6" s="6">
        <f>N6-M6</f>
        <v/>
      </c>
      <c r="P6" s="7" t="n"/>
      <c r="Q6" s="7" t="n"/>
      <c r="R6" s="36" t="n"/>
      <c r="S6" s="36" t="n"/>
      <c r="T6" s="4" t="n"/>
      <c r="U6" s="37" t="n"/>
      <c r="V6" s="4" t="n"/>
      <c r="W6" s="47" t="n"/>
      <c r="X6" s="8">
        <f>Y5</f>
        <v/>
      </c>
      <c r="Y6" s="5" t="n">
        <v>125</v>
      </c>
      <c r="Z6" s="6">
        <f>Y6-X6</f>
        <v/>
      </c>
      <c r="AA6" s="7" t="n"/>
      <c r="AB6" s="7" t="n"/>
      <c r="AC6" s="36" t="n"/>
      <c r="AD6" s="36" t="n"/>
      <c r="AE6" s="4" t="n"/>
      <c r="AF6" s="37" t="n"/>
      <c r="AG6" s="4" t="n"/>
      <c r="AH6" s="47" t="n"/>
    </row>
    <row r="7">
      <c r="A7" s="68">
        <f>A6+1</f>
        <v/>
      </c>
      <c r="B7" s="75">
        <f>C6</f>
        <v/>
      </c>
      <c r="C7" s="75" t="n">
        <v>2059</v>
      </c>
      <c r="D7" s="77">
        <f>C7-B7</f>
        <v/>
      </c>
      <c r="E7" s="78" t="n"/>
      <c r="F7" s="78" t="n"/>
      <c r="G7" s="79" t="n"/>
      <c r="H7" s="79" t="n"/>
      <c r="I7" s="75" t="n">
        <v>233</v>
      </c>
      <c r="J7" s="75" t="n">
        <v>2056</v>
      </c>
      <c r="K7" s="75">
        <f>J7-J5</f>
        <v/>
      </c>
      <c r="L7" s="80">
        <f>I7/K7</f>
        <v/>
      </c>
      <c r="M7" s="62">
        <f>N6</f>
        <v/>
      </c>
      <c r="N7" s="5" t="n">
        <v>512</v>
      </c>
      <c r="O7" s="6">
        <f>N7-M7</f>
        <v/>
      </c>
      <c r="P7" s="7" t="n"/>
      <c r="Q7" s="7" t="n"/>
      <c r="R7" s="36" t="n"/>
      <c r="S7" s="36" t="n"/>
      <c r="T7" s="4" t="n"/>
      <c r="U7" s="4" t="n"/>
      <c r="V7" s="4" t="n"/>
      <c r="W7" s="47" t="n"/>
      <c r="X7" s="8">
        <f>Y6</f>
        <v/>
      </c>
      <c r="Y7" s="5" t="n">
        <v>125</v>
      </c>
      <c r="Z7" s="6">
        <f>Y7-X7</f>
        <v/>
      </c>
      <c r="AA7" s="7" t="n"/>
      <c r="AB7" s="7" t="n"/>
      <c r="AC7" s="36" t="n"/>
      <c r="AD7" s="36" t="n"/>
      <c r="AE7" s="4" t="n"/>
      <c r="AF7" s="4" t="n"/>
      <c r="AG7" s="4" t="n"/>
      <c r="AH7" s="47" t="n"/>
    </row>
    <row r="8">
      <c r="A8" s="68">
        <f>A7+1</f>
        <v/>
      </c>
      <c r="B8" s="75">
        <f>C7</f>
        <v/>
      </c>
      <c r="C8" s="75" t="n">
        <v>2070</v>
      </c>
      <c r="D8" s="77">
        <f>C8-B8</f>
        <v/>
      </c>
      <c r="E8" s="78" t="n"/>
      <c r="F8" s="78" t="n"/>
      <c r="G8" s="79" t="n"/>
      <c r="H8" s="79" t="n"/>
      <c r="I8" s="75" t="n"/>
      <c r="J8" s="75" t="n"/>
      <c r="K8" s="75" t="n"/>
      <c r="L8" s="80" t="n"/>
      <c r="M8" s="62">
        <f>N7</f>
        <v/>
      </c>
      <c r="N8" s="5" t="n">
        <v>517</v>
      </c>
      <c r="O8" s="6">
        <f>N8-M8</f>
        <v/>
      </c>
      <c r="P8" s="7" t="n"/>
      <c r="Q8" s="7" t="n"/>
      <c r="R8" s="36" t="n"/>
      <c r="S8" s="36" t="n"/>
      <c r="T8" s="4" t="n"/>
      <c r="U8" s="4" t="n"/>
      <c r="V8" s="4" t="n"/>
      <c r="W8" s="47" t="n"/>
      <c r="X8" s="8">
        <f>Y7</f>
        <v/>
      </c>
      <c r="Y8" s="4" t="n">
        <v>125</v>
      </c>
      <c r="Z8" s="6">
        <f>Y8-X8</f>
        <v/>
      </c>
      <c r="AA8" s="7" t="n"/>
      <c r="AB8" s="7" t="n"/>
      <c r="AC8" s="36" t="n"/>
      <c r="AD8" s="36" t="n"/>
      <c r="AE8" s="4" t="n"/>
      <c r="AF8" s="4" t="n"/>
      <c r="AG8" s="4" t="n"/>
      <c r="AH8" s="47" t="n"/>
    </row>
    <row r="9">
      <c r="A9" s="68">
        <f>A8+1</f>
        <v/>
      </c>
      <c r="B9" s="75">
        <f>C8</f>
        <v/>
      </c>
      <c r="C9" s="75" t="n">
        <v>2077</v>
      </c>
      <c r="D9" s="77">
        <f>C9-B9</f>
        <v/>
      </c>
      <c r="E9" s="78" t="n"/>
      <c r="F9" s="78" t="n"/>
      <c r="G9" s="79" t="n"/>
      <c r="H9" s="79" t="n"/>
      <c r="I9" s="75" t="n">
        <v>190</v>
      </c>
      <c r="J9" s="75" t="n">
        <v>2070</v>
      </c>
      <c r="K9" s="75">
        <f>J9-J7</f>
        <v/>
      </c>
      <c r="L9" s="80">
        <f>I9/K9</f>
        <v/>
      </c>
      <c r="M9" s="62">
        <f>N8</f>
        <v/>
      </c>
      <c r="N9" s="5" t="n">
        <v>520</v>
      </c>
      <c r="O9" s="6">
        <f>N9-M9</f>
        <v/>
      </c>
      <c r="P9" s="7" t="n"/>
      <c r="Q9" s="7" t="n"/>
      <c r="R9" s="36" t="n"/>
      <c r="S9" s="35" t="n"/>
      <c r="T9" s="4" t="n">
        <v>490</v>
      </c>
      <c r="U9" s="4" t="n">
        <v>519</v>
      </c>
      <c r="V9" s="4">
        <f>U9-U3</f>
        <v/>
      </c>
      <c r="W9" s="47">
        <f>T9/V9</f>
        <v/>
      </c>
      <c r="X9" s="8">
        <f>Y8</f>
        <v/>
      </c>
      <c r="Y9" s="4" t="n">
        <v>126</v>
      </c>
      <c r="Z9" s="6">
        <f>Y9-X9</f>
        <v/>
      </c>
      <c r="AA9" s="7" t="n"/>
      <c r="AB9" s="7" t="n"/>
      <c r="AC9" s="36" t="n"/>
      <c r="AD9" s="35" t="n"/>
      <c r="AE9" s="4" t="n"/>
      <c r="AF9" s="4" t="n"/>
      <c r="AG9" s="4" t="n"/>
      <c r="AH9" s="47" t="n"/>
    </row>
    <row r="10">
      <c r="A10" s="68">
        <f>A9+1</f>
        <v/>
      </c>
      <c r="B10" s="75">
        <f>C9</f>
        <v/>
      </c>
      <c r="C10" s="75" t="n">
        <v>2089</v>
      </c>
      <c r="D10" s="77">
        <f>C10-B10</f>
        <v/>
      </c>
      <c r="E10" s="78" t="n"/>
      <c r="F10" s="78" t="n"/>
      <c r="G10" s="79" t="n"/>
      <c r="H10" s="79" t="n"/>
      <c r="I10" s="75" t="n">
        <v>160</v>
      </c>
      <c r="J10" s="75" t="n">
        <v>2081</v>
      </c>
      <c r="K10" s="75">
        <f>J10-J9</f>
        <v/>
      </c>
      <c r="L10" s="80">
        <f>I10/K10</f>
        <v/>
      </c>
      <c r="M10" s="62">
        <f>N9</f>
        <v/>
      </c>
      <c r="N10" s="5" t="n">
        <v>528</v>
      </c>
      <c r="O10" s="6">
        <f>N10-M10</f>
        <v/>
      </c>
      <c r="P10" s="7" t="n"/>
      <c r="Q10" s="7" t="n"/>
      <c r="R10" s="36" t="n"/>
      <c r="S10" s="36" t="n"/>
      <c r="T10" s="4" t="n"/>
      <c r="U10" s="4" t="n"/>
      <c r="V10" s="4" t="n"/>
      <c r="W10" s="47" t="n"/>
      <c r="X10" s="8">
        <f>Y9</f>
        <v/>
      </c>
      <c r="Y10" s="4" t="n">
        <v>129</v>
      </c>
      <c r="Z10" s="6">
        <f>Y10-X10</f>
        <v/>
      </c>
      <c r="AA10" s="7" t="n"/>
      <c r="AB10" s="7" t="n"/>
      <c r="AC10" s="36" t="n"/>
      <c r="AD10" s="36" t="n"/>
      <c r="AE10" s="4" t="n"/>
      <c r="AF10" s="4" t="n"/>
      <c r="AG10" s="4" t="n"/>
      <c r="AH10" s="47" t="n"/>
    </row>
    <row r="11">
      <c r="A11" s="68">
        <f>A10+1</f>
        <v/>
      </c>
      <c r="B11" s="75">
        <f>C10</f>
        <v/>
      </c>
      <c r="C11" s="75" t="n">
        <v>2099</v>
      </c>
      <c r="D11" s="77">
        <f>C11-B11</f>
        <v/>
      </c>
      <c r="E11" s="78" t="n"/>
      <c r="F11" s="78" t="n"/>
      <c r="G11" s="79" t="n"/>
      <c r="H11" s="79" t="n"/>
      <c r="I11" s="75" t="n"/>
      <c r="J11" s="75" t="n"/>
      <c r="K11" s="75" t="n"/>
      <c r="L11" s="80" t="n"/>
      <c r="M11" s="62">
        <f>N10</f>
        <v/>
      </c>
      <c r="N11" s="4" t="n">
        <v>533</v>
      </c>
      <c r="O11" s="6">
        <f>N11-M11</f>
        <v/>
      </c>
      <c r="P11" s="7" t="n"/>
      <c r="Q11" s="7" t="n"/>
      <c r="R11" s="36" t="n"/>
      <c r="S11" s="36" t="n"/>
      <c r="T11" s="4" t="n"/>
      <c r="U11" s="4" t="n"/>
      <c r="V11" s="4" t="n"/>
      <c r="W11" s="47" t="n"/>
      <c r="X11" s="8">
        <f>Y10</f>
        <v/>
      </c>
      <c r="Y11" s="4" t="n">
        <v>130</v>
      </c>
      <c r="Z11" s="6">
        <f>Y11-X11</f>
        <v/>
      </c>
      <c r="AA11" s="7" t="n"/>
      <c r="AB11" s="7" t="n"/>
      <c r="AC11" s="36" t="n"/>
      <c r="AD11" s="36" t="n"/>
      <c r="AE11" s="4" t="n"/>
      <c r="AF11" s="4" t="n"/>
      <c r="AG11" s="4" t="n"/>
      <c r="AH11" s="47" t="n"/>
    </row>
    <row r="12">
      <c r="A12" s="68">
        <f>A11+1</f>
        <v/>
      </c>
      <c r="B12" s="75">
        <f>C11</f>
        <v/>
      </c>
      <c r="C12" s="75" t="n">
        <v>2107</v>
      </c>
      <c r="D12" s="77">
        <f>C12-B12</f>
        <v/>
      </c>
      <c r="E12" s="78" t="n"/>
      <c r="F12" s="78" t="n"/>
      <c r="G12" s="79" t="n"/>
      <c r="H12" s="79" t="n"/>
      <c r="I12" s="75" t="n">
        <v>246</v>
      </c>
      <c r="J12" s="75" t="n">
        <v>2101</v>
      </c>
      <c r="K12" s="75">
        <f>J12-J10</f>
        <v/>
      </c>
      <c r="L12" s="80">
        <f>I12/K12</f>
        <v/>
      </c>
      <c r="M12" s="62">
        <f>N11</f>
        <v/>
      </c>
      <c r="N12" s="4" t="n">
        <v>539</v>
      </c>
      <c r="O12" s="6">
        <f>N12-M12</f>
        <v/>
      </c>
      <c r="P12" s="7" t="n"/>
      <c r="Q12" s="7" t="n"/>
      <c r="R12" s="36" t="n"/>
      <c r="S12" s="36" t="n"/>
      <c r="T12" s="4" t="n"/>
      <c r="U12" s="4" t="n"/>
      <c r="V12" s="4" t="n"/>
      <c r="W12" s="47" t="n"/>
      <c r="X12" s="8">
        <f>Y11</f>
        <v/>
      </c>
      <c r="Y12" s="4" t="n">
        <v>130</v>
      </c>
      <c r="Z12" s="6">
        <f>Y12-X12</f>
        <v/>
      </c>
      <c r="AA12" s="7" t="n"/>
      <c r="AB12" s="7" t="n"/>
      <c r="AC12" s="36" t="n"/>
      <c r="AD12" s="36" t="n"/>
      <c r="AE12" s="4" t="n"/>
      <c r="AF12" s="4" t="n"/>
      <c r="AG12" s="4" t="n"/>
      <c r="AH12" s="47" t="n"/>
    </row>
    <row r="13">
      <c r="A13" s="68">
        <f>A12+1</f>
        <v/>
      </c>
      <c r="B13" s="75">
        <f>C12</f>
        <v/>
      </c>
      <c r="C13" s="75" t="n">
        <v>2118</v>
      </c>
      <c r="D13" s="77">
        <f>C13-B13</f>
        <v/>
      </c>
      <c r="E13" s="78" t="n"/>
      <c r="F13" s="78" t="n"/>
      <c r="G13" s="79" t="n"/>
      <c r="H13" s="79" t="n"/>
      <c r="I13" s="75" t="n"/>
      <c r="J13" s="75" t="n"/>
      <c r="K13" s="75" t="n"/>
      <c r="L13" s="80" t="n"/>
      <c r="M13" s="62">
        <f>N12</f>
        <v/>
      </c>
      <c r="N13" s="4" t="n">
        <v>543</v>
      </c>
      <c r="O13" s="6">
        <f>N13-M13</f>
        <v/>
      </c>
      <c r="P13" s="7" t="n"/>
      <c r="Q13" s="7" t="n"/>
      <c r="R13" s="36" t="n"/>
      <c r="S13" s="35" t="n"/>
      <c r="T13" s="4" t="n"/>
      <c r="U13" s="4" t="n"/>
      <c r="V13" s="4" t="n"/>
      <c r="W13" s="47" t="n"/>
      <c r="X13" s="8">
        <f>Y12</f>
        <v/>
      </c>
      <c r="Y13" s="4" t="n">
        <v>130</v>
      </c>
      <c r="Z13" s="6">
        <f>Y13-X13</f>
        <v/>
      </c>
      <c r="AA13" s="7" t="n"/>
      <c r="AB13" s="7" t="n"/>
      <c r="AC13" s="36" t="n"/>
      <c r="AD13" s="35" t="n"/>
      <c r="AE13" s="4" t="n"/>
      <c r="AF13" s="4" t="n"/>
      <c r="AG13" s="4" t="n"/>
      <c r="AH13" s="47" t="n"/>
    </row>
    <row r="14">
      <c r="A14" s="68">
        <f>A13+1</f>
        <v/>
      </c>
      <c r="B14" s="75">
        <f>C13</f>
        <v/>
      </c>
      <c r="C14" s="75" t="n">
        <v>2125</v>
      </c>
      <c r="D14" s="77">
        <f>C14-B14</f>
        <v/>
      </c>
      <c r="E14" s="78" t="n"/>
      <c r="F14" s="78" t="n"/>
      <c r="G14" s="79" t="n"/>
      <c r="H14" s="79" t="n"/>
      <c r="I14" s="75" t="n">
        <v>288</v>
      </c>
      <c r="J14" s="75" t="n"/>
      <c r="K14" s="75" t="n"/>
      <c r="L14" s="80" t="n"/>
      <c r="M14" s="62">
        <f>N13</f>
        <v/>
      </c>
      <c r="N14" s="4" t="n">
        <v>543</v>
      </c>
      <c r="O14" s="6">
        <f>N14-M14</f>
        <v/>
      </c>
      <c r="P14" s="7" t="n"/>
      <c r="Q14" s="7" t="n"/>
      <c r="R14" s="36" t="n"/>
      <c r="S14" s="36" t="n"/>
      <c r="T14" s="4" t="n"/>
      <c r="U14" s="4" t="n"/>
      <c r="V14" s="4" t="n"/>
      <c r="W14" s="47" t="n"/>
      <c r="X14" s="8">
        <f>Y13</f>
        <v/>
      </c>
      <c r="Y14" s="4" t="n">
        <v>130</v>
      </c>
      <c r="Z14" s="6">
        <f>Y14-X14</f>
        <v/>
      </c>
      <c r="AA14" s="7" t="n"/>
      <c r="AB14" s="7" t="n"/>
      <c r="AC14" s="36" t="n"/>
      <c r="AD14" s="36" t="n"/>
      <c r="AE14" s="4" t="n"/>
      <c r="AF14" s="4" t="n"/>
      <c r="AG14" s="4" t="n"/>
      <c r="AH14" s="47" t="n"/>
    </row>
    <row r="15">
      <c r="A15" s="68">
        <f>A14+1</f>
        <v/>
      </c>
      <c r="B15" s="75">
        <f>C14</f>
        <v/>
      </c>
      <c r="C15" s="75" t="n">
        <v>2129</v>
      </c>
      <c r="D15" s="77">
        <f>C15-B15</f>
        <v/>
      </c>
      <c r="E15" s="78" t="n"/>
      <c r="F15" s="78" t="n"/>
      <c r="G15" s="79" t="n"/>
      <c r="H15" s="79" t="n"/>
      <c r="I15" s="75" t="n"/>
      <c r="J15" s="75" t="n"/>
      <c r="K15" s="75" t="n"/>
      <c r="L15" s="80" t="n"/>
      <c r="M15" s="62">
        <f>N14</f>
        <v/>
      </c>
      <c r="N15" s="4" t="n">
        <v>551</v>
      </c>
      <c r="O15" s="6">
        <f>N15-M15</f>
        <v/>
      </c>
      <c r="P15" s="7" t="n"/>
      <c r="Q15" s="7" t="n"/>
      <c r="R15" s="36" t="n"/>
      <c r="S15" s="36" t="n"/>
      <c r="T15" s="4" t="n"/>
      <c r="U15" s="4" t="n"/>
      <c r="V15" s="4" t="n"/>
      <c r="W15" s="47" t="n"/>
      <c r="X15" s="8">
        <f>Y14</f>
        <v/>
      </c>
      <c r="Y15" s="4" t="n">
        <v>130</v>
      </c>
      <c r="Z15" s="6">
        <f>Y15-X15</f>
        <v/>
      </c>
      <c r="AA15" s="7" t="n"/>
      <c r="AB15" s="7" t="n"/>
      <c r="AC15" s="36" t="n"/>
      <c r="AD15" s="36" t="n"/>
      <c r="AE15" s="4" t="n"/>
      <c r="AF15" s="4" t="n"/>
      <c r="AG15" s="4" t="n"/>
      <c r="AH15" s="47" t="n"/>
    </row>
    <row r="16">
      <c r="A16" s="68">
        <f>A15+1</f>
        <v/>
      </c>
      <c r="B16" s="75">
        <f>C15</f>
        <v/>
      </c>
      <c r="C16" s="75" t="n">
        <v>2135</v>
      </c>
      <c r="D16" s="77">
        <f>C16-B16</f>
        <v/>
      </c>
      <c r="E16" s="78" t="n"/>
      <c r="F16" s="78" t="n"/>
      <c r="G16" s="79" t="n"/>
      <c r="H16" s="79" t="n"/>
      <c r="I16" s="75" t="n">
        <v>140</v>
      </c>
      <c r="J16" s="75" t="n">
        <v>2130</v>
      </c>
      <c r="K16" s="75">
        <f>J16-J12</f>
        <v/>
      </c>
      <c r="L16" s="80">
        <f>(I16+I14)/K16</f>
        <v/>
      </c>
      <c r="M16" s="62">
        <f>N15</f>
        <v/>
      </c>
      <c r="N16" s="4" t="n">
        <v>560</v>
      </c>
      <c r="O16" s="6">
        <f>N16-M16</f>
        <v/>
      </c>
      <c r="P16" s="7" t="n"/>
      <c r="Q16" s="7" t="n"/>
      <c r="R16" s="36" t="n"/>
      <c r="S16" s="36" t="n"/>
      <c r="T16" s="4" t="n">
        <v>400</v>
      </c>
      <c r="U16" s="4" t="n">
        <v>553</v>
      </c>
      <c r="V16" s="4">
        <f>U16-U2</f>
        <v/>
      </c>
      <c r="W16" s="47">
        <f>T16/V16</f>
        <v/>
      </c>
      <c r="X16" s="8">
        <f>Y15</f>
        <v/>
      </c>
      <c r="Y16" s="4" t="n">
        <v>134</v>
      </c>
      <c r="Z16" s="6">
        <f>Y16-X16</f>
        <v/>
      </c>
      <c r="AA16" s="7" t="n"/>
      <c r="AB16" s="7" t="n"/>
      <c r="AC16" s="36" t="n"/>
      <c r="AD16" s="36" t="n"/>
      <c r="AE16" s="4" t="n"/>
      <c r="AF16" s="4" t="n"/>
      <c r="AG16" s="4" t="n"/>
      <c r="AH16" s="47" t="n"/>
    </row>
    <row r="17">
      <c r="A17" s="68">
        <f>A16+1</f>
        <v/>
      </c>
      <c r="B17" s="75">
        <f>C16</f>
        <v/>
      </c>
      <c r="C17" s="75" t="n">
        <v>2150</v>
      </c>
      <c r="D17" s="77">
        <f>C17-B17</f>
        <v/>
      </c>
      <c r="E17" s="78" t="n"/>
      <c r="F17" s="78" t="n"/>
      <c r="G17" s="79" t="n"/>
      <c r="H17" s="79" t="n"/>
      <c r="I17" s="75" t="n">
        <v>75</v>
      </c>
      <c r="J17" s="75" t="n"/>
      <c r="K17" s="75" t="n"/>
      <c r="L17" s="80" t="n"/>
      <c r="M17" s="62">
        <f>N16</f>
        <v/>
      </c>
      <c r="N17" s="4" t="n">
        <v>567</v>
      </c>
      <c r="O17" s="6">
        <f>N17-M17</f>
        <v/>
      </c>
      <c r="P17" s="7" t="n"/>
      <c r="Q17" s="7" t="n"/>
      <c r="R17" s="36" t="n"/>
      <c r="S17" s="36" t="n"/>
      <c r="T17" s="4" t="n"/>
      <c r="U17" s="4" t="n"/>
      <c r="V17" s="4" t="n"/>
      <c r="W17" s="47" t="n"/>
      <c r="X17" s="8">
        <f>Y16</f>
        <v/>
      </c>
      <c r="Y17" s="4" t="n">
        <v>135</v>
      </c>
      <c r="Z17" s="6">
        <f>Y17-X17</f>
        <v/>
      </c>
      <c r="AA17" s="7" t="n"/>
      <c r="AB17" s="7" t="n"/>
      <c r="AC17" s="36" t="n"/>
      <c r="AD17" s="36" t="n"/>
      <c r="AE17" s="4" t="n"/>
      <c r="AF17" s="4" t="n"/>
      <c r="AG17" s="4" t="n"/>
      <c r="AH17" s="47" t="n"/>
    </row>
    <row r="18">
      <c r="A18" s="68">
        <f>A17+1</f>
        <v/>
      </c>
      <c r="B18" s="75">
        <f>C17</f>
        <v/>
      </c>
      <c r="C18" s="75" t="n">
        <v>2155</v>
      </c>
      <c r="D18" s="77">
        <f>C18-B18</f>
        <v/>
      </c>
      <c r="E18" s="78" t="n"/>
      <c r="F18" s="78" t="n"/>
      <c r="G18" s="79" t="n"/>
      <c r="H18" s="79" t="n"/>
      <c r="I18" s="75" t="n"/>
      <c r="J18" s="75" t="n"/>
      <c r="K18" s="75" t="n"/>
      <c r="L18" s="80" t="n"/>
      <c r="M18" s="62">
        <f>N17</f>
        <v/>
      </c>
      <c r="N18" s="4" t="n">
        <v>575</v>
      </c>
      <c r="O18" s="6">
        <f>N18-M18</f>
        <v/>
      </c>
      <c r="P18" s="7" t="n"/>
      <c r="Q18" s="7" t="n"/>
      <c r="R18" s="36" t="n"/>
      <c r="S18" s="36" t="n"/>
      <c r="T18" s="4" t="n"/>
      <c r="U18" s="4" t="n"/>
      <c r="V18" s="4" t="n"/>
      <c r="W18" s="47" t="n"/>
      <c r="X18" s="8">
        <f>Y17</f>
        <v/>
      </c>
      <c r="Y18" s="4" t="n">
        <v>135</v>
      </c>
      <c r="Z18" s="6">
        <f>Y18-X18</f>
        <v/>
      </c>
      <c r="AA18" s="7" t="n"/>
      <c r="AB18" s="7" t="n"/>
      <c r="AC18" s="36" t="n"/>
      <c r="AD18" s="36" t="n"/>
      <c r="AE18" s="4" t="n"/>
      <c r="AF18" s="4" t="n"/>
      <c r="AG18" s="4" t="n"/>
      <c r="AH18" s="47" t="n"/>
    </row>
    <row r="19">
      <c r="A19" s="68">
        <f>A18+1</f>
        <v/>
      </c>
      <c r="B19" s="75">
        <f>C18</f>
        <v/>
      </c>
      <c r="C19" s="75" t="n">
        <v>2159</v>
      </c>
      <c r="D19" s="77">
        <f>C19-B19</f>
        <v/>
      </c>
      <c r="E19" s="78" t="n"/>
      <c r="F19" s="78" t="n"/>
      <c r="G19" s="79" t="n"/>
      <c r="H19" s="79" t="n"/>
      <c r="I19" s="75" t="n">
        <v>235</v>
      </c>
      <c r="J19" s="75" t="n"/>
      <c r="K19" s="75" t="n"/>
      <c r="L19" s="80" t="n"/>
      <c r="M19" s="62">
        <f>N18</f>
        <v/>
      </c>
      <c r="N19" s="4" t="n">
        <v>580</v>
      </c>
      <c r="O19" s="6">
        <f>N19-M19</f>
        <v/>
      </c>
      <c r="P19" s="7" t="n"/>
      <c r="Q19" s="7" t="n"/>
      <c r="R19" s="36" t="n"/>
      <c r="S19" s="36" t="n"/>
      <c r="T19" s="120" t="n"/>
      <c r="U19" s="120" t="n"/>
      <c r="V19" s="120" t="n"/>
      <c r="W19" s="47" t="n"/>
      <c r="X19" s="8">
        <f>Y18</f>
        <v/>
      </c>
      <c r="Y19" s="4" t="n">
        <v>135</v>
      </c>
      <c r="Z19" s="6">
        <f>Y19-X19</f>
        <v/>
      </c>
      <c r="AA19" s="7" t="n"/>
      <c r="AB19" s="7" t="n"/>
      <c r="AC19" s="36" t="n"/>
      <c r="AD19" s="36" t="n"/>
      <c r="AE19" s="4" t="n"/>
      <c r="AF19" s="4" t="n"/>
      <c r="AG19" s="4" t="n"/>
      <c r="AH19" s="47" t="n"/>
    </row>
    <row r="20">
      <c r="A20" s="68">
        <f>A19+1</f>
        <v/>
      </c>
      <c r="B20" s="75">
        <f>C19</f>
        <v/>
      </c>
      <c r="C20" s="75" t="n">
        <v>2175</v>
      </c>
      <c r="D20" s="77">
        <f>C20-B20</f>
        <v/>
      </c>
      <c r="E20" s="78" t="n"/>
      <c r="F20" s="78" t="n"/>
      <c r="G20" s="79" t="n"/>
      <c r="H20" s="79" t="n"/>
      <c r="I20" s="75" t="n"/>
      <c r="J20" s="75" t="n"/>
      <c r="K20" s="75" t="n"/>
      <c r="L20" s="80" t="n"/>
      <c r="M20" s="62">
        <f>N19</f>
        <v/>
      </c>
      <c r="N20" s="4" t="n">
        <v>588</v>
      </c>
      <c r="O20" s="6">
        <f>N20-M20</f>
        <v/>
      </c>
      <c r="P20" s="7" t="n"/>
      <c r="Q20" s="7" t="n"/>
      <c r="R20" s="36" t="n"/>
      <c r="S20" s="35" t="n"/>
      <c r="T20" s="4" t="n">
        <v>200</v>
      </c>
      <c r="U20" s="4" t="n">
        <v>583</v>
      </c>
      <c r="V20" s="4">
        <f>U20-U16</f>
        <v/>
      </c>
      <c r="W20" s="47">
        <f>T20/V20</f>
        <v/>
      </c>
      <c r="X20" s="8">
        <f>Y19</f>
        <v/>
      </c>
      <c r="Y20" s="4" t="n">
        <v>144</v>
      </c>
      <c r="Z20" s="6">
        <f>Y20-X20</f>
        <v/>
      </c>
      <c r="AA20" s="7" t="n"/>
      <c r="AB20" s="7" t="n"/>
      <c r="AC20" s="36" t="n"/>
      <c r="AD20" s="35" t="n"/>
      <c r="AE20" s="4" t="n"/>
      <c r="AF20" s="4" t="n"/>
      <c r="AG20" s="4" t="n"/>
      <c r="AH20" s="47" t="n"/>
    </row>
    <row r="21">
      <c r="A21" s="68">
        <f>A20+1</f>
        <v/>
      </c>
      <c r="B21" s="75">
        <f>C20</f>
        <v/>
      </c>
      <c r="C21" s="82" t="n">
        <v>2186</v>
      </c>
      <c r="D21" s="77">
        <f>C21-B21</f>
        <v/>
      </c>
      <c r="E21" s="78" t="n"/>
      <c r="F21" s="78" t="n"/>
      <c r="G21" s="79" t="n"/>
      <c r="H21" s="79" t="n"/>
      <c r="I21" s="75" t="n">
        <v>233</v>
      </c>
      <c r="J21" s="75" t="n">
        <v>2178</v>
      </c>
      <c r="K21" s="75">
        <f>J21-J16</f>
        <v/>
      </c>
      <c r="L21" s="80">
        <f>(I21+I19+I17)/K21</f>
        <v/>
      </c>
      <c r="M21" s="62">
        <f>N20</f>
        <v/>
      </c>
      <c r="N21" s="4" t="n">
        <v>594</v>
      </c>
      <c r="O21" s="6">
        <f>N21-M21</f>
        <v/>
      </c>
      <c r="P21" s="7" t="n"/>
      <c r="Q21" s="7" t="n"/>
      <c r="R21" s="36" t="n"/>
      <c r="S21" s="36" t="n"/>
      <c r="T21" s="4" t="n"/>
      <c r="U21" s="4" t="n"/>
      <c r="V21" s="4" t="n"/>
      <c r="W21" s="47" t="n"/>
      <c r="X21" s="8">
        <f>Y20</f>
        <v/>
      </c>
      <c r="Y21" s="4" t="n">
        <v>147</v>
      </c>
      <c r="Z21" s="6">
        <f>Y21-X21</f>
        <v/>
      </c>
      <c r="AA21" s="7" t="n"/>
      <c r="AB21" s="7" t="n"/>
      <c r="AC21" s="36" t="n"/>
      <c r="AD21" s="36" t="n"/>
      <c r="AE21" s="4" t="n"/>
      <c r="AF21" s="4" t="n"/>
      <c r="AG21" s="4" t="n"/>
      <c r="AH21" s="47" t="n"/>
    </row>
    <row r="22">
      <c r="A22" s="68">
        <f>A21+1</f>
        <v/>
      </c>
      <c r="B22" s="75">
        <f>C21</f>
        <v/>
      </c>
      <c r="C22" s="75" t="n">
        <v>2192</v>
      </c>
      <c r="D22" s="77">
        <f>C22-B22</f>
        <v/>
      </c>
      <c r="E22" s="78" t="n"/>
      <c r="F22" s="78" t="n"/>
      <c r="G22" s="79" t="n"/>
      <c r="H22" s="79" t="n"/>
      <c r="I22" s="75" t="n"/>
      <c r="J22" s="75" t="n"/>
      <c r="K22" s="75" t="n"/>
      <c r="L22" s="80" t="n"/>
      <c r="M22" s="62">
        <f>N21</f>
        <v/>
      </c>
      <c r="N22" s="4" t="n">
        <v>607</v>
      </c>
      <c r="O22" s="6">
        <f>N22-M22</f>
        <v/>
      </c>
      <c r="P22" s="7" t="n"/>
      <c r="Q22" s="7" t="n"/>
      <c r="R22" s="36" t="n"/>
      <c r="S22" s="36" t="n"/>
      <c r="T22" s="4" t="n">
        <v>350</v>
      </c>
      <c r="U22" s="4" t="n">
        <v>598</v>
      </c>
      <c r="V22" s="4">
        <f>U22-U20</f>
        <v/>
      </c>
      <c r="W22" s="47">
        <f>T22/V22</f>
        <v/>
      </c>
      <c r="X22" s="8">
        <f>Y21</f>
        <v/>
      </c>
      <c r="Y22" s="4" t="n">
        <v>148</v>
      </c>
      <c r="Z22" s="6">
        <f>Y22-X22</f>
        <v/>
      </c>
      <c r="AA22" s="7" t="n"/>
      <c r="AB22" s="7" t="n"/>
      <c r="AC22" s="36" t="n"/>
      <c r="AD22" s="36" t="n"/>
      <c r="AE22" s="4" t="n">
        <v>150</v>
      </c>
      <c r="AF22" s="4" t="n">
        <v>148</v>
      </c>
      <c r="AG22" s="4">
        <f>AF22-AF3</f>
        <v/>
      </c>
      <c r="AH22" s="47">
        <f>AE22/AG22</f>
        <v/>
      </c>
    </row>
    <row r="23">
      <c r="A23" s="68">
        <f>A22+1</f>
        <v/>
      </c>
      <c r="B23" s="75">
        <f>C22</f>
        <v/>
      </c>
      <c r="C23" s="75" t="n">
        <v>2200</v>
      </c>
      <c r="D23" s="77">
        <f>C23-B23</f>
        <v/>
      </c>
      <c r="E23" s="78" t="n"/>
      <c r="F23" s="78" t="n"/>
      <c r="G23" s="79" t="n"/>
      <c r="H23" s="79" t="n"/>
      <c r="I23" s="75" t="n">
        <v>200</v>
      </c>
      <c r="J23" s="75" t="n">
        <v>2192</v>
      </c>
      <c r="K23" s="75">
        <f>J23-J21</f>
        <v/>
      </c>
      <c r="L23" s="80">
        <f>I23/K23</f>
        <v/>
      </c>
      <c r="M23" s="62">
        <f>N22</f>
        <v/>
      </c>
      <c r="N23" s="4" t="n">
        <v>617</v>
      </c>
      <c r="O23" s="6">
        <f>N23-M23</f>
        <v/>
      </c>
      <c r="P23" s="7" t="n"/>
      <c r="Q23" s="7" t="n"/>
      <c r="R23" s="36" t="n"/>
      <c r="S23" s="36" t="n"/>
      <c r="T23" s="4" t="n"/>
      <c r="U23" s="4" t="n"/>
      <c r="V23" s="4" t="n"/>
      <c r="W23" s="47" t="n"/>
      <c r="X23" s="8">
        <f>Y22</f>
        <v/>
      </c>
      <c r="Y23" s="4" t="n">
        <v>150</v>
      </c>
      <c r="Z23" s="6">
        <f>Y23-X23</f>
        <v/>
      </c>
      <c r="AA23" s="7" t="n"/>
      <c r="AB23" s="7" t="n"/>
      <c r="AC23" s="36" t="n"/>
      <c r="AD23" s="36" t="n"/>
      <c r="AE23" s="4" t="n"/>
      <c r="AF23" s="4" t="n"/>
      <c r="AG23" s="4" t="n"/>
      <c r="AH23" s="47" t="n"/>
    </row>
    <row r="24">
      <c r="A24" s="68">
        <f>A23+1</f>
        <v/>
      </c>
      <c r="B24" s="75">
        <f>C23</f>
        <v/>
      </c>
      <c r="C24" s="75" t="n">
        <v>2218</v>
      </c>
      <c r="D24" s="77">
        <f>C24-B24</f>
        <v/>
      </c>
      <c r="E24" s="78" t="n"/>
      <c r="F24" s="78" t="n"/>
      <c r="G24" s="79" t="n"/>
      <c r="H24" s="79" t="n"/>
      <c r="I24" s="75" t="n"/>
      <c r="J24" s="75" t="n"/>
      <c r="K24" s="75" t="n"/>
      <c r="L24" s="80" t="n"/>
      <c r="M24" s="62">
        <f>N23</f>
        <v/>
      </c>
      <c r="N24" s="4" t="n">
        <v>626</v>
      </c>
      <c r="O24" s="6">
        <f>N24-M24</f>
        <v/>
      </c>
      <c r="P24" s="7" t="n"/>
      <c r="Q24" s="7" t="n"/>
      <c r="R24" s="36" t="n"/>
      <c r="S24" s="36" t="n"/>
      <c r="T24" s="4" t="n"/>
      <c r="U24" s="4" t="n"/>
      <c r="V24" s="4" t="n"/>
      <c r="W24" s="47" t="n"/>
      <c r="X24" s="8">
        <f>Y23</f>
        <v/>
      </c>
      <c r="Y24" s="4" t="n">
        <v>153</v>
      </c>
      <c r="Z24" s="6">
        <f>Y24-X24</f>
        <v/>
      </c>
      <c r="AA24" s="7" t="n"/>
      <c r="AB24" s="7" t="n"/>
      <c r="AC24" s="36" t="n"/>
      <c r="AD24" s="36" t="n"/>
      <c r="AE24" s="4" t="n"/>
      <c r="AF24" s="4" t="n"/>
      <c r="AG24" s="4" t="n"/>
      <c r="AH24" s="47" t="n"/>
    </row>
    <row r="25">
      <c r="A25" s="68">
        <f>A24+1</f>
        <v/>
      </c>
      <c r="B25" s="75">
        <f>C24</f>
        <v/>
      </c>
      <c r="C25" s="75" t="n">
        <v>2233</v>
      </c>
      <c r="D25" s="77">
        <f>C25-B25</f>
        <v/>
      </c>
      <c r="E25" s="78" t="n"/>
      <c r="F25" s="78" t="n"/>
      <c r="G25" s="79" t="n"/>
      <c r="H25" s="79" t="n"/>
      <c r="I25" s="75" t="n">
        <v>380</v>
      </c>
      <c r="J25" s="75" t="n">
        <v>2221</v>
      </c>
      <c r="K25" s="75">
        <f>J25-J23</f>
        <v/>
      </c>
      <c r="L25" s="80">
        <f>I25/K25</f>
        <v/>
      </c>
      <c r="M25" s="62">
        <f>N24</f>
        <v/>
      </c>
      <c r="N25" s="4" t="n">
        <v>632</v>
      </c>
      <c r="O25" s="6">
        <f>N25-M25</f>
        <v/>
      </c>
      <c r="P25" s="7" t="n"/>
      <c r="Q25" s="7" t="n"/>
      <c r="R25" s="36" t="n"/>
      <c r="S25" s="36" t="n"/>
      <c r="T25" s="4" t="n">
        <v>200</v>
      </c>
      <c r="U25" s="4" t="inlineStr">
        <is>
          <t>N/F</t>
        </is>
      </c>
      <c r="V25" s="4" t="n"/>
      <c r="W25" s="47" t="n"/>
      <c r="X25" s="8">
        <f>Y24</f>
        <v/>
      </c>
      <c r="Y25" s="4" t="n">
        <v>153</v>
      </c>
      <c r="Z25" s="6">
        <f>Y25-X25</f>
        <v/>
      </c>
      <c r="AA25" s="7" t="inlineStr">
        <is>
          <t xml:space="preserve"> </t>
        </is>
      </c>
      <c r="AB25" s="7" t="n"/>
      <c r="AC25" s="36" t="n"/>
      <c r="AD25" s="36" t="n"/>
      <c r="AE25" s="4" t="n"/>
      <c r="AF25" s="4" t="n"/>
      <c r="AG25" s="4" t="n"/>
      <c r="AH25" s="47" t="n"/>
    </row>
    <row r="26">
      <c r="A26" s="68">
        <f>A25+1</f>
        <v/>
      </c>
      <c r="B26" s="75">
        <f>C25</f>
        <v/>
      </c>
      <c r="C26" s="77" t="n">
        <v>2243</v>
      </c>
      <c r="D26" s="77">
        <f>C26-B26</f>
        <v/>
      </c>
      <c r="E26" s="78" t="n"/>
      <c r="F26" s="78" t="n"/>
      <c r="G26" s="79" t="n"/>
      <c r="H26" s="79" t="n"/>
      <c r="I26" s="75" t="n">
        <v>210</v>
      </c>
      <c r="J26" s="75" t="n">
        <v>2238</v>
      </c>
      <c r="K26" s="75">
        <f>J26-J25</f>
        <v/>
      </c>
      <c r="L26" s="80">
        <f>I26/K26</f>
        <v/>
      </c>
      <c r="M26" s="62">
        <f>N25</f>
        <v/>
      </c>
      <c r="N26" s="4" t="n">
        <v>641</v>
      </c>
      <c r="O26" s="6">
        <f>N26-M26</f>
        <v/>
      </c>
      <c r="P26" s="7" t="n"/>
      <c r="Q26" s="7" t="n"/>
      <c r="R26" s="36" t="n"/>
      <c r="S26" s="36" t="n"/>
      <c r="T26" s="4" t="n">
        <v>250</v>
      </c>
      <c r="U26" s="4" t="n">
        <v>636</v>
      </c>
      <c r="V26" s="4">
        <f>U26-U22</f>
        <v/>
      </c>
      <c r="W26" s="47">
        <f>(T26+T25)/V26</f>
        <v/>
      </c>
      <c r="X26" s="8">
        <f>Y25</f>
        <v/>
      </c>
      <c r="Y26" s="4" t="n">
        <v>154</v>
      </c>
      <c r="Z26" s="6">
        <f>Y26-X26</f>
        <v/>
      </c>
      <c r="AA26" s="7" t="n"/>
      <c r="AB26" s="7" t="n"/>
      <c r="AC26" s="36" t="n"/>
      <c r="AD26" s="36" t="n"/>
      <c r="AE26" s="4" t="n">
        <v>250</v>
      </c>
      <c r="AF26" s="4" t="n">
        <v>154</v>
      </c>
      <c r="AG26" s="4" t="inlineStr">
        <is>
          <t>N/F</t>
        </is>
      </c>
      <c r="AH26" s="47" t="n"/>
    </row>
    <row r="27">
      <c r="A27" s="68">
        <f>A26+1</f>
        <v/>
      </c>
      <c r="B27" s="75">
        <f>C26</f>
        <v/>
      </c>
      <c r="C27" s="75" t="n">
        <v>2256</v>
      </c>
      <c r="D27" s="77">
        <f>C27-B27</f>
        <v/>
      </c>
      <c r="E27" s="78" t="n"/>
      <c r="F27" s="78" t="n"/>
      <c r="G27" s="79" t="n"/>
      <c r="H27" s="79" t="n"/>
      <c r="I27" s="75" t="n"/>
      <c r="J27" s="75" t="n"/>
      <c r="K27" s="75" t="n"/>
      <c r="L27" s="80" t="n"/>
      <c r="M27" s="62">
        <f>N26</f>
        <v/>
      </c>
      <c r="N27" s="4" t="n">
        <v>651</v>
      </c>
      <c r="O27" s="6">
        <f>N27-M27</f>
        <v/>
      </c>
      <c r="P27" s="7" t="n"/>
      <c r="Q27" s="7" t="n"/>
      <c r="R27" s="36" t="n"/>
      <c r="S27" s="36" t="n"/>
      <c r="T27" s="120" t="n"/>
      <c r="U27" s="120" t="n"/>
      <c r="V27" s="120" t="n"/>
      <c r="W27" s="47" t="n"/>
      <c r="X27" s="8">
        <f>Y26</f>
        <v/>
      </c>
      <c r="Y27" s="4" t="n">
        <v>157</v>
      </c>
      <c r="Z27" s="6">
        <f>Y27-X27</f>
        <v/>
      </c>
      <c r="AA27" s="7" t="n"/>
      <c r="AB27" s="7" t="n"/>
      <c r="AC27" s="36" t="n"/>
      <c r="AD27" s="36" t="n"/>
      <c r="AE27" s="4" t="n"/>
      <c r="AF27" s="4" t="n"/>
      <c r="AG27" s="4" t="n"/>
      <c r="AH27" s="47" t="n"/>
    </row>
    <row r="28">
      <c r="A28" s="68">
        <f>A27+1</f>
        <v/>
      </c>
      <c r="B28" s="75">
        <f>C27</f>
        <v/>
      </c>
      <c r="C28" s="75" t="n">
        <v>2261</v>
      </c>
      <c r="D28" s="77">
        <f>C28-B28</f>
        <v/>
      </c>
      <c r="E28" s="78" t="n"/>
      <c r="F28" s="78" t="n"/>
      <c r="G28" s="79" t="n"/>
      <c r="H28" s="79" t="n"/>
      <c r="I28" s="75" t="n"/>
      <c r="J28" s="75" t="n"/>
      <c r="K28" s="75" t="n"/>
      <c r="L28" s="80" t="n"/>
      <c r="M28" s="62">
        <f>N27</f>
        <v/>
      </c>
      <c r="N28" s="4" t="n">
        <v>653</v>
      </c>
      <c r="O28" s="6">
        <f>N28-M28</f>
        <v/>
      </c>
      <c r="P28" s="7" t="n"/>
      <c r="Q28" s="7" t="n"/>
      <c r="R28" s="36" t="n"/>
      <c r="S28" s="35" t="n"/>
      <c r="T28" s="4" t="n"/>
      <c r="U28" s="4" t="n"/>
      <c r="V28" s="4" t="n"/>
      <c r="W28" s="47" t="n"/>
      <c r="X28" s="8">
        <f>Y27</f>
        <v/>
      </c>
      <c r="Y28" s="4" t="n">
        <v>157</v>
      </c>
      <c r="Z28" s="6">
        <f>Y28-X28</f>
        <v/>
      </c>
      <c r="AA28" s="7" t="n"/>
      <c r="AB28" s="7" t="n"/>
      <c r="AC28" s="36" t="n"/>
      <c r="AD28" s="35" t="n"/>
      <c r="AE28" s="4" t="n"/>
      <c r="AF28" s="4" t="n"/>
      <c r="AG28" s="4" t="n"/>
      <c r="AH28" s="47" t="n"/>
    </row>
    <row r="29">
      <c r="A29" s="68">
        <f>A28+1</f>
        <v/>
      </c>
      <c r="B29" s="75">
        <f>C28</f>
        <v/>
      </c>
      <c r="C29" s="75" t="n">
        <v>2265</v>
      </c>
      <c r="D29" s="77">
        <f>C29-B29</f>
        <v/>
      </c>
      <c r="E29" s="78" t="n"/>
      <c r="F29" s="78" t="n"/>
      <c r="G29" s="79" t="n"/>
      <c r="H29" s="79" t="n"/>
      <c r="I29" s="75" t="n">
        <v>275</v>
      </c>
      <c r="J29" s="75" t="n"/>
      <c r="K29" s="75" t="n"/>
      <c r="L29" s="80" t="n"/>
      <c r="M29" s="62">
        <f>N28</f>
        <v/>
      </c>
      <c r="N29" s="4" t="n">
        <v>660</v>
      </c>
      <c r="O29" s="6">
        <f>N29-M29</f>
        <v/>
      </c>
      <c r="P29" s="7" t="n"/>
      <c r="Q29" s="7" t="n"/>
      <c r="R29" s="36" t="n"/>
      <c r="S29" s="36" t="n"/>
      <c r="T29" s="4" t="n"/>
      <c r="U29" s="4" t="n"/>
      <c r="V29" s="4" t="n"/>
      <c r="W29" s="47" t="n"/>
      <c r="X29" s="8">
        <f>Y28</f>
        <v/>
      </c>
      <c r="Y29" s="4" t="n">
        <v>157</v>
      </c>
      <c r="Z29" s="6">
        <f>Y29-X29</f>
        <v/>
      </c>
      <c r="AA29" s="7" t="n"/>
      <c r="AB29" s="7" t="n"/>
      <c r="AC29" s="36" t="n"/>
      <c r="AD29" s="36" t="n"/>
      <c r="AE29" s="4" t="n"/>
      <c r="AF29" s="4" t="n"/>
      <c r="AG29" s="4" t="n"/>
      <c r="AH29" s="47" t="n"/>
    </row>
    <row r="30">
      <c r="A30" s="68">
        <f>A29+1</f>
        <v/>
      </c>
      <c r="B30" s="75">
        <f>C29</f>
        <v/>
      </c>
      <c r="C30" s="75" t="n">
        <v>2267</v>
      </c>
      <c r="D30" s="77">
        <f>C30-B30</f>
        <v/>
      </c>
      <c r="E30" s="78" t="n"/>
      <c r="F30" s="78" t="n"/>
      <c r="G30" s="79" t="n"/>
      <c r="H30" s="79" t="n"/>
      <c r="I30" s="75" t="n"/>
      <c r="J30" s="75" t="n"/>
      <c r="K30" s="75" t="n"/>
      <c r="L30" s="80" t="n"/>
      <c r="M30" s="62">
        <f>N29</f>
        <v/>
      </c>
      <c r="N30" s="4" t="n">
        <v>669</v>
      </c>
      <c r="O30" s="6">
        <f>N30-M30</f>
        <v/>
      </c>
      <c r="P30" s="7" t="n"/>
      <c r="Q30" s="7" t="n"/>
      <c r="R30" s="36" t="n"/>
      <c r="S30" s="35" t="n"/>
      <c r="T30" s="4" t="n">
        <v>300</v>
      </c>
      <c r="U30" s="4" t="n">
        <v>665</v>
      </c>
      <c r="V30" s="4">
        <f>U30-U26</f>
        <v/>
      </c>
      <c r="W30" s="47">
        <f>T30/V30</f>
        <v/>
      </c>
      <c r="X30" s="8">
        <f>Y29</f>
        <v/>
      </c>
      <c r="Y30" s="4" t="n">
        <v>157</v>
      </c>
      <c r="Z30" s="6">
        <f>Y30-X30</f>
        <v/>
      </c>
      <c r="AA30" s="7" t="n"/>
      <c r="AB30" s="7" t="n"/>
      <c r="AC30" s="36" t="n"/>
      <c r="AD30" s="35" t="n"/>
      <c r="AE30" s="4" t="n"/>
      <c r="AF30" s="4" t="n"/>
      <c r="AG30" s="4" t="n"/>
      <c r="AH30" s="47" t="n"/>
    </row>
    <row r="31">
      <c r="A31" s="68">
        <f>A30+1</f>
        <v/>
      </c>
      <c r="B31" s="75">
        <f>C30</f>
        <v/>
      </c>
      <c r="C31" s="75" t="n">
        <v>2279</v>
      </c>
      <c r="D31" s="77">
        <f>C31-B31</f>
        <v/>
      </c>
      <c r="E31" s="78" t="n"/>
      <c r="F31" s="78" t="n"/>
      <c r="G31" s="79" t="n"/>
      <c r="H31" s="79" t="n"/>
      <c r="I31" s="75" t="n"/>
      <c r="J31" s="75" t="n"/>
      <c r="K31" s="75" t="n"/>
      <c r="L31" s="80" t="n"/>
      <c r="M31" s="62">
        <f>N30</f>
        <v/>
      </c>
      <c r="N31" s="4" t="n">
        <v>677</v>
      </c>
      <c r="O31" s="6">
        <f>N31-M31</f>
        <v/>
      </c>
      <c r="P31" s="7" t="n"/>
      <c r="Q31" s="7" t="n"/>
      <c r="R31" s="36" t="n"/>
      <c r="S31" s="35" t="n"/>
      <c r="T31" s="4" t="n">
        <v>250</v>
      </c>
      <c r="U31" s="4" t="inlineStr">
        <is>
          <t>N/F</t>
        </is>
      </c>
      <c r="V31" s="4" t="n"/>
      <c r="W31" s="47" t="n"/>
      <c r="X31" s="8">
        <f>Y30</f>
        <v/>
      </c>
      <c r="Y31" s="4" t="n">
        <v>159</v>
      </c>
      <c r="Z31" s="6">
        <f>Y31-X31</f>
        <v/>
      </c>
      <c r="AA31" s="7" t="n"/>
      <c r="AB31" s="7" t="n"/>
      <c r="AC31" s="36" t="n"/>
      <c r="AD31" s="35" t="n"/>
      <c r="AE31" s="4" t="n">
        <v>89</v>
      </c>
      <c r="AF31" s="4" t="n">
        <v>157</v>
      </c>
      <c r="AG31" s="4">
        <f>AF31-AF22</f>
        <v/>
      </c>
      <c r="AH31" s="47">
        <f>(AE31+AE26)/AG31</f>
        <v/>
      </c>
    </row>
    <row r="32">
      <c r="A32" s="68">
        <f>A31+1</f>
        <v/>
      </c>
      <c r="B32" s="75">
        <f>C31</f>
        <v/>
      </c>
      <c r="C32" s="75" t="n">
        <v>2286</v>
      </c>
      <c r="D32" s="77">
        <f>C32-B32</f>
        <v/>
      </c>
      <c r="E32" s="78" t="n"/>
      <c r="F32" s="78" t="n"/>
      <c r="G32" s="79" t="n"/>
      <c r="H32" s="79" t="n"/>
      <c r="I32" s="75" t="n">
        <v>264</v>
      </c>
      <c r="J32" s="75" t="n">
        <v>2280</v>
      </c>
      <c r="K32" s="75">
        <f>J32-J26</f>
        <v/>
      </c>
      <c r="L32" s="80">
        <f>(I32+I29)/K32</f>
        <v/>
      </c>
      <c r="M32" s="62">
        <f>N31</f>
        <v/>
      </c>
      <c r="N32" s="4" t="n">
        <v>687</v>
      </c>
      <c r="O32" s="6">
        <f>N32-M32</f>
        <v/>
      </c>
      <c r="P32" s="7" t="n"/>
      <c r="Q32" s="7" t="n"/>
      <c r="R32" s="36" t="n"/>
      <c r="S32" s="35" t="n"/>
      <c r="T32" s="4" t="n"/>
      <c r="U32" s="4" t="n"/>
      <c r="V32" s="120" t="n"/>
      <c r="W32" s="47" t="n"/>
      <c r="X32" s="8">
        <f>Y31</f>
        <v/>
      </c>
      <c r="Y32" s="4" t="n">
        <v>163</v>
      </c>
      <c r="Z32" s="6">
        <f>Y32-X32</f>
        <v/>
      </c>
      <c r="AA32" s="7" t="n"/>
      <c r="AB32" s="7" t="n"/>
      <c r="AC32" s="36" t="n"/>
      <c r="AD32" s="35" t="n"/>
      <c r="AE32" s="4" t="n"/>
      <c r="AF32" s="4" t="n"/>
      <c r="AG32" s="4" t="n"/>
      <c r="AH32" s="47" t="n"/>
    </row>
    <row r="33">
      <c r="A33" s="68">
        <f>A32+1</f>
        <v/>
      </c>
      <c r="B33" s="75">
        <f>C32</f>
        <v/>
      </c>
      <c r="C33" s="75" t="n">
        <v>2300</v>
      </c>
      <c r="D33" s="77">
        <f>C33-B33</f>
        <v/>
      </c>
      <c r="E33" s="78" t="n"/>
      <c r="F33" s="78" t="n"/>
      <c r="G33" s="79" t="n"/>
      <c r="H33" s="79" t="n"/>
      <c r="I33" s="75" t="n"/>
      <c r="J33" s="75" t="n"/>
      <c r="K33" s="75" t="n"/>
      <c r="L33" s="80" t="n"/>
      <c r="M33" s="62">
        <f>N32</f>
        <v/>
      </c>
      <c r="N33" s="4" t="n">
        <v>693</v>
      </c>
      <c r="O33" s="6">
        <f>N33-M33</f>
        <v/>
      </c>
      <c r="P33" s="7" t="n"/>
      <c r="Q33" s="7" t="n"/>
      <c r="R33" s="36" t="n"/>
      <c r="S33" s="35" t="n"/>
      <c r="T33" s="4" t="n"/>
      <c r="U33" s="4" t="n"/>
      <c r="V33" s="120" t="n"/>
      <c r="W33" s="47" t="n"/>
      <c r="X33" s="8">
        <f>Y32</f>
        <v/>
      </c>
      <c r="Y33" s="4" t="n">
        <v>165</v>
      </c>
      <c r="Z33" s="6">
        <f>Y33-X33</f>
        <v/>
      </c>
      <c r="AA33" s="7" t="n"/>
      <c r="AB33" s="7" t="n"/>
      <c r="AC33" s="36" t="n"/>
      <c r="AD33" s="35" t="n"/>
      <c r="AE33" s="4" t="n"/>
      <c r="AF33" s="4" t="n"/>
      <c r="AG33" s="4" t="n"/>
      <c r="AH33" s="47" t="n"/>
    </row>
    <row r="34" ht="16.5" customHeight="1" thickBot="1">
      <c r="A34" s="69" t="n"/>
      <c r="B34" s="70" t="n"/>
      <c r="C34" s="71" t="n"/>
      <c r="D34" s="72">
        <f>SUM(D3:D33)</f>
        <v/>
      </c>
      <c r="E34" s="73" t="n"/>
      <c r="F34" s="73" t="n"/>
      <c r="G34" s="72">
        <f>SUM(G3:G33)</f>
        <v/>
      </c>
      <c r="H34" s="73" t="n"/>
      <c r="I34" s="72">
        <f>SUM(I3:I33)</f>
        <v/>
      </c>
      <c r="J34" s="72" t="n"/>
      <c r="K34" s="72">
        <f>SUM(K3:K33)</f>
        <v/>
      </c>
      <c r="L34" s="74">
        <f>I34/K34</f>
        <v/>
      </c>
      <c r="M34" s="63" t="n"/>
      <c r="N34" s="13" t="n"/>
      <c r="O34" s="72">
        <f>SUM(O3:O33)</f>
        <v/>
      </c>
      <c r="P34" s="118" t="n"/>
      <c r="Q34" s="118" t="n"/>
      <c r="R34" s="72">
        <f>SUM(R3:R33)</f>
        <v/>
      </c>
      <c r="S34" s="51" t="n"/>
      <c r="T34" s="72">
        <f>SUM(T2:T30)</f>
        <v/>
      </c>
      <c r="U34" s="14" t="n"/>
      <c r="V34" s="72">
        <f>SUM(V3:V33)</f>
        <v/>
      </c>
      <c r="W34" s="48">
        <f>T34/V34</f>
        <v/>
      </c>
      <c r="X34" s="12" t="n"/>
      <c r="Y34" s="13" t="n"/>
      <c r="Z34" s="72">
        <f>SUM(Z3:Z33)</f>
        <v/>
      </c>
      <c r="AA34" s="118" t="n"/>
      <c r="AB34" s="117" t="n"/>
      <c r="AC34" s="72">
        <f>SUM(AC3:AC33)</f>
        <v/>
      </c>
      <c r="AD34" s="51" t="n"/>
      <c r="AE34" s="72">
        <f>SUM(AE3:AE33)</f>
        <v/>
      </c>
      <c r="AF34" s="14" t="n"/>
      <c r="AG34" s="72">
        <f>SUM(AG3:AG33)</f>
        <v/>
      </c>
      <c r="AH34" s="48">
        <f>AE34/AG34</f>
        <v/>
      </c>
    </row>
  </sheetData>
  <mergeCells count="3">
    <mergeCell ref="M1:N1"/>
    <mergeCell ref="B1:C1"/>
    <mergeCell ref="X1:Y1"/>
  </mergeCells>
  <conditionalFormatting sqref="A3:A17 A19:A33">
    <cfRule type="duplicateValues" priority="2"/>
  </conditionalFormatting>
  <conditionalFormatting sqref="A18">
    <cfRule type="duplicateValues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pane xSplit="1" ySplit="2" topLeftCell="B21" activePane="bottomRight" state="frozen"/>
      <selection pane="topRight" activeCell="B1" sqref="B1"/>
      <selection pane="bottomLeft" activeCell="A3" sqref="A3"/>
      <selection pane="bottomRight" activeCell="K32" sqref="K32"/>
    </sheetView>
  </sheetViews>
  <sheetFormatPr baseColWidth="8" defaultRowHeight="15"/>
  <sheetData>
    <row r="1" ht="63" customHeight="1">
      <c r="A1" s="64" t="n">
        <v>46235</v>
      </c>
      <c r="B1" s="130" t="inlineStr">
        <is>
          <t>KAMLAR-DHIRPUR</t>
        </is>
      </c>
      <c r="C1" s="132" t="n"/>
      <c r="D1" s="10" t="inlineStr">
        <is>
          <t>Daily Running Hours</t>
        </is>
      </c>
      <c r="E1" s="10" t="inlineStr">
        <is>
          <t>Breakdown start time</t>
        </is>
      </c>
      <c r="F1" s="10" t="inlineStr">
        <is>
          <t>Breakdown end time</t>
        </is>
      </c>
      <c r="G1" s="49" t="inlineStr">
        <is>
          <t>Total Breakdown Hour</t>
        </is>
      </c>
      <c r="H1" s="49" t="inlineStr">
        <is>
          <t>Breakdown Reason</t>
        </is>
      </c>
      <c r="I1" s="130" t="inlineStr">
        <is>
          <t>DIESEL Consumed</t>
        </is>
      </c>
      <c r="J1" s="130" t="inlineStr">
        <is>
          <t>Diesel HMR</t>
        </is>
      </c>
      <c r="K1" s="130" t="inlineStr">
        <is>
          <t xml:space="preserve">Hours </t>
        </is>
      </c>
      <c r="L1" s="65" t="inlineStr">
        <is>
          <t>Average</t>
        </is>
      </c>
      <c r="M1" s="133" t="inlineStr">
        <is>
          <t>KAMLAR-1-Dalpatpur</t>
        </is>
      </c>
      <c r="N1" s="132" t="n"/>
      <c r="O1" s="10" t="inlineStr">
        <is>
          <t>Daily Running Hours</t>
        </is>
      </c>
      <c r="P1" s="10" t="inlineStr">
        <is>
          <t>Breakdown start time</t>
        </is>
      </c>
      <c r="Q1" s="10" t="inlineStr">
        <is>
          <t>Breakdown end time</t>
        </is>
      </c>
      <c r="R1" s="49" t="inlineStr">
        <is>
          <t>Total Breakdown Hour</t>
        </is>
      </c>
      <c r="S1" s="49" t="inlineStr">
        <is>
          <t>Breakdown Reason</t>
        </is>
      </c>
      <c r="T1" s="130" t="inlineStr">
        <is>
          <t>DIESEL
Filled</t>
        </is>
      </c>
      <c r="U1" s="130" t="inlineStr">
        <is>
          <t>Diesel HMR</t>
        </is>
      </c>
      <c r="V1" s="130" t="inlineStr">
        <is>
          <t xml:space="preserve">Hours </t>
        </is>
      </c>
      <c r="W1" s="45" t="inlineStr">
        <is>
          <t>Average</t>
        </is>
      </c>
      <c r="X1" s="130" t="inlineStr">
        <is>
          <t>KAMLAR-2-Dalpatpur</t>
        </is>
      </c>
      <c r="Y1" s="132" t="n"/>
      <c r="Z1" s="10" t="inlineStr">
        <is>
          <t>Daily Running Hours</t>
        </is>
      </c>
      <c r="AA1" s="10" t="inlineStr">
        <is>
          <t>Breakdown start time</t>
        </is>
      </c>
      <c r="AB1" s="10" t="inlineStr">
        <is>
          <t>Breakdown end time</t>
        </is>
      </c>
      <c r="AC1" s="49" t="inlineStr">
        <is>
          <t>Total Breakdown Hour</t>
        </is>
      </c>
      <c r="AD1" s="49" t="inlineStr">
        <is>
          <t>Breakdown Reason</t>
        </is>
      </c>
      <c r="AE1" s="130" t="inlineStr">
        <is>
          <t>DIESEL
Filled</t>
        </is>
      </c>
      <c r="AF1" s="130" t="inlineStr">
        <is>
          <t>Diesel HMR</t>
        </is>
      </c>
      <c r="AG1" s="130" t="inlineStr">
        <is>
          <t xml:space="preserve">Hours </t>
        </is>
      </c>
      <c r="AH1" s="45" t="inlineStr">
        <is>
          <t>Average</t>
        </is>
      </c>
    </row>
    <row r="2" ht="30" customHeight="1">
      <c r="A2" s="66" t="inlineStr">
        <is>
          <t>PREV  Stock</t>
        </is>
      </c>
      <c r="B2" s="38" t="inlineStr">
        <is>
          <t>Start HMR</t>
        </is>
      </c>
      <c r="C2" s="38" t="inlineStr">
        <is>
          <t>End HMR</t>
        </is>
      </c>
      <c r="D2" s="39" t="n"/>
      <c r="E2" s="39" t="n"/>
      <c r="F2" s="39" t="n"/>
      <c r="G2" s="50" t="n"/>
      <c r="H2" s="50" t="n"/>
      <c r="I2" s="38" t="n"/>
      <c r="J2" s="40" t="n">
        <v>2280</v>
      </c>
      <c r="K2" s="38" t="n"/>
      <c r="L2" s="67" t="n"/>
      <c r="M2" s="61" t="inlineStr">
        <is>
          <t>Start HMR</t>
        </is>
      </c>
      <c r="N2" s="38" t="inlineStr">
        <is>
          <t>End HMR</t>
        </is>
      </c>
      <c r="O2" s="39" t="n"/>
      <c r="P2" s="39" t="n"/>
      <c r="Q2" s="39" t="n"/>
      <c r="R2" s="50" t="n"/>
      <c r="S2" s="50" t="n"/>
      <c r="T2" s="38" t="n">
        <v>250</v>
      </c>
      <c r="U2" s="40" t="n">
        <v>665</v>
      </c>
      <c r="V2" s="38" t="n"/>
      <c r="W2" s="46" t="n"/>
      <c r="X2" s="38" t="inlineStr">
        <is>
          <t>Start HMR</t>
        </is>
      </c>
      <c r="Y2" s="38" t="inlineStr">
        <is>
          <t>End HMR</t>
        </is>
      </c>
      <c r="Z2" s="39" t="n"/>
      <c r="AA2" s="39" t="n"/>
      <c r="AB2" s="39" t="n"/>
      <c r="AC2" s="50" t="n"/>
      <c r="AD2" s="50" t="n"/>
      <c r="AE2" s="38" t="n"/>
      <c r="AF2" s="40" t="n">
        <v>157</v>
      </c>
      <c r="AG2" s="38" t="n"/>
      <c r="AH2" s="46" t="n"/>
    </row>
    <row r="3">
      <c r="A3" s="68" t="n">
        <v>46235</v>
      </c>
      <c r="B3" s="75" t="n">
        <v>2300</v>
      </c>
      <c r="C3" s="76" t="n">
        <v>2309</v>
      </c>
      <c r="D3" s="77">
        <f>C3-B3</f>
        <v/>
      </c>
      <c r="E3" s="78" t="n"/>
      <c r="F3" s="78" t="n"/>
      <c r="G3" s="79" t="n"/>
      <c r="H3" s="79" t="n"/>
      <c r="I3" s="75" t="n">
        <v>328</v>
      </c>
      <c r="J3" s="75" t="n">
        <v>2305</v>
      </c>
      <c r="K3" s="75">
        <f>J3-J2</f>
        <v/>
      </c>
      <c r="L3" s="80">
        <f>I3/K3</f>
        <v/>
      </c>
      <c r="M3" s="4" t="n">
        <v>693</v>
      </c>
      <c r="N3" s="5" t="n">
        <v>699</v>
      </c>
      <c r="O3" s="6">
        <f>N3-M3</f>
        <v/>
      </c>
      <c r="P3" s="7" t="n"/>
      <c r="Q3" s="7" t="n"/>
      <c r="R3" s="36" t="n"/>
      <c r="S3" s="36" t="n"/>
      <c r="T3" s="4" t="n"/>
      <c r="U3" s="4" t="n"/>
      <c r="V3" s="4" t="n"/>
      <c r="W3" s="47" t="n"/>
      <c r="X3" s="4" t="n">
        <v>165</v>
      </c>
      <c r="Y3" s="5" t="n">
        <v>169</v>
      </c>
      <c r="Z3" s="6">
        <f>Y3-X3</f>
        <v/>
      </c>
      <c r="AA3" s="7" t="n"/>
      <c r="AB3" s="7" t="n"/>
      <c r="AC3" s="36" t="n"/>
      <c r="AD3" s="36" t="n"/>
      <c r="AE3" s="4" t="n"/>
      <c r="AF3" s="4" t="n"/>
      <c r="AG3" s="4" t="n"/>
      <c r="AH3" s="47" t="n"/>
    </row>
    <row r="4">
      <c r="A4" s="68">
        <f>A3+1</f>
        <v/>
      </c>
      <c r="B4" s="75">
        <f>C3</f>
        <v/>
      </c>
      <c r="C4" s="76" t="n">
        <v>2309</v>
      </c>
      <c r="D4" s="77">
        <f>C4-B4</f>
        <v/>
      </c>
      <c r="E4" s="78" t="n"/>
      <c r="F4" s="78" t="n"/>
      <c r="G4" s="79" t="n"/>
      <c r="H4" s="79" t="n"/>
      <c r="I4" s="75" t="n"/>
      <c r="J4" s="75" t="n"/>
      <c r="K4" s="75" t="n"/>
      <c r="L4" s="80" t="n"/>
      <c r="M4" s="62">
        <f>N3</f>
        <v/>
      </c>
      <c r="N4" s="5" t="n">
        <v>700</v>
      </c>
      <c r="O4" s="6">
        <f>N4-M4</f>
        <v/>
      </c>
      <c r="P4" s="7" t="n"/>
      <c r="Q4" s="7" t="n"/>
      <c r="R4" s="36" t="n"/>
      <c r="S4" s="36" t="n"/>
      <c r="T4" s="4" t="n"/>
      <c r="U4" s="4" t="n"/>
      <c r="V4" s="4" t="n"/>
      <c r="W4" s="47" t="n"/>
      <c r="X4" s="8">
        <f>Y3</f>
        <v/>
      </c>
      <c r="Y4" s="5" t="n">
        <v>171</v>
      </c>
      <c r="Z4" s="6">
        <f>Y4-X4</f>
        <v/>
      </c>
      <c r="AA4" s="7" t="n"/>
      <c r="AB4" s="7" t="n"/>
      <c r="AC4" s="36" t="n"/>
      <c r="AD4" s="36" t="n"/>
      <c r="AE4" s="4" t="n"/>
      <c r="AF4" s="4" t="n"/>
      <c r="AG4" s="4" t="n"/>
      <c r="AH4" s="47" t="n"/>
    </row>
    <row r="5">
      <c r="A5" s="68">
        <f>A4+1</f>
        <v/>
      </c>
      <c r="B5" s="75">
        <f>C4</f>
        <v/>
      </c>
      <c r="C5" s="81" t="n">
        <v>2312</v>
      </c>
      <c r="D5" s="77">
        <f>C5-B5</f>
        <v/>
      </c>
      <c r="E5" s="78" t="n"/>
      <c r="F5" s="78" t="n"/>
      <c r="G5" s="79" t="n"/>
      <c r="H5" s="79" t="n"/>
      <c r="I5" s="75" t="n"/>
      <c r="J5" s="75" t="n"/>
      <c r="K5" s="75" t="n"/>
      <c r="L5" s="80" t="n"/>
      <c r="M5" s="62">
        <f>N4</f>
        <v/>
      </c>
      <c r="N5" s="5" t="n">
        <v>704</v>
      </c>
      <c r="O5" s="6">
        <f>N5-M5</f>
        <v/>
      </c>
      <c r="P5" s="7" t="n"/>
      <c r="Q5" s="7" t="n"/>
      <c r="R5" s="36" t="n"/>
      <c r="S5" s="36" t="n"/>
      <c r="T5" s="4" t="n">
        <v>370</v>
      </c>
      <c r="U5" s="4" t="n">
        <v>701</v>
      </c>
      <c r="V5" s="4">
        <f>U5-U2</f>
        <v/>
      </c>
      <c r="W5" s="47">
        <f>(T5+T2)/V5</f>
        <v/>
      </c>
      <c r="X5" s="8">
        <f>Y4</f>
        <v/>
      </c>
      <c r="Y5" s="5" t="n">
        <v>171</v>
      </c>
      <c r="Z5" s="6">
        <f>Y5-X5</f>
        <v/>
      </c>
      <c r="AA5" s="7" t="n"/>
      <c r="AB5" s="7" t="n"/>
      <c r="AC5" s="36" t="n"/>
      <c r="AD5" s="36" t="n"/>
      <c r="AE5" s="4" t="n">
        <v>150</v>
      </c>
      <c r="AF5" s="4" t="n">
        <v>171</v>
      </c>
      <c r="AG5" s="4">
        <f>AF5-AF2</f>
        <v/>
      </c>
      <c r="AH5" s="47">
        <f>AE5/AG5</f>
        <v/>
      </c>
    </row>
    <row r="6">
      <c r="A6" s="68">
        <f>A5+1</f>
        <v/>
      </c>
      <c r="B6" s="75">
        <f>C5</f>
        <v/>
      </c>
      <c r="C6" s="75" t="n">
        <v>2314</v>
      </c>
      <c r="D6" s="77">
        <f>C6-B6</f>
        <v/>
      </c>
      <c r="E6" s="78" t="n"/>
      <c r="F6" s="78" t="n"/>
      <c r="G6" s="79" t="n"/>
      <c r="H6" s="79" t="n"/>
      <c r="I6" s="75" t="n"/>
      <c r="J6" s="81" t="n"/>
      <c r="K6" s="75" t="n"/>
      <c r="L6" s="80" t="n"/>
      <c r="M6" s="62">
        <f>N5</f>
        <v/>
      </c>
      <c r="N6" s="5" t="n">
        <v>708</v>
      </c>
      <c r="O6" s="6">
        <f>N6-M6</f>
        <v/>
      </c>
      <c r="P6" s="7" t="n"/>
      <c r="Q6" s="7" t="n"/>
      <c r="R6" s="36" t="n"/>
      <c r="S6" s="36" t="n"/>
      <c r="T6" s="4" t="n"/>
      <c r="U6" s="37" t="n"/>
      <c r="V6" s="4" t="n"/>
      <c r="W6" s="47" t="n"/>
      <c r="X6" s="8">
        <f>Y5</f>
        <v/>
      </c>
      <c r="Y6" s="5" t="n">
        <v>171</v>
      </c>
      <c r="Z6" s="6">
        <f>Y6-X6</f>
        <v/>
      </c>
      <c r="AA6" s="7" t="n"/>
      <c r="AB6" s="7" t="n"/>
      <c r="AC6" s="36" t="n"/>
      <c r="AD6" s="36" t="n"/>
      <c r="AE6" s="4" t="n"/>
      <c r="AF6" s="37" t="n"/>
      <c r="AG6" s="4" t="n"/>
      <c r="AH6" s="47" t="n"/>
    </row>
    <row r="7">
      <c r="A7" s="68">
        <f>A6+1</f>
        <v/>
      </c>
      <c r="B7" s="75">
        <f>C6</f>
        <v/>
      </c>
      <c r="C7" s="75" t="n">
        <v>2320</v>
      </c>
      <c r="D7" s="77">
        <f>C7-B7</f>
        <v/>
      </c>
      <c r="E7" s="78" t="n"/>
      <c r="F7" s="78" t="n"/>
      <c r="G7" s="79" t="n"/>
      <c r="H7" s="79" t="n"/>
      <c r="I7" s="75" t="n">
        <v>192</v>
      </c>
      <c r="J7" s="75" t="n">
        <v>2319</v>
      </c>
      <c r="K7" s="75">
        <f>J7-J3</f>
        <v/>
      </c>
      <c r="L7" s="80">
        <f>I7/K7</f>
        <v/>
      </c>
      <c r="M7" s="62">
        <f>N6</f>
        <v/>
      </c>
      <c r="N7" s="5" t="n">
        <v>716</v>
      </c>
      <c r="O7" s="6">
        <f>N7-M7</f>
        <v/>
      </c>
      <c r="P7" s="7" t="n"/>
      <c r="Q7" s="7" t="n"/>
      <c r="R7" s="36" t="n"/>
      <c r="S7" s="36" t="n"/>
      <c r="T7" s="4" t="n"/>
      <c r="U7" s="4" t="n"/>
      <c r="V7" s="4" t="n"/>
      <c r="W7" s="47" t="n"/>
      <c r="X7" s="8">
        <f>Y6</f>
        <v/>
      </c>
      <c r="Y7" s="5" t="n">
        <v>174</v>
      </c>
      <c r="Z7" s="6">
        <f>Y7-X7</f>
        <v/>
      </c>
      <c r="AA7" s="7" t="n"/>
      <c r="AB7" s="7" t="n"/>
      <c r="AC7" s="36" t="n"/>
      <c r="AD7" s="36" t="n"/>
      <c r="AE7" s="4" t="n"/>
      <c r="AF7" s="4" t="n"/>
      <c r="AG7" s="4" t="n"/>
      <c r="AH7" s="47" t="n"/>
    </row>
    <row r="8">
      <c r="A8" s="68">
        <f>A7+1</f>
        <v/>
      </c>
      <c r="B8" s="75">
        <f>C7</f>
        <v/>
      </c>
      <c r="C8" s="75" t="n">
        <v>2327</v>
      </c>
      <c r="D8" s="77">
        <f>C8-B8</f>
        <v/>
      </c>
      <c r="E8" s="78" t="n"/>
      <c r="F8" s="78" t="n"/>
      <c r="G8" s="79" t="n"/>
      <c r="H8" s="79" t="n"/>
      <c r="I8" s="75" t="n"/>
      <c r="J8" s="75" t="n"/>
      <c r="K8" s="75" t="n"/>
      <c r="L8" s="80" t="n"/>
      <c r="M8" s="62">
        <f>N7</f>
        <v/>
      </c>
      <c r="N8" s="5" t="n">
        <v>723</v>
      </c>
      <c r="O8" s="6">
        <f>N8-M8</f>
        <v/>
      </c>
      <c r="P8" s="7" t="n"/>
      <c r="Q8" s="7" t="n"/>
      <c r="R8" s="36" t="n"/>
      <c r="S8" s="36" t="n"/>
      <c r="T8" s="4" t="n"/>
      <c r="U8" s="4" t="n"/>
      <c r="V8" s="4" t="n"/>
      <c r="W8" s="47" t="n"/>
      <c r="X8" s="8">
        <f>Y7</f>
        <v/>
      </c>
      <c r="Y8" s="4" t="n">
        <v>176</v>
      </c>
      <c r="Z8" s="6">
        <f>Y8-X8</f>
        <v/>
      </c>
      <c r="AA8" s="7" t="n"/>
      <c r="AB8" s="7" t="n"/>
      <c r="AC8" s="36" t="n"/>
      <c r="AD8" s="36" t="n"/>
      <c r="AE8" s="4" t="n"/>
      <c r="AF8" s="4" t="n"/>
      <c r="AG8" s="4" t="n"/>
      <c r="AH8" s="47" t="n"/>
    </row>
    <row r="9">
      <c r="A9" s="68">
        <f>A8+1</f>
        <v/>
      </c>
      <c r="B9" s="75">
        <f>C8</f>
        <v/>
      </c>
      <c r="C9" s="75" t="n">
        <v>2336</v>
      </c>
      <c r="D9" s="77">
        <f>C9-B9</f>
        <v/>
      </c>
      <c r="E9" s="78" t="n"/>
      <c r="F9" s="78" t="n"/>
      <c r="G9" s="79" t="n"/>
      <c r="H9" s="79" t="n"/>
      <c r="I9" s="75" t="n">
        <v>178</v>
      </c>
      <c r="J9" s="75" t="n">
        <v>2332</v>
      </c>
      <c r="K9" s="75">
        <f>J9-J7</f>
        <v/>
      </c>
      <c r="L9" s="80">
        <f>I9/K9</f>
        <v/>
      </c>
      <c r="M9" s="62">
        <f>N8</f>
        <v/>
      </c>
      <c r="N9" s="5" t="n">
        <v>726</v>
      </c>
      <c r="O9" s="6">
        <f>N9-M9</f>
        <v/>
      </c>
      <c r="P9" s="7" t="n"/>
      <c r="Q9" s="7" t="n"/>
      <c r="R9" s="36" t="n"/>
      <c r="S9" s="35" t="n"/>
      <c r="T9" s="4" t="n"/>
      <c r="U9" s="4" t="n"/>
      <c r="V9" s="4" t="n"/>
      <c r="W9" s="47" t="n"/>
      <c r="X9" s="8">
        <f>Y8</f>
        <v/>
      </c>
      <c r="Y9" s="4" t="n">
        <v>177</v>
      </c>
      <c r="Z9" s="6">
        <f>Y9-X9</f>
        <v/>
      </c>
      <c r="AA9" s="7" t="n"/>
      <c r="AB9" s="7" t="n"/>
      <c r="AC9" s="36" t="n"/>
      <c r="AD9" s="35" t="n"/>
      <c r="AE9" s="4" t="n"/>
      <c r="AF9" s="4" t="n"/>
      <c r="AG9" s="4" t="n"/>
      <c r="AH9" s="47" t="n"/>
    </row>
    <row r="10">
      <c r="A10" s="68">
        <f>A9+1</f>
        <v/>
      </c>
      <c r="B10" s="75">
        <f>C9</f>
        <v/>
      </c>
      <c r="C10" s="75" t="n">
        <v>2340</v>
      </c>
      <c r="D10" s="77">
        <f>C10-B10</f>
        <v/>
      </c>
      <c r="E10" s="78" t="n"/>
      <c r="F10" s="78" t="n"/>
      <c r="G10" s="79" t="n"/>
      <c r="H10" s="79" t="n"/>
      <c r="I10" s="75" t="n"/>
      <c r="J10" s="75" t="n"/>
      <c r="K10" s="75" t="n"/>
      <c r="L10" s="80" t="n"/>
      <c r="M10" s="62">
        <f>N9</f>
        <v/>
      </c>
      <c r="N10" s="5" t="n">
        <v>726</v>
      </c>
      <c r="O10" s="6">
        <f>N10-M10</f>
        <v/>
      </c>
      <c r="P10" s="7" t="n"/>
      <c r="Q10" s="7" t="n"/>
      <c r="R10" s="36" t="n"/>
      <c r="S10" s="36" t="n"/>
      <c r="T10" s="4" t="n"/>
      <c r="U10" s="4" t="n"/>
      <c r="V10" s="4" t="n"/>
      <c r="W10" s="47" t="n"/>
      <c r="X10" s="8">
        <f>Y9</f>
        <v/>
      </c>
      <c r="Y10" s="4" t="n">
        <v>178</v>
      </c>
      <c r="Z10" s="6">
        <f>Y10-X10</f>
        <v/>
      </c>
      <c r="AA10" s="7" t="n"/>
      <c r="AB10" s="7" t="n"/>
      <c r="AC10" s="36" t="n"/>
      <c r="AD10" s="36" t="n"/>
      <c r="AE10" s="4" t="n"/>
      <c r="AF10" s="4" t="n"/>
      <c r="AG10" s="4" t="n"/>
      <c r="AH10" s="47" t="n"/>
    </row>
    <row r="11">
      <c r="A11" s="68">
        <f>A10+1</f>
        <v/>
      </c>
      <c r="B11" s="75">
        <f>C10</f>
        <v/>
      </c>
      <c r="C11" s="75" t="n">
        <v>2343</v>
      </c>
      <c r="D11" s="77">
        <f>C11-B11</f>
        <v/>
      </c>
      <c r="E11" s="78" t="n"/>
      <c r="F11" s="78" t="n"/>
      <c r="G11" s="79" t="n"/>
      <c r="H11" s="79" t="n"/>
      <c r="I11" s="75" t="n"/>
      <c r="J11" s="75" t="n"/>
      <c r="K11" s="75" t="n"/>
      <c r="L11" s="80" t="n"/>
      <c r="M11" s="62">
        <f>N10</f>
        <v/>
      </c>
      <c r="N11" s="5" t="n">
        <v>726</v>
      </c>
      <c r="O11" s="6">
        <f>N11-M11</f>
        <v/>
      </c>
      <c r="P11" s="7" t="n"/>
      <c r="Q11" s="7" t="n"/>
      <c r="R11" s="36" t="n"/>
      <c r="S11" s="36" t="n"/>
      <c r="T11" s="4" t="n"/>
      <c r="U11" s="4" t="n"/>
      <c r="V11" s="4" t="n"/>
      <c r="W11" s="47" t="n"/>
      <c r="X11" s="8">
        <f>Y10</f>
        <v/>
      </c>
      <c r="Y11" s="4" t="n">
        <v>178</v>
      </c>
      <c r="Z11" s="6">
        <f>Y11-X11</f>
        <v/>
      </c>
      <c r="AA11" s="7" t="n"/>
      <c r="AB11" s="7" t="n"/>
      <c r="AC11" s="36" t="n"/>
      <c r="AD11" s="36" t="n"/>
      <c r="AE11" s="4" t="n"/>
      <c r="AF11" s="4" t="n"/>
      <c r="AG11" s="4" t="n"/>
      <c r="AH11" s="47" t="n"/>
    </row>
    <row r="12">
      <c r="A12" s="68">
        <f>A11+1</f>
        <v/>
      </c>
      <c r="B12" s="75">
        <f>C11</f>
        <v/>
      </c>
      <c r="C12" s="75" t="n">
        <v>2355</v>
      </c>
      <c r="D12" s="77">
        <f>C12-B12</f>
        <v/>
      </c>
      <c r="E12" s="78" t="n"/>
      <c r="F12" s="78" t="n"/>
      <c r="G12" s="79" t="n"/>
      <c r="H12" s="79" t="n"/>
      <c r="I12" s="75" t="n"/>
      <c r="J12" s="75" t="n"/>
      <c r="K12" s="75" t="n"/>
      <c r="L12" s="80" t="n"/>
      <c r="M12" s="62">
        <f>N11</f>
        <v/>
      </c>
      <c r="N12" s="4" t="n">
        <v>727</v>
      </c>
      <c r="O12" s="6">
        <f>N12-M12</f>
        <v/>
      </c>
      <c r="P12" s="7" t="n"/>
      <c r="Q12" s="7" t="n"/>
      <c r="R12" s="36" t="n"/>
      <c r="S12" s="36" t="n"/>
      <c r="T12" s="4" t="n">
        <v>340</v>
      </c>
      <c r="U12" s="4" t="n">
        <v>726</v>
      </c>
      <c r="V12" s="4">
        <f>U12-U5</f>
        <v/>
      </c>
      <c r="W12" s="47">
        <f>T12/V12</f>
        <v/>
      </c>
      <c r="X12" s="8">
        <f>Y11</f>
        <v/>
      </c>
      <c r="Y12" s="4" t="n">
        <v>178</v>
      </c>
      <c r="Z12" s="6">
        <f>Y12-X12</f>
        <v/>
      </c>
      <c r="AA12" s="7" t="n"/>
      <c r="AB12" s="7" t="n"/>
      <c r="AC12" s="36" t="n"/>
      <c r="AD12" s="36" t="n"/>
      <c r="AE12" s="4" t="n">
        <v>40</v>
      </c>
      <c r="AF12" s="4" t="inlineStr">
        <is>
          <t>N/F</t>
        </is>
      </c>
      <c r="AG12" s="4" t="n"/>
      <c r="AH12" s="47" t="n"/>
    </row>
    <row r="13">
      <c r="A13" s="68">
        <f>A12+1</f>
        <v/>
      </c>
      <c r="B13" s="75">
        <f>C12</f>
        <v/>
      </c>
      <c r="C13" s="75" t="n">
        <v>2363</v>
      </c>
      <c r="D13" s="77">
        <f>C13-B13</f>
        <v/>
      </c>
      <c r="E13" s="78" t="n"/>
      <c r="F13" s="78" t="n"/>
      <c r="G13" s="79" t="n"/>
      <c r="H13" s="79" t="n"/>
      <c r="I13" s="75" t="n">
        <v>320</v>
      </c>
      <c r="J13" s="75" t="n">
        <v>2355</v>
      </c>
      <c r="K13" s="75">
        <f>J13-J9</f>
        <v/>
      </c>
      <c r="L13" s="80">
        <f>I13/K13</f>
        <v/>
      </c>
      <c r="M13" s="62">
        <f>N12</f>
        <v/>
      </c>
      <c r="N13" s="4" t="n">
        <v>730</v>
      </c>
      <c r="O13" s="6">
        <f>N13-M13</f>
        <v/>
      </c>
      <c r="P13" s="7" t="n"/>
      <c r="Q13" s="7" t="n"/>
      <c r="R13" s="36" t="n"/>
      <c r="S13" s="35" t="n"/>
      <c r="T13" s="4" t="n"/>
      <c r="U13" s="4" t="n"/>
      <c r="V13" s="4" t="n"/>
      <c r="W13" s="47" t="n"/>
      <c r="X13" s="8">
        <f>Y12</f>
        <v/>
      </c>
      <c r="Y13" s="4" t="n">
        <v>178</v>
      </c>
      <c r="Z13" s="6">
        <f>Y13-X13</f>
        <v/>
      </c>
      <c r="AA13" s="7" t="n"/>
      <c r="AB13" s="7" t="n"/>
      <c r="AC13" s="36" t="n"/>
      <c r="AD13" s="35" t="n"/>
      <c r="AE13" s="4" t="n"/>
      <c r="AF13" s="4" t="n"/>
      <c r="AG13" s="4" t="n"/>
      <c r="AH13" s="47" t="n"/>
    </row>
    <row r="14">
      <c r="A14" s="68">
        <f>A13+1</f>
        <v/>
      </c>
      <c r="B14" s="75">
        <f>C13</f>
        <v/>
      </c>
      <c r="C14" s="75" t="n">
        <v>2374</v>
      </c>
      <c r="D14" s="77">
        <f>C14-B14</f>
        <v/>
      </c>
      <c r="E14" s="78" t="n"/>
      <c r="F14" s="78" t="n"/>
      <c r="G14" s="79" t="n"/>
      <c r="H14" s="79" t="n"/>
      <c r="I14" s="75" t="n"/>
      <c r="J14" s="75" t="n"/>
      <c r="K14" s="75" t="n"/>
      <c r="L14" s="80" t="n"/>
      <c r="M14" s="62">
        <f>N13</f>
        <v/>
      </c>
      <c r="N14" s="4" t="n">
        <v>737</v>
      </c>
      <c r="O14" s="6">
        <f>N14-M14</f>
        <v/>
      </c>
      <c r="P14" s="7" t="n"/>
      <c r="Q14" s="7" t="n"/>
      <c r="R14" s="36" t="n"/>
      <c r="S14" s="36" t="n"/>
      <c r="T14" s="4" t="n"/>
      <c r="U14" s="4" t="n"/>
      <c r="V14" s="4" t="n"/>
      <c r="W14" s="47" t="n"/>
      <c r="X14" s="8">
        <f>Y13</f>
        <v/>
      </c>
      <c r="Y14" s="4" t="n">
        <v>179</v>
      </c>
      <c r="Z14" s="6">
        <f>Y14-X14</f>
        <v/>
      </c>
      <c r="AA14" s="7" t="n"/>
      <c r="AB14" s="7" t="n"/>
      <c r="AC14" s="36" t="n"/>
      <c r="AD14" s="36" t="n"/>
      <c r="AE14" s="4" t="n"/>
      <c r="AF14" s="4" t="n"/>
      <c r="AG14" s="4" t="n"/>
      <c r="AH14" s="47" t="n"/>
    </row>
    <row r="15">
      <c r="A15" s="68">
        <f>A14+1</f>
        <v/>
      </c>
      <c r="B15" s="75">
        <f>C14</f>
        <v/>
      </c>
      <c r="C15" s="75" t="n">
        <v>2382</v>
      </c>
      <c r="D15" s="77">
        <f>C15-B15</f>
        <v/>
      </c>
      <c r="E15" s="78" t="n"/>
      <c r="F15" s="78" t="n"/>
      <c r="G15" s="79" t="n"/>
      <c r="H15" s="79" t="n"/>
      <c r="I15" s="75" t="n"/>
      <c r="J15" s="75" t="n"/>
      <c r="K15" s="75" t="n"/>
      <c r="L15" s="80" t="n"/>
      <c r="M15" s="62">
        <f>N14</f>
        <v/>
      </c>
      <c r="N15" s="4" t="n">
        <v>746</v>
      </c>
      <c r="O15" s="6">
        <f>N15-M15</f>
        <v/>
      </c>
      <c r="P15" s="7" t="n"/>
      <c r="Q15" s="7" t="n"/>
      <c r="R15" s="36" t="n"/>
      <c r="S15" s="36" t="n"/>
      <c r="T15" s="4" t="n"/>
      <c r="U15" s="4" t="n"/>
      <c r="V15" s="4" t="n"/>
      <c r="W15" s="47" t="n"/>
      <c r="X15" s="8">
        <f>Y14</f>
        <v/>
      </c>
      <c r="Y15" s="4" t="n">
        <v>179</v>
      </c>
      <c r="Z15" s="6">
        <f>Y15-X15</f>
        <v/>
      </c>
      <c r="AA15" s="7" t="n"/>
      <c r="AB15" s="7" t="n"/>
      <c r="AC15" s="36" t="n"/>
      <c r="AD15" s="36" t="n"/>
      <c r="AE15" s="4" t="n"/>
      <c r="AF15" s="4" t="n"/>
      <c r="AG15" s="4" t="n"/>
      <c r="AH15" s="47" t="n"/>
    </row>
    <row r="16">
      <c r="A16" s="68">
        <f>A15+1</f>
        <v/>
      </c>
      <c r="B16" s="75">
        <f>C15</f>
        <v/>
      </c>
      <c r="C16" s="75" t="n">
        <v>2385</v>
      </c>
      <c r="D16" s="77">
        <f>C16-B16</f>
        <v/>
      </c>
      <c r="E16" s="78" t="n"/>
      <c r="F16" s="78" t="n"/>
      <c r="G16" s="79" t="n"/>
      <c r="H16" s="79" t="n"/>
      <c r="I16" s="75" t="n">
        <v>350</v>
      </c>
      <c r="J16" s="75" t="n">
        <v>2382</v>
      </c>
      <c r="K16" s="75">
        <f>J16-J13</f>
        <v/>
      </c>
      <c r="L16" s="80">
        <f>I16/K16</f>
        <v/>
      </c>
      <c r="M16" s="62">
        <f>N15</f>
        <v/>
      </c>
      <c r="N16" s="4" t="n">
        <v>752</v>
      </c>
      <c r="O16" s="6">
        <f>N16-M16</f>
        <v/>
      </c>
      <c r="P16" s="7" t="n"/>
      <c r="Q16" s="7" t="n"/>
      <c r="R16" s="36" t="n"/>
      <c r="S16" s="36" t="n"/>
      <c r="T16" s="4" t="n"/>
      <c r="U16" s="4" t="n"/>
      <c r="V16" s="4" t="n"/>
      <c r="W16" s="47" t="n"/>
      <c r="X16" s="8">
        <f>Y15</f>
        <v/>
      </c>
      <c r="Y16" s="4" t="n">
        <v>183</v>
      </c>
      <c r="Z16" s="6">
        <f>Y16-X16</f>
        <v/>
      </c>
      <c r="AA16" s="7" t="n"/>
      <c r="AB16" s="7" t="n"/>
      <c r="AC16" s="36" t="n"/>
      <c r="AD16" s="36" t="n"/>
      <c r="AE16" s="4" t="n"/>
      <c r="AF16" s="4" t="n"/>
      <c r="AG16" s="4" t="n"/>
      <c r="AH16" s="47" t="n"/>
    </row>
    <row r="17">
      <c r="A17" s="68">
        <f>A16+1</f>
        <v/>
      </c>
      <c r="B17" s="75">
        <f>C16</f>
        <v/>
      </c>
      <c r="C17" s="75" t="n">
        <v>2387</v>
      </c>
      <c r="D17" s="77">
        <f>C17-B17</f>
        <v/>
      </c>
      <c r="E17" s="78" t="n"/>
      <c r="F17" s="78" t="n"/>
      <c r="G17" s="79" t="n"/>
      <c r="H17" s="79" t="n"/>
      <c r="I17" s="75" t="n"/>
      <c r="J17" s="75" t="n"/>
      <c r="K17" s="75" t="n"/>
      <c r="L17" s="80" t="n"/>
      <c r="M17" s="62">
        <f>N16</f>
        <v/>
      </c>
      <c r="N17" s="4" t="n">
        <v>752</v>
      </c>
      <c r="O17" s="6">
        <f>N17-M17</f>
        <v/>
      </c>
      <c r="P17" s="7" t="n"/>
      <c r="Q17" s="7" t="n"/>
      <c r="R17" s="36" t="n"/>
      <c r="S17" s="36" t="n"/>
      <c r="T17" s="4" t="n"/>
      <c r="U17" s="4" t="n"/>
      <c r="V17" s="4" t="n"/>
      <c r="W17" s="47" t="n"/>
      <c r="X17" s="8">
        <f>Y16</f>
        <v/>
      </c>
      <c r="Y17" s="4" t="n">
        <v>183</v>
      </c>
      <c r="Z17" s="6">
        <f>Y17-X17</f>
        <v/>
      </c>
      <c r="AA17" s="7" t="n"/>
      <c r="AB17" s="7" t="n"/>
      <c r="AC17" s="36" t="n"/>
      <c r="AD17" s="36" t="n"/>
      <c r="AE17" s="4" t="n"/>
      <c r="AF17" s="4" t="n"/>
      <c r="AG17" s="4" t="n"/>
      <c r="AH17" s="47" t="n"/>
    </row>
    <row r="18">
      <c r="A18" s="68">
        <f>A17+1</f>
        <v/>
      </c>
      <c r="B18" s="75">
        <f>C17</f>
        <v/>
      </c>
      <c r="C18" s="75" t="n">
        <v>2399</v>
      </c>
      <c r="D18" s="77">
        <f>C18-B18</f>
        <v/>
      </c>
      <c r="E18" s="78" t="n"/>
      <c r="F18" s="78" t="n"/>
      <c r="G18" s="79" t="n"/>
      <c r="H18" s="79" t="n"/>
      <c r="I18" s="75" t="n"/>
      <c r="J18" s="75" t="n"/>
      <c r="K18" s="75" t="n"/>
      <c r="L18" s="80" t="n"/>
      <c r="M18" s="62">
        <f>N17</f>
        <v/>
      </c>
      <c r="N18" s="4" t="n">
        <v>752</v>
      </c>
      <c r="O18" s="6">
        <f>N18-M18</f>
        <v/>
      </c>
      <c r="P18" s="7" t="n"/>
      <c r="Q18" s="7" t="n"/>
      <c r="R18" s="36" t="n"/>
      <c r="S18" s="36" t="n"/>
      <c r="T18" s="4" t="n"/>
      <c r="U18" s="4" t="n"/>
      <c r="V18" s="4" t="n"/>
      <c r="W18" s="47" t="n"/>
      <c r="X18" s="8">
        <f>Y17</f>
        <v/>
      </c>
      <c r="Y18" s="4" t="n">
        <v>183</v>
      </c>
      <c r="Z18" s="6">
        <f>Y18-X18</f>
        <v/>
      </c>
      <c r="AA18" s="7" t="n"/>
      <c r="AB18" s="7" t="n"/>
      <c r="AC18" s="36" t="n"/>
      <c r="AD18" s="36" t="n"/>
      <c r="AE18" s="4" t="n"/>
      <c r="AF18" s="4" t="n"/>
      <c r="AG18" s="4" t="n"/>
      <c r="AH18" s="47" t="n"/>
    </row>
    <row r="19">
      <c r="A19" s="68">
        <f>A18+1</f>
        <v/>
      </c>
      <c r="B19" s="75">
        <f>C18</f>
        <v/>
      </c>
      <c r="C19" s="75" t="n">
        <v>2402</v>
      </c>
      <c r="D19" s="77">
        <f>C19-B19</f>
        <v/>
      </c>
      <c r="E19" s="78" t="n"/>
      <c r="F19" s="78" t="n"/>
      <c r="G19" s="79" t="n"/>
      <c r="H19" s="79" t="n"/>
      <c r="I19" s="75" t="n"/>
      <c r="J19" s="75" t="n"/>
      <c r="K19" s="75" t="n"/>
      <c r="L19" s="80" t="n"/>
      <c r="M19" s="62">
        <f>N18</f>
        <v/>
      </c>
      <c r="N19" s="4" t="n">
        <v>756</v>
      </c>
      <c r="O19" s="6">
        <f>N19-M19</f>
        <v/>
      </c>
      <c r="P19" s="7" t="n"/>
      <c r="Q19" s="7" t="n"/>
      <c r="R19" s="36" t="n"/>
      <c r="S19" s="36" t="n"/>
      <c r="T19" s="120" t="n">
        <v>350</v>
      </c>
      <c r="U19" s="120" t="n">
        <v>754</v>
      </c>
      <c r="V19" s="4">
        <f>U19-U12</f>
        <v/>
      </c>
      <c r="W19" s="47">
        <f>T19/V19</f>
        <v/>
      </c>
      <c r="X19" s="8">
        <f>Y18</f>
        <v/>
      </c>
      <c r="Y19" s="4" t="n">
        <v>183</v>
      </c>
      <c r="Z19" s="6">
        <f>Y19-X19</f>
        <v/>
      </c>
      <c r="AA19" s="7" t="n"/>
      <c r="AB19" s="7" t="n"/>
      <c r="AC19" s="36" t="n"/>
      <c r="AD19" s="36" t="n"/>
      <c r="AE19" s="4" t="n"/>
      <c r="AF19" s="4" t="n"/>
      <c r="AG19" s="4" t="n"/>
      <c r="AH19" s="47" t="n"/>
    </row>
    <row r="20">
      <c r="A20" s="68">
        <f>A19+1</f>
        <v/>
      </c>
      <c r="B20" s="75">
        <f>C19</f>
        <v/>
      </c>
      <c r="C20" s="75" t="n">
        <v>2405</v>
      </c>
      <c r="D20" s="77">
        <f>C20-B20</f>
        <v/>
      </c>
      <c r="E20" s="78" t="n"/>
      <c r="F20" s="78" t="n"/>
      <c r="G20" s="79" t="n"/>
      <c r="H20" s="79" t="n"/>
      <c r="I20" s="75" t="n">
        <v>268</v>
      </c>
      <c r="J20" s="75" t="n">
        <v>2402</v>
      </c>
      <c r="K20" s="75">
        <f>J20-J16</f>
        <v/>
      </c>
      <c r="L20" s="80">
        <f>I20/K20</f>
        <v/>
      </c>
      <c r="M20" s="62">
        <f>N19</f>
        <v/>
      </c>
      <c r="N20" s="4" t="n">
        <v>767</v>
      </c>
      <c r="O20" s="6">
        <f>N20-M20</f>
        <v/>
      </c>
      <c r="P20" s="7" t="n"/>
      <c r="Q20" s="7" t="n"/>
      <c r="R20" s="36" t="n"/>
      <c r="S20" s="35" t="n"/>
      <c r="T20" s="4" t="n"/>
      <c r="U20" s="4" t="n"/>
      <c r="V20" s="4" t="n"/>
      <c r="W20" s="47" t="n"/>
      <c r="X20" s="8">
        <f>Y19</f>
        <v/>
      </c>
      <c r="Y20" s="4" t="n">
        <v>185</v>
      </c>
      <c r="Z20" s="6">
        <f>Y20-X20</f>
        <v/>
      </c>
      <c r="AA20" s="7" t="n"/>
      <c r="AB20" s="7" t="n"/>
      <c r="AC20" s="36" t="n"/>
      <c r="AD20" s="35" t="n"/>
      <c r="AE20" s="4" t="n"/>
      <c r="AF20" s="4" t="n"/>
      <c r="AG20" s="4" t="n"/>
      <c r="AH20" s="47" t="n"/>
    </row>
    <row r="21">
      <c r="A21" s="68">
        <f>A20+1</f>
        <v/>
      </c>
      <c r="B21" s="75">
        <f>C20</f>
        <v/>
      </c>
      <c r="C21" s="82" t="n">
        <v>2415</v>
      </c>
      <c r="D21" s="77">
        <f>C21-B21</f>
        <v/>
      </c>
      <c r="E21" s="78" t="n"/>
      <c r="F21" s="78" t="n"/>
      <c r="G21" s="79" t="n"/>
      <c r="H21" s="79" t="n"/>
      <c r="I21" s="75" t="n"/>
      <c r="J21" s="75" t="n"/>
      <c r="K21" s="75" t="n"/>
      <c r="L21" s="80" t="n"/>
      <c r="M21" s="62">
        <f>N20</f>
        <v/>
      </c>
      <c r="N21" s="4" t="n">
        <v>779</v>
      </c>
      <c r="O21" s="6">
        <f>N21-M21</f>
        <v/>
      </c>
      <c r="P21" s="7" t="n"/>
      <c r="Q21" s="7" t="n"/>
      <c r="R21" s="36" t="n"/>
      <c r="S21" s="36" t="n"/>
      <c r="T21" s="4" t="n"/>
      <c r="U21" s="4" t="n"/>
      <c r="V21" s="4" t="n"/>
      <c r="W21" s="47" t="n"/>
      <c r="X21" s="8">
        <f>Y20</f>
        <v/>
      </c>
      <c r="Y21" s="4" t="n">
        <v>188</v>
      </c>
      <c r="Z21" s="6">
        <f>Y21-X21</f>
        <v/>
      </c>
      <c r="AA21" s="7" t="n"/>
      <c r="AB21" s="7" t="n"/>
      <c r="AC21" s="36" t="n"/>
      <c r="AD21" s="36" t="n"/>
      <c r="AE21" s="4" t="n"/>
      <c r="AF21" s="4" t="n"/>
      <c r="AG21" s="4" t="n"/>
      <c r="AH21" s="47" t="n"/>
    </row>
    <row r="22">
      <c r="A22" s="68">
        <f>A21+1</f>
        <v/>
      </c>
      <c r="B22" s="75">
        <f>C21</f>
        <v/>
      </c>
      <c r="C22" s="75" t="n">
        <v>2418</v>
      </c>
      <c r="D22" s="77">
        <f>C22-B22</f>
        <v/>
      </c>
      <c r="E22" s="78" t="n"/>
      <c r="F22" s="78" t="n"/>
      <c r="G22" s="79" t="n"/>
      <c r="H22" s="79" t="n"/>
      <c r="I22" s="75" t="n"/>
      <c r="J22" s="75" t="n"/>
      <c r="K22" s="75" t="n"/>
      <c r="L22" s="80" t="n"/>
      <c r="M22" s="62">
        <f>N21</f>
        <v/>
      </c>
      <c r="N22" s="4" t="n">
        <v>783</v>
      </c>
      <c r="O22" s="6">
        <f>N22-M22</f>
        <v/>
      </c>
      <c r="P22" s="7" t="n"/>
      <c r="Q22" s="7" t="n"/>
      <c r="R22" s="36" t="n"/>
      <c r="S22" s="36" t="n"/>
      <c r="T22" s="4" t="n">
        <v>350</v>
      </c>
      <c r="U22" s="4" t="n">
        <v>782</v>
      </c>
      <c r="V22" s="4">
        <f>U22-U19</f>
        <v/>
      </c>
      <c r="W22" s="47">
        <f>T22/V22</f>
        <v/>
      </c>
      <c r="X22" s="8">
        <f>Y21</f>
        <v/>
      </c>
      <c r="Y22" s="4" t="n">
        <v>188</v>
      </c>
      <c r="Z22" s="6">
        <f>Y22-X22</f>
        <v/>
      </c>
      <c r="AA22" s="7" t="n"/>
      <c r="AB22" s="7" t="n"/>
      <c r="AC22" s="36" t="n"/>
      <c r="AD22" s="36" t="n"/>
      <c r="AE22" s="4" t="n">
        <v>100</v>
      </c>
      <c r="AF22" s="4" t="n">
        <v>188</v>
      </c>
      <c r="AG22" s="4">
        <f>AF22-AF5</f>
        <v/>
      </c>
      <c r="AH22" s="47">
        <f>AE22/AG22</f>
        <v/>
      </c>
    </row>
    <row r="23">
      <c r="A23" s="68">
        <f>A22+1</f>
        <v/>
      </c>
      <c r="B23" s="75">
        <f>C22</f>
        <v/>
      </c>
      <c r="C23" s="75" t="n">
        <v>2420</v>
      </c>
      <c r="D23" s="77">
        <f>C23-B23</f>
        <v/>
      </c>
      <c r="E23" s="78" t="n"/>
      <c r="F23" s="78" t="n"/>
      <c r="G23" s="79" t="n"/>
      <c r="H23" s="79" t="n"/>
      <c r="I23" s="75" t="n">
        <v>245</v>
      </c>
      <c r="J23" s="75" t="n">
        <v>2419</v>
      </c>
      <c r="K23" s="75">
        <f>J23-J20</f>
        <v/>
      </c>
      <c r="L23" s="80">
        <f>I23/K23</f>
        <v/>
      </c>
      <c r="M23" s="62">
        <f>N22</f>
        <v/>
      </c>
      <c r="N23" s="4" t="n">
        <v>785</v>
      </c>
      <c r="O23" s="6">
        <f>N23-M23</f>
        <v/>
      </c>
      <c r="P23" s="7" t="n"/>
      <c r="Q23" s="7" t="n"/>
      <c r="R23" s="36" t="n"/>
      <c r="S23" s="36" t="n"/>
      <c r="T23" s="4" t="n"/>
      <c r="U23" s="4" t="n"/>
      <c r="V23" s="4" t="n"/>
      <c r="W23" s="47" t="n"/>
      <c r="X23" s="8">
        <f>Y22</f>
        <v/>
      </c>
      <c r="Y23" s="4" t="n">
        <v>188</v>
      </c>
      <c r="Z23" s="6">
        <f>Y23-X23</f>
        <v/>
      </c>
      <c r="AA23" s="7" t="n"/>
      <c r="AB23" s="7" t="n"/>
      <c r="AC23" s="36" t="n"/>
      <c r="AD23" s="36" t="n"/>
      <c r="AE23" s="4" t="n"/>
      <c r="AF23" s="4" t="n"/>
      <c r="AG23" s="4" t="n"/>
      <c r="AH23" s="47" t="n"/>
    </row>
    <row r="24">
      <c r="A24" s="68">
        <f>A23+1</f>
        <v/>
      </c>
      <c r="B24" s="75">
        <f>C23</f>
        <v/>
      </c>
      <c r="C24" s="75" t="n">
        <v>2425</v>
      </c>
      <c r="D24" s="77">
        <f>C24-B24</f>
        <v/>
      </c>
      <c r="E24" s="78" t="n"/>
      <c r="F24" s="78" t="n"/>
      <c r="G24" s="79" t="n"/>
      <c r="H24" s="79" t="n"/>
      <c r="I24" s="75" t="n"/>
      <c r="J24" s="75" t="n"/>
      <c r="K24" s="75" t="n"/>
      <c r="L24" s="80" t="n"/>
      <c r="M24" s="62">
        <f>N23</f>
        <v/>
      </c>
      <c r="N24" s="4" t="n">
        <v>787</v>
      </c>
      <c r="O24" s="6">
        <f>N24-M24</f>
        <v/>
      </c>
      <c r="P24" s="7" t="n"/>
      <c r="Q24" s="7" t="n"/>
      <c r="R24" s="36" t="n"/>
      <c r="S24" s="36" t="n"/>
      <c r="T24" s="4" t="n"/>
      <c r="U24" s="4" t="n"/>
      <c r="V24" s="4" t="n"/>
      <c r="W24" s="47" t="n"/>
      <c r="X24" s="8">
        <f>Y23</f>
        <v/>
      </c>
      <c r="Y24" s="4" t="n">
        <v>190</v>
      </c>
      <c r="Z24" s="6">
        <f>Y24-X24</f>
        <v/>
      </c>
      <c r="AA24" s="7" t="n"/>
      <c r="AB24" s="7" t="n"/>
      <c r="AC24" s="36" t="n"/>
      <c r="AD24" s="36" t="n"/>
      <c r="AE24" s="4" t="n"/>
      <c r="AF24" s="4" t="n"/>
      <c r="AG24" s="4" t="n"/>
      <c r="AH24" s="47" t="n"/>
    </row>
    <row r="25">
      <c r="A25" s="68">
        <f>A24+1</f>
        <v/>
      </c>
      <c r="B25" s="75">
        <f>C24</f>
        <v/>
      </c>
      <c r="C25" s="75" t="n">
        <v>2434</v>
      </c>
      <c r="D25" s="77">
        <f>C25-B25</f>
        <v/>
      </c>
      <c r="E25" s="78" t="n"/>
      <c r="F25" s="78" t="n"/>
      <c r="G25" s="79" t="n"/>
      <c r="H25" s="79" t="n"/>
      <c r="I25" s="75" t="n"/>
      <c r="J25" s="75" t="n"/>
      <c r="K25" s="75" t="n"/>
      <c r="L25" s="80" t="n"/>
      <c r="M25" s="62">
        <f>N24</f>
        <v/>
      </c>
      <c r="N25" s="4" t="n">
        <v>787</v>
      </c>
      <c r="O25" s="6">
        <f>N25-M25</f>
        <v/>
      </c>
      <c r="P25" s="7" t="n"/>
      <c r="Q25" s="7" t="n"/>
      <c r="R25" s="36" t="n"/>
      <c r="S25" s="36" t="n"/>
      <c r="T25" s="4" t="n"/>
      <c r="U25" s="4" t="n"/>
      <c r="V25" s="4" t="n"/>
      <c r="W25" s="47" t="n"/>
      <c r="X25" s="8">
        <f>Y24</f>
        <v/>
      </c>
      <c r="Y25" s="4" t="n">
        <v>190</v>
      </c>
      <c r="Z25" s="6">
        <f>Y25-X25</f>
        <v/>
      </c>
      <c r="AA25" s="7" t="inlineStr">
        <is>
          <t xml:space="preserve"> </t>
        </is>
      </c>
      <c r="AB25" s="7" t="n"/>
      <c r="AC25" s="36" t="n"/>
      <c r="AD25" s="36" t="n"/>
      <c r="AE25" s="4" t="n"/>
      <c r="AF25" s="4" t="n"/>
      <c r="AG25" s="4" t="n"/>
      <c r="AH25" s="47" t="n"/>
    </row>
    <row r="26">
      <c r="A26" s="68">
        <f>A25+1</f>
        <v/>
      </c>
      <c r="B26" s="75">
        <f>C25</f>
        <v/>
      </c>
      <c r="C26" s="77" t="n">
        <v>2442</v>
      </c>
      <c r="D26" s="77">
        <f>C26-B26</f>
        <v/>
      </c>
      <c r="E26" s="78" t="n"/>
      <c r="F26" s="78" t="n"/>
      <c r="G26" s="79" t="n"/>
      <c r="H26" s="79" t="n"/>
      <c r="I26" s="75" t="n">
        <v>240</v>
      </c>
      <c r="J26" s="75" t="n">
        <v>2439</v>
      </c>
      <c r="K26" s="75">
        <f>J26-J23</f>
        <v/>
      </c>
      <c r="L26" s="80">
        <f>I26/K26</f>
        <v/>
      </c>
      <c r="M26" s="62">
        <f>N25</f>
        <v/>
      </c>
      <c r="N26" s="4" t="n">
        <v>791</v>
      </c>
      <c r="O26" s="6">
        <f>N26-M26</f>
        <v/>
      </c>
      <c r="P26" s="7" t="n"/>
      <c r="Q26" s="7" t="n"/>
      <c r="R26" s="36" t="n"/>
      <c r="S26" s="36" t="n"/>
      <c r="T26" s="4" t="n"/>
      <c r="U26" s="4" t="n"/>
      <c r="V26" s="4" t="n"/>
      <c r="W26" s="47" t="n"/>
      <c r="X26" s="8">
        <f>Y25</f>
        <v/>
      </c>
      <c r="Y26" s="4" t="n">
        <v>191</v>
      </c>
      <c r="Z26" s="6">
        <f>Y26-X26</f>
        <v/>
      </c>
      <c r="AA26" s="7" t="n"/>
      <c r="AB26" s="7" t="n"/>
      <c r="AC26" s="36" t="n"/>
      <c r="AD26" s="36" t="n"/>
      <c r="AE26" s="4" t="n"/>
      <c r="AF26" s="4" t="n"/>
      <c r="AG26" s="4" t="n"/>
      <c r="AH26" s="47" t="n"/>
    </row>
    <row r="27">
      <c r="A27" s="68">
        <f>A26+1</f>
        <v/>
      </c>
      <c r="B27" s="75">
        <f>C26</f>
        <v/>
      </c>
      <c r="C27" s="75" t="n">
        <v>2444</v>
      </c>
      <c r="D27" s="77">
        <f>C27-B27</f>
        <v/>
      </c>
      <c r="E27" s="78" t="n"/>
      <c r="F27" s="78" t="n"/>
      <c r="G27" s="79" t="n"/>
      <c r="H27" s="79" t="n"/>
      <c r="I27" s="75" t="n"/>
      <c r="J27" s="75" t="n"/>
      <c r="K27" s="75" t="n"/>
      <c r="L27" s="80" t="n"/>
      <c r="M27" s="62">
        <f>N26</f>
        <v/>
      </c>
      <c r="N27" s="4" t="n">
        <v>798</v>
      </c>
      <c r="O27" s="6">
        <f>N27-M27</f>
        <v/>
      </c>
      <c r="P27" s="7" t="n"/>
      <c r="Q27" s="7" t="n"/>
      <c r="R27" s="36" t="n"/>
      <c r="S27" s="36" t="n"/>
      <c r="T27" s="120" t="n"/>
      <c r="U27" s="120" t="n"/>
      <c r="V27" s="120" t="n"/>
      <c r="W27" s="47" t="n"/>
      <c r="X27" s="8">
        <f>Y26</f>
        <v/>
      </c>
      <c r="Y27" s="4" t="n">
        <v>191</v>
      </c>
      <c r="Z27" s="6">
        <f>Y27-X27</f>
        <v/>
      </c>
      <c r="AA27" s="7" t="n"/>
      <c r="AB27" s="7" t="n"/>
      <c r="AC27" s="36" t="n"/>
      <c r="AD27" s="36" t="n"/>
      <c r="AE27" s="4" t="n"/>
      <c r="AF27" s="4" t="n"/>
      <c r="AG27" s="4" t="n"/>
      <c r="AH27" s="47" t="n"/>
    </row>
    <row r="28">
      <c r="A28" s="68">
        <f>A27+1</f>
        <v/>
      </c>
      <c r="B28" s="75">
        <f>C27</f>
        <v/>
      </c>
      <c r="C28" s="75" t="n">
        <v>2458</v>
      </c>
      <c r="D28" s="77">
        <f>C28-B28</f>
        <v/>
      </c>
      <c r="E28" s="78" t="n"/>
      <c r="F28" s="78" t="n"/>
      <c r="G28" s="79" t="n"/>
      <c r="H28" s="79" t="n"/>
      <c r="I28" s="75" t="n"/>
      <c r="J28" s="75" t="n"/>
      <c r="K28" s="75" t="n"/>
      <c r="L28" s="80" t="n"/>
      <c r="M28" s="62">
        <f>N27</f>
        <v/>
      </c>
      <c r="N28" s="4" t="n">
        <v>802</v>
      </c>
      <c r="O28" s="6">
        <f>N28-M28</f>
        <v/>
      </c>
      <c r="P28" s="7" t="n"/>
      <c r="Q28" s="7" t="n"/>
      <c r="R28" s="36" t="n"/>
      <c r="S28" s="35" t="n"/>
      <c r="T28" s="4" t="n"/>
      <c r="U28" s="4" t="n"/>
      <c r="V28" s="4" t="n"/>
      <c r="W28" s="47" t="n"/>
      <c r="X28" s="8">
        <f>Y27</f>
        <v/>
      </c>
      <c r="Y28" s="4" t="n">
        <v>191</v>
      </c>
      <c r="Z28" s="6">
        <f>Y28-X28</f>
        <v/>
      </c>
      <c r="AA28" s="7" t="n"/>
      <c r="AB28" s="7" t="n"/>
      <c r="AC28" s="36" t="n"/>
      <c r="AD28" s="35" t="n"/>
      <c r="AE28" s="4" t="n"/>
      <c r="AF28" s="4" t="n"/>
      <c r="AG28" s="4" t="n"/>
      <c r="AH28" s="47" t="n"/>
    </row>
    <row r="29">
      <c r="A29" s="68">
        <f>A28+1</f>
        <v/>
      </c>
      <c r="B29" s="75">
        <f>C28</f>
        <v/>
      </c>
      <c r="C29" s="75" t="n">
        <v>2462</v>
      </c>
      <c r="D29" s="77">
        <f>C29-B29</f>
        <v/>
      </c>
      <c r="E29" s="78" t="n"/>
      <c r="F29" s="78" t="n"/>
      <c r="G29" s="79" t="n"/>
      <c r="H29" s="79" t="n"/>
      <c r="I29" s="75" t="n">
        <v>260</v>
      </c>
      <c r="J29" s="75" t="n">
        <v>2459</v>
      </c>
      <c r="K29" s="75">
        <f>J29-J26</f>
        <v/>
      </c>
      <c r="L29" s="80">
        <f>I29/K29</f>
        <v/>
      </c>
      <c r="M29" s="62">
        <f>N28</f>
        <v/>
      </c>
      <c r="N29" s="4" t="n">
        <v>808</v>
      </c>
      <c r="O29" s="6">
        <f>N29-M29</f>
        <v/>
      </c>
      <c r="P29" s="7" t="n"/>
      <c r="Q29" s="7" t="n"/>
      <c r="R29" s="36" t="n"/>
      <c r="S29" s="36" t="n"/>
      <c r="T29" s="4" t="n"/>
      <c r="U29" s="4" t="n"/>
      <c r="V29" s="4" t="n"/>
      <c r="W29" s="47" t="n"/>
      <c r="X29" s="8">
        <f>Y28</f>
        <v/>
      </c>
      <c r="Y29" s="4" t="n">
        <v>191</v>
      </c>
      <c r="Z29" s="6">
        <f>Y29-X29</f>
        <v/>
      </c>
      <c r="AA29" s="7" t="n"/>
      <c r="AB29" s="7" t="n"/>
      <c r="AC29" s="36" t="n"/>
      <c r="AD29" s="36" t="n"/>
      <c r="AE29" s="4" t="n"/>
      <c r="AF29" s="4" t="n"/>
      <c r="AG29" s="4" t="n"/>
      <c r="AH29" s="47" t="n"/>
    </row>
    <row r="30">
      <c r="A30" s="68">
        <f>A29+1</f>
        <v/>
      </c>
      <c r="B30" s="75">
        <f>C29</f>
        <v/>
      </c>
      <c r="C30" s="75" t="n">
        <v>2465</v>
      </c>
      <c r="D30" s="77">
        <f>C30-B30</f>
        <v/>
      </c>
      <c r="E30" s="78" t="n"/>
      <c r="F30" s="78" t="n"/>
      <c r="G30" s="79" t="n"/>
      <c r="H30" s="79" t="n"/>
      <c r="I30" s="75" t="n"/>
      <c r="J30" s="75" t="n"/>
      <c r="K30" s="75" t="n"/>
      <c r="L30" s="80" t="n"/>
      <c r="M30" s="62">
        <f>N29</f>
        <v/>
      </c>
      <c r="N30" s="4" t="n">
        <v>819</v>
      </c>
      <c r="O30" s="6">
        <f>N30-M30</f>
        <v/>
      </c>
      <c r="P30" s="7" t="n"/>
      <c r="Q30" s="7" t="n"/>
      <c r="R30" s="36" t="n"/>
      <c r="S30" s="35" t="n"/>
      <c r="T30" s="4" t="n"/>
      <c r="U30" s="4" t="n"/>
      <c r="V30" s="4" t="n"/>
      <c r="W30" s="47" t="n"/>
      <c r="X30" s="8">
        <f>Y29</f>
        <v/>
      </c>
      <c r="Y30" s="4" t="n">
        <v>198</v>
      </c>
      <c r="Z30" s="6">
        <f>Y30-X30</f>
        <v/>
      </c>
      <c r="AA30" s="7" t="n"/>
      <c r="AB30" s="7" t="n"/>
      <c r="AC30" s="36" t="n"/>
      <c r="AD30" s="35" t="n"/>
      <c r="AE30" s="4" t="n"/>
      <c r="AF30" s="4" t="n"/>
      <c r="AG30" s="4" t="n"/>
      <c r="AH30" s="47" t="n"/>
    </row>
    <row r="31">
      <c r="A31" s="68">
        <f>A30+1</f>
        <v/>
      </c>
      <c r="B31" s="75">
        <f>C30</f>
        <v/>
      </c>
      <c r="C31" s="75" t="n">
        <v>2472</v>
      </c>
      <c r="D31" s="77">
        <f>C31-B31</f>
        <v/>
      </c>
      <c r="E31" s="78" t="n"/>
      <c r="F31" s="78" t="n"/>
      <c r="G31" s="79" t="n"/>
      <c r="H31" s="79" t="n"/>
      <c r="I31" s="75" t="n"/>
      <c r="J31" s="75" t="n"/>
      <c r="K31" s="75" t="n"/>
      <c r="L31" s="80" t="n"/>
      <c r="M31" s="62">
        <f>N30</f>
        <v/>
      </c>
      <c r="N31" s="4" t="n">
        <v>826</v>
      </c>
      <c r="O31" s="6">
        <f>N31-M31</f>
        <v/>
      </c>
      <c r="P31" s="7" t="n"/>
      <c r="Q31" s="7" t="n"/>
      <c r="R31" s="36" t="n"/>
      <c r="S31" s="35" t="n"/>
      <c r="T31" s="4" t="n"/>
      <c r="U31" s="4" t="n"/>
      <c r="V31" s="4" t="n"/>
      <c r="W31" s="47" t="n"/>
      <c r="X31" s="8">
        <f>Y30</f>
        <v/>
      </c>
      <c r="Y31" s="4" t="n">
        <v>199</v>
      </c>
      <c r="Z31" s="6">
        <f>Y31-X31</f>
        <v/>
      </c>
      <c r="AA31" s="7" t="n"/>
      <c r="AB31" s="7" t="n"/>
      <c r="AC31" s="36" t="n"/>
      <c r="AD31" s="35" t="n"/>
      <c r="AE31" s="4" t="n"/>
      <c r="AF31" s="4" t="n"/>
      <c r="AG31" s="4" t="n"/>
      <c r="AH31" s="47" t="n"/>
    </row>
    <row r="32">
      <c r="A32" s="68">
        <f>A31+1</f>
        <v/>
      </c>
      <c r="B32" s="75">
        <f>C31</f>
        <v/>
      </c>
      <c r="C32" s="75" t="n">
        <v>2473</v>
      </c>
      <c r="D32" s="77">
        <f>C32-B32</f>
        <v/>
      </c>
      <c r="E32" s="78" t="n"/>
      <c r="F32" s="78" t="n"/>
      <c r="G32" s="79" t="n"/>
      <c r="H32" s="79" t="n"/>
      <c r="I32" s="75" t="n"/>
      <c r="J32" s="75" t="n"/>
      <c r="K32" s="75" t="n"/>
      <c r="L32" s="80" t="n"/>
      <c r="M32" s="62">
        <f>N31</f>
        <v/>
      </c>
      <c r="N32" s="4" t="n">
        <v>833</v>
      </c>
      <c r="O32" s="6">
        <f>N32-M32</f>
        <v/>
      </c>
      <c r="P32" s="7" t="n"/>
      <c r="Q32" s="7" t="n"/>
      <c r="R32" s="36" t="n"/>
      <c r="S32" s="35" t="n"/>
      <c r="T32" s="4" t="n"/>
      <c r="U32" s="4" t="n"/>
      <c r="V32" s="120" t="n"/>
      <c r="W32" s="47" t="n"/>
      <c r="X32" s="8">
        <f>Y31</f>
        <v/>
      </c>
      <c r="Y32" s="4" t="n">
        <v>202</v>
      </c>
      <c r="Z32" s="6">
        <f>Y32-X32</f>
        <v/>
      </c>
      <c r="AA32" s="7" t="n"/>
      <c r="AB32" s="7" t="n"/>
      <c r="AC32" s="36" t="n"/>
      <c r="AD32" s="35" t="n"/>
      <c r="AE32" s="4" t="n"/>
      <c r="AF32" s="4" t="n"/>
      <c r="AG32" s="4" t="n"/>
      <c r="AH32" s="47" t="n"/>
    </row>
    <row r="33">
      <c r="A33" s="68">
        <f>A32+1</f>
        <v/>
      </c>
      <c r="B33" s="75">
        <f>C32</f>
        <v/>
      </c>
      <c r="C33" s="75" t="n">
        <v>2481</v>
      </c>
      <c r="D33" s="77">
        <f>C33-B33</f>
        <v/>
      </c>
      <c r="E33" s="78" t="n"/>
      <c r="F33" s="78" t="n"/>
      <c r="G33" s="79" t="n"/>
      <c r="H33" s="79" t="n"/>
      <c r="I33" s="75" t="n"/>
      <c r="J33" s="75" t="n"/>
      <c r="K33" s="75" t="n"/>
      <c r="L33" s="80" t="n"/>
      <c r="M33" s="62">
        <f>N32</f>
        <v/>
      </c>
      <c r="N33" s="4" t="n">
        <v>840</v>
      </c>
      <c r="O33" s="6">
        <f>N33-M33</f>
        <v/>
      </c>
      <c r="P33" s="7" t="n"/>
      <c r="Q33" s="7" t="n"/>
      <c r="R33" s="36" t="n"/>
      <c r="S33" s="35" t="n"/>
      <c r="T33" s="4" t="n"/>
      <c r="U33" s="4" t="n"/>
      <c r="V33" s="120" t="n"/>
      <c r="W33" s="47" t="n"/>
      <c r="X33" s="8">
        <f>Y32</f>
        <v/>
      </c>
      <c r="Y33" s="4" t="n">
        <v>204</v>
      </c>
      <c r="Z33" s="6">
        <f>Y33-X33</f>
        <v/>
      </c>
      <c r="AA33" s="7" t="n"/>
      <c r="AB33" s="7" t="n"/>
      <c r="AC33" s="36" t="n"/>
      <c r="AD33" s="35" t="n"/>
      <c r="AE33" s="4" t="n"/>
      <c r="AF33" s="4" t="n"/>
      <c r="AG33" s="4" t="n"/>
      <c r="AH33" s="47" t="n"/>
    </row>
    <row r="34" ht="16.5" customHeight="1" thickBot="1">
      <c r="A34" s="69" t="n"/>
      <c r="B34" s="70" t="n"/>
      <c r="C34" s="71" t="n"/>
      <c r="D34" s="72">
        <f>SUM(D3:D33)</f>
        <v/>
      </c>
      <c r="E34" s="73" t="n"/>
      <c r="F34" s="73" t="n"/>
      <c r="G34" s="72">
        <f>SUM(G3:G33)</f>
        <v/>
      </c>
      <c r="H34" s="73" t="inlineStr">
        <is>
          <t>No B/D</t>
        </is>
      </c>
      <c r="I34" s="72">
        <f>SUM(I3:I33)</f>
        <v/>
      </c>
      <c r="J34" s="72" t="n"/>
      <c r="K34" s="72">
        <f>SUM(K3:K33)</f>
        <v/>
      </c>
      <c r="L34" s="74">
        <f>I34/K34</f>
        <v/>
      </c>
      <c r="M34" s="63" t="n"/>
      <c r="N34" s="13" t="n"/>
      <c r="O34" s="72">
        <f>SUM(O3:O33)</f>
        <v/>
      </c>
      <c r="P34" s="118" t="n"/>
      <c r="Q34" s="118" t="n"/>
      <c r="R34" s="72">
        <f>SUM(R3:R33)</f>
        <v/>
      </c>
      <c r="S34" s="51" t="inlineStr">
        <is>
          <t>No B/D</t>
        </is>
      </c>
      <c r="T34" s="72">
        <f>SUM(T2:T33)</f>
        <v/>
      </c>
      <c r="U34" s="14" t="n"/>
      <c r="V34" s="72">
        <f>SUM(V3:V33)</f>
        <v/>
      </c>
      <c r="W34" s="48">
        <f>T34/V34</f>
        <v/>
      </c>
      <c r="X34" s="12" t="n"/>
      <c r="Y34" s="13" t="n"/>
      <c r="Z34" s="72">
        <f>SUM(Z3:Z33)</f>
        <v/>
      </c>
      <c r="AA34" s="118" t="n"/>
      <c r="AB34" s="117" t="n"/>
      <c r="AC34" s="72">
        <f>SUM(AC3:AC33)</f>
        <v/>
      </c>
      <c r="AD34" s="51" t="inlineStr">
        <is>
          <t>No B/D</t>
        </is>
      </c>
      <c r="AE34" s="72">
        <f>SUM(AE3:AE33)</f>
        <v/>
      </c>
      <c r="AF34" s="14" t="n"/>
      <c r="AG34" s="72">
        <f>SUM(AG3:AG33)</f>
        <v/>
      </c>
      <c r="AH34" s="48">
        <f>AE34/AG34</f>
        <v/>
      </c>
    </row>
  </sheetData>
  <mergeCells count="3">
    <mergeCell ref="M1:N1"/>
    <mergeCell ref="B1:C1"/>
    <mergeCell ref="X1:Y1"/>
  </mergeCells>
  <conditionalFormatting sqref="A3:A17 A19:A33">
    <cfRule type="duplicateValues" priority="2"/>
  </conditionalFormatting>
  <conditionalFormatting sqref="A18">
    <cfRule type="duplicateValues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34"/>
  <sheetViews>
    <sheetView tabSelected="1"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Q20" sqref="Q20"/>
    </sheetView>
  </sheetViews>
  <sheetFormatPr baseColWidth="8" defaultRowHeight="15"/>
  <cols>
    <col width="10.7109375" bestFit="1" customWidth="1" min="1" max="1"/>
    <col width="5.85546875" customWidth="1" min="2" max="2"/>
    <col width="9" bestFit="1" customWidth="1" min="3" max="3"/>
    <col width="8.7109375" bestFit="1" customWidth="1" min="9" max="9"/>
    <col width="6.7109375" bestFit="1" customWidth="1" min="10" max="11"/>
    <col width="9" bestFit="1" customWidth="1" min="12" max="12"/>
    <col width="9" customWidth="1" min="13" max="13"/>
    <col width="5.28515625" bestFit="1" customWidth="1" min="14" max="14"/>
    <col width="9" bestFit="1" customWidth="1" min="15" max="15"/>
    <col width="7.42578125" bestFit="1" customWidth="1" min="21" max="21"/>
    <col width="6.7109375" bestFit="1" customWidth="1" min="22" max="23"/>
    <col width="9" bestFit="1" customWidth="1" min="24" max="24"/>
    <col width="9" customWidth="1" min="25" max="25"/>
    <col width="5.28515625" bestFit="1" customWidth="1" min="26" max="26"/>
    <col width="9" bestFit="1" customWidth="1" min="27" max="27"/>
    <col width="7.42578125" bestFit="1" customWidth="1" min="33" max="33"/>
    <col width="6.7109375" bestFit="1" customWidth="1" min="34" max="35"/>
    <col width="9" bestFit="1" customWidth="1" min="36" max="36"/>
  </cols>
  <sheetData>
    <row r="1" ht="63" customHeight="1">
      <c r="A1" s="64" t="inlineStr">
        <is>
          <t>Date</t>
        </is>
      </c>
      <c r="B1" s="129" t="inlineStr">
        <is>
          <t>Starting HMR</t>
        </is>
      </c>
      <c r="C1" s="129" t="inlineStr">
        <is>
          <t>Closing HMR</t>
        </is>
      </c>
      <c r="D1" s="10" t="inlineStr">
        <is>
          <t>Daily Running Hours</t>
        </is>
      </c>
      <c r="E1" s="10" t="inlineStr">
        <is>
          <t>Breakdown start time</t>
        </is>
      </c>
      <c r="F1" s="10" t="inlineStr">
        <is>
          <t>Breakdown end time</t>
        </is>
      </c>
      <c r="G1" s="49" t="inlineStr">
        <is>
          <t>Total Breakdown Hour</t>
        </is>
      </c>
      <c r="H1" s="49" t="inlineStr">
        <is>
          <t>Breakdown Reason</t>
        </is>
      </c>
      <c r="I1" s="130" t="inlineStr">
        <is>
          <t>Diesel Issued (Ltr)</t>
        </is>
      </c>
      <c r="J1" s="130" t="inlineStr">
        <is>
          <t>HMR at Diesel Fill</t>
        </is>
      </c>
      <c r="K1" s="130" t="inlineStr">
        <is>
          <t xml:space="preserve">Hours </t>
        </is>
      </c>
      <c r="L1" s="65" t="inlineStr">
        <is>
          <t>Average</t>
        </is>
      </c>
      <c r="M1" s="64" t="inlineStr">
        <is>
          <t>Date</t>
        </is>
      </c>
      <c r="N1" s="129" t="inlineStr">
        <is>
          <t>Starting HMR</t>
        </is>
      </c>
      <c r="O1" s="129" t="inlineStr">
        <is>
          <t>Closing HMR</t>
        </is>
      </c>
      <c r="P1" s="10" t="inlineStr">
        <is>
          <t>Daily Running Hours</t>
        </is>
      </c>
      <c r="Q1" s="10" t="inlineStr">
        <is>
          <t>Breakdown start time</t>
        </is>
      </c>
      <c r="R1" s="10" t="inlineStr">
        <is>
          <t>Breakdown end time</t>
        </is>
      </c>
      <c r="S1" s="49" t="inlineStr">
        <is>
          <t>Total Breakdown Hour</t>
        </is>
      </c>
      <c r="T1" s="49" t="inlineStr">
        <is>
          <t>Breakdown Reason</t>
        </is>
      </c>
      <c r="U1" s="130" t="inlineStr">
        <is>
          <t>Diesel Issued (Ltr)</t>
        </is>
      </c>
      <c r="V1" s="130" t="inlineStr">
        <is>
          <t>HMR at Diesel Fill</t>
        </is>
      </c>
      <c r="W1" s="130" t="inlineStr">
        <is>
          <t xml:space="preserve">Hours </t>
        </is>
      </c>
      <c r="X1" s="65" t="inlineStr">
        <is>
          <t>Average</t>
        </is>
      </c>
      <c r="Y1" s="64" t="inlineStr">
        <is>
          <t>Date</t>
        </is>
      </c>
      <c r="Z1" s="129" t="inlineStr">
        <is>
          <t>Starting HMR</t>
        </is>
      </c>
      <c r="AA1" s="129" t="inlineStr">
        <is>
          <t>Closing HMR</t>
        </is>
      </c>
      <c r="AB1" s="10" t="inlineStr">
        <is>
          <t>Daily Running Hours</t>
        </is>
      </c>
      <c r="AC1" s="10" t="inlineStr">
        <is>
          <t>Breakdown start time</t>
        </is>
      </c>
      <c r="AD1" s="10" t="inlineStr">
        <is>
          <t>Breakdown end time</t>
        </is>
      </c>
      <c r="AE1" s="49" t="inlineStr">
        <is>
          <t>Total Breakdown Hour</t>
        </is>
      </c>
      <c r="AF1" s="49" t="inlineStr">
        <is>
          <t>Breakdown Reason</t>
        </is>
      </c>
      <c r="AG1" s="130" t="inlineStr">
        <is>
          <t>Diesel Issued (Ltr)</t>
        </is>
      </c>
      <c r="AH1" s="130" t="inlineStr">
        <is>
          <t>HMR at Diesel Fill</t>
        </is>
      </c>
      <c r="AI1" s="130" t="inlineStr">
        <is>
          <t xml:space="preserve">Hours </t>
        </is>
      </c>
      <c r="AJ1" s="65" t="inlineStr">
        <is>
          <t>Average</t>
        </is>
      </c>
    </row>
    <row r="2" ht="30" customHeight="1">
      <c r="A2" s="66" t="inlineStr">
        <is>
          <t>PREV  Stock</t>
        </is>
      </c>
      <c r="B2" s="130" t="inlineStr">
        <is>
          <t>KAMLAR-DHIRPUR</t>
        </is>
      </c>
      <c r="C2" s="131" t="n"/>
      <c r="D2" s="132" t="n"/>
      <c r="E2" s="39" t="n"/>
      <c r="F2" s="39" t="n"/>
      <c r="G2" s="50" t="n"/>
      <c r="H2" s="50" t="n"/>
      <c r="I2" s="38" t="n"/>
      <c r="J2" s="40" t="n">
        <v>2459</v>
      </c>
      <c r="K2" s="38" t="n"/>
      <c r="L2" s="67" t="n"/>
      <c r="M2" s="66" t="inlineStr">
        <is>
          <t>PREV  Stock</t>
        </is>
      </c>
      <c r="N2" s="130" t="inlineStr">
        <is>
          <t>KAMLAR-1-Dalpatpur</t>
        </is>
      </c>
      <c r="O2" s="131" t="n"/>
      <c r="P2" s="132" t="n"/>
      <c r="Q2" s="39" t="n"/>
      <c r="R2" s="39" t="n"/>
      <c r="S2" s="50" t="n"/>
      <c r="T2" s="50" t="n"/>
      <c r="U2" s="38" t="n"/>
      <c r="V2" s="40" t="n">
        <v>782</v>
      </c>
      <c r="W2" s="38" t="n"/>
      <c r="X2" s="46" t="n"/>
      <c r="Y2" s="66" t="inlineStr">
        <is>
          <t>PREV  Stock</t>
        </is>
      </c>
      <c r="Z2" s="130" t="inlineStr">
        <is>
          <t>KAMLAR-2-Dalpatpur</t>
        </is>
      </c>
      <c r="AA2" s="131" t="n"/>
      <c r="AB2" s="132" t="n"/>
      <c r="AC2" s="39" t="n"/>
      <c r="AD2" s="39" t="n"/>
      <c r="AE2" s="50" t="n"/>
      <c r="AF2" s="50" t="n"/>
      <c r="AG2" s="38" t="n"/>
      <c r="AH2" s="40" t="n">
        <v>188</v>
      </c>
      <c r="AI2" s="38" t="n"/>
      <c r="AJ2" s="46" t="n"/>
    </row>
    <row r="3">
      <c r="A3" s="68" t="n">
        <v>46266</v>
      </c>
      <c r="B3" s="75" t="n">
        <v>2481</v>
      </c>
      <c r="C3" s="76" t="n">
        <v>2481</v>
      </c>
      <c r="D3" s="77">
        <f>IF(OR(B3="",C3=""),"",C3-B3)</f>
        <v/>
      </c>
      <c r="E3" s="78" t="n"/>
      <c r="F3" s="78" t="n"/>
      <c r="G3" s="79" t="n"/>
      <c r="H3" s="79" t="n"/>
      <c r="I3" s="75" t="n"/>
      <c r="J3" s="75" t="n"/>
      <c r="K3" s="75" t="n"/>
      <c r="L3" s="80" t="n"/>
      <c r="M3" s="68" t="n">
        <v>46266</v>
      </c>
      <c r="N3" s="4" t="n">
        <v>840</v>
      </c>
      <c r="O3" s="5" t="n">
        <v>854</v>
      </c>
      <c r="P3" s="6">
        <f>IF(OR(N3="",O3=""),"",O3-N3)</f>
        <v/>
      </c>
      <c r="Q3" s="7" t="n"/>
      <c r="R3" s="7" t="n"/>
      <c r="S3" s="36" t="n"/>
      <c r="T3" s="36" t="n"/>
      <c r="U3" s="4" t="n"/>
      <c r="V3" s="4" t="n"/>
      <c r="W3" s="4" t="n"/>
      <c r="X3" s="47" t="n"/>
      <c r="Y3" s="68" t="n">
        <v>46266</v>
      </c>
      <c r="Z3" s="4" t="n">
        <v>204</v>
      </c>
      <c r="AA3" s="5" t="n">
        <v>207</v>
      </c>
      <c r="AB3" s="6">
        <f>IF(OR(Z3="",AA3=""),"",AA3-Z3)</f>
        <v/>
      </c>
      <c r="AC3" s="7" t="n"/>
      <c r="AD3" s="7" t="n"/>
      <c r="AE3" s="36" t="n"/>
      <c r="AF3" s="36" t="n"/>
      <c r="AG3" s="4" t="n"/>
      <c r="AH3" s="4" t="n"/>
      <c r="AI3" s="4" t="n"/>
      <c r="AJ3" s="47" t="n"/>
    </row>
    <row r="4">
      <c r="A4" s="68" t="n">
        <v>46267</v>
      </c>
      <c r="B4" s="75">
        <f>IF(C3="","",C3)</f>
        <v/>
      </c>
      <c r="C4" s="76" t="n">
        <v>2482</v>
      </c>
      <c r="D4" s="77">
        <f>IF(OR(B4="",C4=""),"",C4-B4)</f>
        <v/>
      </c>
      <c r="E4" s="78" t="n"/>
      <c r="F4" s="78" t="n"/>
      <c r="G4" s="79" t="n"/>
      <c r="H4" s="79" t="n"/>
      <c r="I4" s="75" t="n"/>
      <c r="J4" s="75" t="n"/>
      <c r="K4" s="75" t="n"/>
      <c r="L4" s="80" t="n"/>
      <c r="M4" s="68" t="n">
        <v>46267</v>
      </c>
      <c r="N4" s="62">
        <f>IF(O3="","",O3)</f>
        <v/>
      </c>
      <c r="O4" s="5" t="n">
        <v>859</v>
      </c>
      <c r="P4" s="6">
        <f>IF(OR(N4="",O4=""),"",O4-N4)</f>
        <v/>
      </c>
      <c r="Q4" s="7" t="n"/>
      <c r="R4" s="7" t="n"/>
      <c r="S4" s="36" t="n"/>
      <c r="T4" s="36" t="n"/>
      <c r="U4" s="4" t="n"/>
      <c r="V4" s="4" t="n"/>
      <c r="W4" s="4" t="n"/>
      <c r="X4" s="47" t="n"/>
      <c r="Y4" s="68" t="n">
        <v>46267</v>
      </c>
      <c r="Z4" s="8">
        <f>IF(AA3="","",AA3)</f>
        <v/>
      </c>
      <c r="AA4" s="5" t="n">
        <v>208</v>
      </c>
      <c r="AB4" s="6">
        <f>IF(OR(Z4="",AA4=""),"",AA4-Z4)</f>
        <v/>
      </c>
      <c r="AC4" s="7" t="n"/>
      <c r="AD4" s="7" t="n"/>
      <c r="AE4" s="36" t="n"/>
      <c r="AF4" s="36" t="n"/>
      <c r="AG4" s="4" t="n"/>
      <c r="AH4" s="4" t="n"/>
      <c r="AI4" s="4" t="n"/>
      <c r="AJ4" s="47" t="n"/>
    </row>
    <row r="5">
      <c r="A5" s="68" t="n">
        <v>46268</v>
      </c>
      <c r="B5" s="75">
        <f>IF(C4="","",C4)</f>
        <v/>
      </c>
      <c r="C5" s="81" t="n">
        <v>2486</v>
      </c>
      <c r="D5" s="77">
        <f>IF(OR(B5="",C5=""),"",C5-B5)</f>
        <v/>
      </c>
      <c r="E5" s="78" t="n"/>
      <c r="F5" s="78" t="n"/>
      <c r="G5" s="79" t="n"/>
      <c r="H5" s="79" t="n"/>
      <c r="I5" s="75" t="n"/>
      <c r="J5" s="75" t="n"/>
      <c r="K5" s="75" t="n"/>
      <c r="L5" s="80" t="n"/>
      <c r="M5" s="68" t="n">
        <v>46268</v>
      </c>
      <c r="N5" s="62">
        <f>IF(O4="","",O4)</f>
        <v/>
      </c>
      <c r="O5" s="5" t="n">
        <v>869</v>
      </c>
      <c r="P5" s="6">
        <f>IF(OR(N5="",O5=""),"",O5-N5)</f>
        <v/>
      </c>
      <c r="Q5" s="7" t="n"/>
      <c r="R5" s="7" t="n"/>
      <c r="S5" s="36" t="n"/>
      <c r="T5" s="36" t="n"/>
      <c r="U5" s="4" t="n"/>
      <c r="V5" s="4" t="n"/>
      <c r="W5" s="4" t="n"/>
      <c r="X5" s="47" t="n"/>
      <c r="Y5" s="68" t="n">
        <v>46268</v>
      </c>
      <c r="Z5" s="8">
        <f>IF(AA4="","",AA4)</f>
        <v/>
      </c>
      <c r="AA5" s="5" t="n">
        <v>211</v>
      </c>
      <c r="AB5" s="6">
        <f>IF(OR(Z5="",AA5=""),"",AA5-Z5)</f>
        <v/>
      </c>
      <c r="AC5" s="7" t="n"/>
      <c r="AD5" s="7" t="n"/>
      <c r="AE5" s="36" t="n"/>
      <c r="AF5" s="36" t="n"/>
      <c r="AG5" s="4" t="n"/>
      <c r="AH5" s="4" t="n"/>
      <c r="AI5" s="4" t="n"/>
      <c r="AJ5" s="47" t="n"/>
    </row>
    <row r="6">
      <c r="A6" s="68" t="n">
        <v>46269</v>
      </c>
      <c r="B6" s="75">
        <f>IF(C5="","",C5)</f>
        <v/>
      </c>
      <c r="C6" s="75" t="n">
        <v>2493</v>
      </c>
      <c r="D6" s="77">
        <f>IF(OR(B6="",C6=""),"",C6-B6)</f>
        <v/>
      </c>
      <c r="E6" s="78" t="n"/>
      <c r="F6" s="78" t="n"/>
      <c r="G6" s="79" t="n"/>
      <c r="H6" s="79" t="n"/>
      <c r="I6" s="75" t="n"/>
      <c r="J6" s="81" t="n"/>
      <c r="K6" s="75" t="n"/>
      <c r="L6" s="80" t="n"/>
      <c r="M6" s="68" t="n">
        <v>46269</v>
      </c>
      <c r="N6" s="62">
        <f>IF(O5="","",O5)</f>
        <v/>
      </c>
      <c r="O6" s="5" t="n">
        <v>875</v>
      </c>
      <c r="P6" s="6">
        <f>IF(OR(N6="",O6=""),"",O6-N6)</f>
        <v/>
      </c>
      <c r="Q6" s="7" t="n"/>
      <c r="R6" s="7" t="n"/>
      <c r="S6" s="36" t="n"/>
      <c r="T6" s="36" t="n"/>
      <c r="U6" s="4" t="n"/>
      <c r="V6" s="37" t="n"/>
      <c r="W6" s="4" t="n"/>
      <c r="X6" s="47" t="n"/>
      <c r="Y6" s="68" t="n">
        <v>46269</v>
      </c>
      <c r="Z6" s="8">
        <f>IF(AA5="","",AA5)</f>
        <v/>
      </c>
      <c r="AA6" s="5" t="n">
        <v>211</v>
      </c>
      <c r="AB6" s="6">
        <f>IF(OR(Z6="",AA6=""),"",AA6-Z6)</f>
        <v/>
      </c>
      <c r="AC6" s="7" t="n"/>
      <c r="AD6" s="7" t="n"/>
      <c r="AE6" s="36" t="n"/>
      <c r="AF6" s="36" t="n"/>
      <c r="AG6" s="4" t="n"/>
      <c r="AH6" s="37" t="n"/>
      <c r="AI6" s="4" t="n"/>
      <c r="AJ6" s="47" t="n"/>
    </row>
    <row r="7">
      <c r="A7" s="68" t="n">
        <v>46270</v>
      </c>
      <c r="B7" s="75">
        <f>IF(C6="","",C6)</f>
        <v/>
      </c>
      <c r="C7" s="75" t="n">
        <v>2497</v>
      </c>
      <c r="D7" s="77">
        <f>IF(OR(B7="",C7=""),"",C7-B7)</f>
        <v/>
      </c>
      <c r="E7" s="78" t="n"/>
      <c r="F7" s="78" t="n"/>
      <c r="G7" s="79" t="n"/>
      <c r="H7" s="79" t="n"/>
      <c r="I7" s="75" t="n"/>
      <c r="J7" s="75" t="n"/>
      <c r="K7" s="75" t="n"/>
      <c r="L7" s="80" t="n"/>
      <c r="M7" s="68" t="n">
        <v>46270</v>
      </c>
      <c r="N7" s="62">
        <f>IF(O6="","",O6)</f>
        <v/>
      </c>
      <c r="O7" s="5" t="n">
        <v>885</v>
      </c>
      <c r="P7" s="6">
        <f>IF(OR(N7="",O7=""),"",O7-N7)</f>
        <v/>
      </c>
      <c r="Q7" s="7" t="n"/>
      <c r="R7" s="7" t="n"/>
      <c r="S7" s="36" t="n"/>
      <c r="T7" s="36" t="n"/>
      <c r="U7" s="4" t="n">
        <v>500</v>
      </c>
      <c r="V7" s="4" t="n">
        <v>875</v>
      </c>
      <c r="W7" s="4">
        <f>V7-V2</f>
        <v/>
      </c>
      <c r="X7" s="47">
        <f>U7/W7</f>
        <v/>
      </c>
      <c r="Y7" s="68" t="n">
        <v>46270</v>
      </c>
      <c r="Z7" s="8">
        <f>IF(AA6="","",AA6)</f>
        <v/>
      </c>
      <c r="AA7" s="5" t="n">
        <v>213</v>
      </c>
      <c r="AB7" s="6">
        <f>IF(OR(Z7="",AA7=""),"",AA7-Z7)</f>
        <v/>
      </c>
      <c r="AC7" s="7" t="n"/>
      <c r="AD7" s="7" t="n"/>
      <c r="AE7" s="36" t="n"/>
      <c r="AF7" s="36" t="n"/>
      <c r="AG7" s="4" t="n">
        <v>60</v>
      </c>
      <c r="AH7" s="4" t="n">
        <v>212</v>
      </c>
      <c r="AI7" s="4">
        <f>AH7-AH2</f>
        <v/>
      </c>
      <c r="AJ7" s="47">
        <f>AG7/AI7</f>
        <v/>
      </c>
    </row>
    <row r="8">
      <c r="A8" s="68" t="n">
        <v>46271</v>
      </c>
      <c r="B8" s="75">
        <f>IF(C7="","",C7)</f>
        <v/>
      </c>
      <c r="C8" s="75" t="n">
        <v>2498</v>
      </c>
      <c r="D8" s="77">
        <f>IF(OR(B8="",C8=""),"",C8-B8)</f>
        <v/>
      </c>
      <c r="E8" s="78" t="n"/>
      <c r="F8" s="78" t="n"/>
      <c r="G8" s="79" t="n"/>
      <c r="H8" s="79" t="n"/>
      <c r="I8" s="75" t="n"/>
      <c r="J8" s="75" t="n"/>
      <c r="K8" s="75" t="n"/>
      <c r="L8" s="80" t="n"/>
      <c r="M8" s="68" t="n">
        <v>46271</v>
      </c>
      <c r="N8" s="62">
        <f>IF(O7="","",O7)</f>
        <v/>
      </c>
      <c r="O8" s="5" t="n">
        <v>889</v>
      </c>
      <c r="P8" s="6">
        <f>IF(OR(N8="",O8=""),"",O8-N8)</f>
        <v/>
      </c>
      <c r="Q8" s="7" t="n"/>
      <c r="R8" s="7" t="n"/>
      <c r="S8" s="36" t="n"/>
      <c r="T8" s="36" t="n"/>
      <c r="U8" s="4" t="n"/>
      <c r="V8" s="4" t="n"/>
      <c r="W8" s="4" t="n"/>
      <c r="X8" s="47" t="n"/>
      <c r="Y8" s="68" t="n">
        <v>46271</v>
      </c>
      <c r="Z8" s="8">
        <f>IF(AA7="","",AA7)</f>
        <v/>
      </c>
      <c r="AA8" s="4" t="n">
        <v>213</v>
      </c>
      <c r="AB8" s="6">
        <f>IF(OR(Z8="",AA8=""),"",AA8-Z8)</f>
        <v/>
      </c>
      <c r="AC8" s="7" t="n"/>
      <c r="AD8" s="7" t="n"/>
      <c r="AE8" s="36" t="n"/>
      <c r="AF8" s="36" t="n"/>
      <c r="AG8" s="4" t="n"/>
      <c r="AH8" s="4" t="n"/>
      <c r="AI8" s="4" t="n"/>
      <c r="AJ8" s="47" t="n"/>
    </row>
    <row r="9">
      <c r="A9" s="68" t="n">
        <v>46272</v>
      </c>
      <c r="B9" s="75">
        <f>IF(C8="","",C8)</f>
        <v/>
      </c>
      <c r="C9" s="75" t="n">
        <v>2499</v>
      </c>
      <c r="D9" s="77">
        <f>IF(OR(B9="",C9=""),"",C9-B9)</f>
        <v/>
      </c>
      <c r="E9" s="78" t="n"/>
      <c r="F9" s="78" t="n"/>
      <c r="G9" s="79" t="n"/>
      <c r="H9" s="79" t="n"/>
      <c r="I9" s="75" t="n"/>
      <c r="J9" s="75" t="n"/>
      <c r="K9" s="75" t="n"/>
      <c r="L9" s="80" t="n"/>
      <c r="M9" s="68" t="n">
        <v>46272</v>
      </c>
      <c r="N9" s="62">
        <f>IF(O8="","",O8)</f>
        <v/>
      </c>
      <c r="O9" s="5" t="n">
        <v>899</v>
      </c>
      <c r="P9" s="6">
        <f>IF(OR(N9="",O9=""),"",O9-N9)</f>
        <v/>
      </c>
      <c r="Q9" s="7" t="n"/>
      <c r="R9" s="7" t="n"/>
      <c r="S9" s="36" t="n"/>
      <c r="T9" s="35" t="n"/>
      <c r="U9" s="4" t="n"/>
      <c r="V9" s="4" t="n"/>
      <c r="W9" s="4" t="n"/>
      <c r="X9" s="47" t="n"/>
      <c r="Y9" s="68" t="n">
        <v>46272</v>
      </c>
      <c r="Z9" s="8">
        <f>IF(AA8="","",AA8)</f>
        <v/>
      </c>
      <c r="AA9" s="4" t="n">
        <v>216</v>
      </c>
      <c r="AB9" s="6">
        <f>IF(OR(Z9="",AA9=""),"",AA9-Z9)</f>
        <v/>
      </c>
      <c r="AC9" s="7" t="n"/>
      <c r="AD9" s="7" t="n"/>
      <c r="AE9" s="36" t="n"/>
      <c r="AF9" s="35" t="n"/>
      <c r="AG9" s="4" t="n"/>
      <c r="AH9" s="4" t="n"/>
      <c r="AI9" s="4" t="n"/>
      <c r="AJ9" s="47" t="n"/>
    </row>
    <row r="10">
      <c r="A10" s="68" t="n">
        <v>46273</v>
      </c>
      <c r="B10" s="75">
        <f>IF(C9="","",C9)</f>
        <v/>
      </c>
      <c r="C10" s="75" t="n">
        <v>2505</v>
      </c>
      <c r="D10" s="77">
        <f>IF(OR(B10="",C10=""),"",C10-B10)</f>
        <v/>
      </c>
      <c r="E10" s="78" t="n"/>
      <c r="F10" s="78" t="n"/>
      <c r="G10" s="79" t="n"/>
      <c r="H10" s="79" t="n"/>
      <c r="I10" s="75" t="n"/>
      <c r="J10" s="75" t="n"/>
      <c r="K10" s="75" t="n"/>
      <c r="L10" s="80" t="n"/>
      <c r="M10" s="68" t="n">
        <v>46273</v>
      </c>
      <c r="N10" s="62">
        <f>IF(O9="","",O9)</f>
        <v/>
      </c>
      <c r="O10" s="5" t="n">
        <v>912</v>
      </c>
      <c r="P10" s="6">
        <f>IF(OR(N10="",O10=""),"",O10-N10)</f>
        <v/>
      </c>
      <c r="Q10" s="7" t="n"/>
      <c r="R10" s="7" t="n"/>
      <c r="S10" s="36" t="n"/>
      <c r="T10" s="36" t="n"/>
      <c r="U10" s="4" t="n"/>
      <c r="V10" s="4" t="n"/>
      <c r="W10" s="4" t="n"/>
      <c r="X10" s="47" t="n"/>
      <c r="Y10" s="68" t="n">
        <v>46273</v>
      </c>
      <c r="Z10" s="8">
        <f>IF(AA9="","",AA9)</f>
        <v/>
      </c>
      <c r="AA10" s="4" t="n">
        <v>226</v>
      </c>
      <c r="AB10" s="6">
        <f>IF(OR(Z10="",AA10=""),"",AA10-Z10)</f>
        <v/>
      </c>
      <c r="AC10" s="7" t="n"/>
      <c r="AD10" s="7" t="n"/>
      <c r="AE10" s="36" t="n"/>
      <c r="AF10" s="36" t="n"/>
      <c r="AG10" s="4" t="n"/>
      <c r="AH10" s="4" t="n"/>
      <c r="AI10" s="4" t="n"/>
      <c r="AJ10" s="47" t="n"/>
    </row>
    <row r="11">
      <c r="A11" s="68" t="n">
        <v>46274</v>
      </c>
      <c r="B11" s="75">
        <f>IF(C10="","",C10)</f>
        <v/>
      </c>
      <c r="C11" s="75" t="n">
        <v>2517</v>
      </c>
      <c r="D11" s="77">
        <f>IF(OR(B11="",C11=""),"",C11-B11)</f>
        <v/>
      </c>
      <c r="E11" s="78" t="n"/>
      <c r="F11" s="78" t="n"/>
      <c r="G11" s="79" t="n"/>
      <c r="H11" s="79" t="n"/>
      <c r="I11" s="75" t="n"/>
      <c r="J11" s="75" t="n"/>
      <c r="K11" s="75" t="n"/>
      <c r="L11" s="80" t="n"/>
      <c r="M11" s="68" t="n">
        <v>46274</v>
      </c>
      <c r="N11" s="62">
        <f>IF(O10="","",O10)</f>
        <v/>
      </c>
      <c r="O11" s="5" t="n">
        <v>922</v>
      </c>
      <c r="P11" s="6">
        <f>IF(OR(N11="",O11=""),"",O11-N11)</f>
        <v/>
      </c>
      <c r="Q11" s="7" t="n"/>
      <c r="R11" s="7" t="n"/>
      <c r="S11" s="36" t="n"/>
      <c r="T11" s="36" t="n"/>
      <c r="U11" s="4" t="n"/>
      <c r="V11" s="4" t="n"/>
      <c r="W11" s="4" t="n"/>
      <c r="X11" s="47" t="n"/>
      <c r="Y11" s="68" t="n">
        <v>46274</v>
      </c>
      <c r="Z11" s="8">
        <f>IF(AA10="","",AA10)</f>
        <v/>
      </c>
      <c r="AA11" s="4" t="n">
        <v>230</v>
      </c>
      <c r="AB11" s="6">
        <f>IF(OR(Z11="",AA11=""),"",AA11-Z11)</f>
        <v/>
      </c>
      <c r="AC11" s="7" t="n"/>
      <c r="AD11" s="7" t="n"/>
      <c r="AE11" s="36" t="n"/>
      <c r="AF11" s="36" t="n"/>
      <c r="AG11" s="4" t="n"/>
      <c r="AH11" s="4" t="n"/>
      <c r="AI11" s="4" t="n"/>
      <c r="AJ11" s="47" t="n"/>
    </row>
    <row r="12">
      <c r="A12" s="68" t="n">
        <v>46275</v>
      </c>
      <c r="B12" s="75">
        <f>IF(C11="","",C11)</f>
        <v/>
      </c>
      <c r="C12" s="75" t="n">
        <v>2519</v>
      </c>
      <c r="D12" s="77">
        <f>IF(OR(B12="",C12=""),"",C12-B12)</f>
        <v/>
      </c>
      <c r="E12" s="78" t="n"/>
      <c r="F12" s="78" t="n"/>
      <c r="G12" s="79" t="n"/>
      <c r="H12" s="79" t="n"/>
      <c r="I12" s="75" t="n">
        <v>227</v>
      </c>
      <c r="J12" s="75" t="n">
        <v>2517</v>
      </c>
      <c r="K12" s="75">
        <f>J12-J2</f>
        <v/>
      </c>
      <c r="L12" s="80">
        <f>I12/K12</f>
        <v/>
      </c>
      <c r="M12" s="68" t="n">
        <v>46275</v>
      </c>
      <c r="N12" s="62">
        <f>IF(O11="","",O11)</f>
        <v/>
      </c>
      <c r="O12" s="4" t="n">
        <v>934</v>
      </c>
      <c r="P12" s="6">
        <f>IF(OR(N12="",O12=""),"",O12-N12)</f>
        <v/>
      </c>
      <c r="Q12" s="7" t="n"/>
      <c r="R12" s="7" t="n"/>
      <c r="S12" s="36" t="n"/>
      <c r="T12" s="36" t="n"/>
      <c r="U12" s="4" t="n"/>
      <c r="V12" s="4" t="n"/>
      <c r="W12" s="4" t="n"/>
      <c r="X12" s="47" t="n"/>
      <c r="Y12" s="68" t="n">
        <v>46275</v>
      </c>
      <c r="Z12" s="8">
        <f>IF(AA11="","",AA11)</f>
        <v/>
      </c>
      <c r="AA12" s="4" t="n">
        <v>230</v>
      </c>
      <c r="AB12" s="6">
        <f>IF(OR(Z12="",AA12=""),"",AA12-Z12)</f>
        <v/>
      </c>
      <c r="AC12" s="7" t="n"/>
      <c r="AD12" s="7" t="n"/>
      <c r="AE12" s="36" t="n"/>
      <c r="AF12" s="36" t="n"/>
      <c r="AG12" s="4" t="n"/>
      <c r="AH12" s="4" t="n"/>
      <c r="AI12" s="4" t="n"/>
      <c r="AJ12" s="47" t="n"/>
    </row>
    <row r="13">
      <c r="A13" s="68" t="n">
        <v>46276</v>
      </c>
      <c r="B13" s="75">
        <f>IF(C12="","",C12)</f>
        <v/>
      </c>
      <c r="C13" s="75" t="n">
        <v>2520</v>
      </c>
      <c r="D13" s="77">
        <f>IF(OR(B13="",C13=""),"",C13-B13)</f>
        <v/>
      </c>
      <c r="E13" s="78" t="n"/>
      <c r="F13" s="78" t="n"/>
      <c r="G13" s="79" t="n"/>
      <c r="H13" s="79" t="n"/>
      <c r="I13" s="75" t="n"/>
      <c r="J13" s="75" t="n"/>
      <c r="K13" s="75" t="n"/>
      <c r="L13" s="80" t="n"/>
      <c r="M13" s="68" t="n">
        <v>46276</v>
      </c>
      <c r="N13" s="62">
        <f>IF(O12="","",O12)</f>
        <v/>
      </c>
      <c r="O13" s="4" t="n">
        <v>946</v>
      </c>
      <c r="P13" s="6">
        <f>IF(OR(N13="",O13=""),"",O13-N13)</f>
        <v/>
      </c>
      <c r="Q13" s="7" t="n"/>
      <c r="R13" s="7" t="n"/>
      <c r="S13" s="36" t="n"/>
      <c r="T13" s="35" t="n"/>
      <c r="U13" s="4" t="n"/>
      <c r="V13" s="4" t="n"/>
      <c r="W13" s="4" t="n"/>
      <c r="X13" s="47" t="n"/>
      <c r="Y13" s="68" t="n">
        <v>46276</v>
      </c>
      <c r="Z13" s="8">
        <f>IF(AA12="","",AA12)</f>
        <v/>
      </c>
      <c r="AA13" s="4" t="n">
        <v>237</v>
      </c>
      <c r="AB13" s="6">
        <f>IF(OR(Z13="",AA13=""),"",AA13-Z13)</f>
        <v/>
      </c>
      <c r="AC13" s="7" t="n"/>
      <c r="AD13" s="7" t="n"/>
      <c r="AE13" s="36" t="n"/>
      <c r="AF13" s="35" t="n"/>
      <c r="AG13" s="4" t="n"/>
      <c r="AH13" s="4" t="n"/>
      <c r="AI13" s="4" t="n"/>
      <c r="AJ13" s="47" t="n"/>
    </row>
    <row r="14">
      <c r="A14" s="68" t="n">
        <v>46277</v>
      </c>
      <c r="B14" s="75">
        <f>IF(C13="","",C13)</f>
        <v/>
      </c>
      <c r="C14" s="75" t="n">
        <v>2522</v>
      </c>
      <c r="D14" s="77">
        <f>IF(OR(B14="",C14=""),"",C14-B14)</f>
        <v/>
      </c>
      <c r="E14" s="78" t="n"/>
      <c r="F14" s="78" t="n"/>
      <c r="G14" s="79" t="n"/>
      <c r="H14" s="79" t="n"/>
      <c r="I14" s="75" t="n"/>
      <c r="J14" s="75" t="n"/>
      <c r="K14" s="75" t="n"/>
      <c r="L14" s="80" t="n"/>
      <c r="M14" s="68" t="n">
        <v>46277</v>
      </c>
      <c r="N14" s="62">
        <f>IF(O13="","",O13)</f>
        <v/>
      </c>
      <c r="O14" s="4" t="n">
        <v>951</v>
      </c>
      <c r="P14" s="6">
        <f>IF(OR(N14="",O14=""),"",O14-N14)</f>
        <v/>
      </c>
      <c r="Q14" s="7" t="n"/>
      <c r="R14" s="7" t="n"/>
      <c r="S14" s="36" t="n"/>
      <c r="T14" s="36" t="n"/>
      <c r="U14" s="4" t="n"/>
      <c r="V14" s="4" t="n"/>
      <c r="W14" s="4" t="n"/>
      <c r="X14" s="47" t="n"/>
      <c r="Y14" s="68" t="n">
        <v>46277</v>
      </c>
      <c r="Z14" s="8">
        <f>IF(AA13="","",AA13)</f>
        <v/>
      </c>
      <c r="AA14" s="4" t="n">
        <v>237</v>
      </c>
      <c r="AB14" s="6">
        <f>IF(OR(Z14="",AA14=""),"",AA14-Z14)</f>
        <v/>
      </c>
      <c r="AC14" s="7" t="n"/>
      <c r="AD14" s="7" t="n"/>
      <c r="AE14" s="36" t="n"/>
      <c r="AF14" s="36" t="n"/>
      <c r="AG14" s="4" t="n"/>
      <c r="AH14" s="4" t="n"/>
      <c r="AI14" s="4" t="n"/>
      <c r="AJ14" s="47" t="n"/>
    </row>
    <row r="15">
      <c r="A15" s="68" t="n">
        <v>46278</v>
      </c>
      <c r="B15" s="75">
        <f>IF(C14="","",C14)</f>
        <v/>
      </c>
      <c r="C15" s="75" t="n">
        <v>2524</v>
      </c>
      <c r="D15" s="77">
        <f>IF(OR(B15="",C15=""),"",C15-B15)</f>
        <v/>
      </c>
      <c r="E15" s="78" t="n"/>
      <c r="F15" s="78" t="n"/>
      <c r="G15" s="79" t="n"/>
      <c r="H15" s="79" t="n"/>
      <c r="I15" s="75" t="n"/>
      <c r="J15" s="75" t="n"/>
      <c r="K15" s="75" t="n"/>
      <c r="L15" s="80" t="n"/>
      <c r="M15" s="68" t="n">
        <v>46278</v>
      </c>
      <c r="N15" s="62">
        <f>IF(O14="","",O14)</f>
        <v/>
      </c>
      <c r="O15" s="4" t="n">
        <v>953</v>
      </c>
      <c r="P15" s="6">
        <f>IF(OR(N15="",O15=""),"",O15-N15)</f>
        <v/>
      </c>
      <c r="Q15" s="7" t="n"/>
      <c r="R15" s="7" t="n"/>
      <c r="S15" s="36" t="n"/>
      <c r="T15" s="36" t="n"/>
      <c r="U15" s="4" t="n"/>
      <c r="V15" s="4" t="n"/>
      <c r="W15" s="4" t="n"/>
      <c r="X15" s="47" t="n"/>
      <c r="Y15" s="68" t="n">
        <v>46278</v>
      </c>
      <c r="Z15" s="8">
        <f>IF(AA14="","",AA14)</f>
        <v/>
      </c>
      <c r="AA15" s="4" t="n">
        <v>238</v>
      </c>
      <c r="AB15" s="6">
        <f>IF(OR(Z15="",AA15=""),"",AA15-Z15)</f>
        <v/>
      </c>
      <c r="AC15" s="7" t="n"/>
      <c r="AD15" s="7" t="n"/>
      <c r="AE15" s="36" t="n"/>
      <c r="AF15" s="36" t="n"/>
      <c r="AG15" s="4" t="n"/>
      <c r="AH15" s="4" t="n"/>
      <c r="AI15" s="4" t="n"/>
      <c r="AJ15" s="47" t="n"/>
    </row>
    <row r="16">
      <c r="A16" s="68" t="n">
        <v>46279</v>
      </c>
      <c r="B16" s="75">
        <f>IF(C15="","",C15)</f>
        <v/>
      </c>
      <c r="C16" s="75" t="n">
        <v>2535</v>
      </c>
      <c r="D16" s="77">
        <f>IF(OR(B16="",C16=""),"",C16-B16)</f>
        <v/>
      </c>
      <c r="E16" s="78" t="n"/>
      <c r="F16" s="78" t="n"/>
      <c r="G16" s="79" t="n"/>
      <c r="H16" s="79" t="n"/>
      <c r="I16" s="75" t="n"/>
      <c r="J16" s="75" t="n"/>
      <c r="K16" s="75" t="n"/>
      <c r="L16" s="80" t="n"/>
      <c r="M16" s="68" t="n">
        <v>46279</v>
      </c>
      <c r="N16" s="62">
        <f>IF(O15="","",O15)</f>
        <v/>
      </c>
      <c r="O16" s="4" t="n">
        <v>960</v>
      </c>
      <c r="P16" s="6">
        <f>IF(OR(N16="",O16=""),"",O16-N16)</f>
        <v/>
      </c>
      <c r="Q16" s="7" t="n"/>
      <c r="R16" s="7" t="n"/>
      <c r="S16" s="36" t="n"/>
      <c r="T16" s="36" t="n"/>
      <c r="U16" s="4" t="n"/>
      <c r="V16" s="4" t="n"/>
      <c r="W16" s="4" t="n"/>
      <c r="X16" s="47" t="n"/>
      <c r="Y16" s="68" t="n">
        <v>46279</v>
      </c>
      <c r="Z16" s="8">
        <f>IF(AA15="","",AA15)</f>
        <v/>
      </c>
      <c r="AA16" s="4" t="n">
        <v>238</v>
      </c>
      <c r="AB16" s="6">
        <f>IF(OR(Z16="",AA16=""),"",AA16-Z16)</f>
        <v/>
      </c>
      <c r="AC16" s="7" t="n"/>
      <c r="AD16" s="7" t="n"/>
      <c r="AE16" s="36" t="n"/>
      <c r="AF16" s="36" t="n"/>
      <c r="AG16" s="4" t="n"/>
      <c r="AH16" s="4" t="n"/>
      <c r="AI16" s="4" t="n"/>
      <c r="AJ16" s="47" t="n"/>
    </row>
    <row r="17">
      <c r="A17" s="68" t="n">
        <v>46280</v>
      </c>
      <c r="B17" s="75">
        <f>IF(C16="","",C16)</f>
        <v/>
      </c>
      <c r="C17" s="75" t="n">
        <v>2550</v>
      </c>
      <c r="D17" s="77">
        <f>IF(OR(B17="",C17=""),"",C17-B17)</f>
        <v/>
      </c>
      <c r="E17" s="78" t="n"/>
      <c r="F17" s="78" t="n"/>
      <c r="G17" s="79" t="n"/>
      <c r="H17" s="79" t="n"/>
      <c r="I17" s="75" t="n">
        <v>249</v>
      </c>
      <c r="J17" s="75" t="n">
        <v>2537</v>
      </c>
      <c r="K17" s="75">
        <f>J17-J12</f>
        <v/>
      </c>
      <c r="L17" s="80">
        <f>I17/K17</f>
        <v/>
      </c>
      <c r="M17" s="68" t="n">
        <v>46280</v>
      </c>
      <c r="N17" s="62">
        <f>IF(O16="","",O16)</f>
        <v/>
      </c>
      <c r="O17" s="4" t="n">
        <v>970</v>
      </c>
      <c r="P17" s="6">
        <f>IF(OR(N17="",O17=""),"",O17-N17)</f>
        <v/>
      </c>
      <c r="Q17" s="7" t="n"/>
      <c r="R17" s="7" t="n"/>
      <c r="S17" s="36" t="n"/>
      <c r="T17" s="36" t="n"/>
      <c r="U17" s="4" t="n"/>
      <c r="V17" s="4" t="n"/>
      <c r="W17" s="4" t="n"/>
      <c r="X17" s="47" t="n"/>
      <c r="Y17" s="68" t="n">
        <v>46280</v>
      </c>
      <c r="Z17" s="8">
        <f>IF(AA16="","",AA16)</f>
        <v/>
      </c>
      <c r="AA17" s="4" t="n">
        <v>241</v>
      </c>
      <c r="AB17" s="6">
        <f>IF(OR(Z17="",AA17=""),"",AA17-Z17)</f>
        <v/>
      </c>
      <c r="AC17" s="7" t="n"/>
      <c r="AD17" s="7" t="n"/>
      <c r="AE17" s="36" t="n"/>
      <c r="AF17" s="36" t="n"/>
      <c r="AG17" s="4" t="n"/>
      <c r="AH17" s="4" t="n"/>
      <c r="AI17" s="4" t="n"/>
      <c r="AJ17" s="47" t="n"/>
    </row>
    <row r="18">
      <c r="A18" s="68" t="n">
        <v>46281</v>
      </c>
      <c r="B18" s="75">
        <f>IF(C17="","",C17)</f>
        <v/>
      </c>
      <c r="C18" s="75" t="n">
        <v>2552</v>
      </c>
      <c r="D18" s="77">
        <f>IF(OR(B18="",C18=""),"",C18-B18)</f>
        <v/>
      </c>
      <c r="E18" s="78" t="n"/>
      <c r="F18" s="78" t="n"/>
      <c r="G18" s="79" t="n"/>
      <c r="H18" s="79" t="n"/>
      <c r="I18" s="75" t="n"/>
      <c r="J18" s="75" t="n"/>
      <c r="K18" s="75" t="n"/>
      <c r="L18" s="80" t="n"/>
      <c r="M18" s="68" t="n">
        <v>46281</v>
      </c>
      <c r="N18" s="62">
        <f>IF(O17="","",O17)</f>
        <v/>
      </c>
      <c r="O18" s="4" t="n">
        <v>977</v>
      </c>
      <c r="P18" s="6">
        <f>IF(OR(N18="",O18=""),"",O18-N18)</f>
        <v/>
      </c>
      <c r="Q18" s="7" t="n"/>
      <c r="R18" s="7" t="n"/>
      <c r="S18" s="36" t="n"/>
      <c r="T18" s="36" t="n"/>
      <c r="U18" s="4" t="n"/>
      <c r="V18" s="4" t="n"/>
      <c r="W18" s="4" t="n"/>
      <c r="X18" s="47" t="n"/>
      <c r="Y18" s="68" t="n">
        <v>46281</v>
      </c>
      <c r="Z18" s="8">
        <f>IF(AA17="","",AA17)</f>
        <v/>
      </c>
      <c r="AA18" s="4" t="n">
        <v>241</v>
      </c>
      <c r="AB18" s="6">
        <f>IF(OR(Z18="",AA18=""),"",AA18-Z18)</f>
        <v/>
      </c>
      <c r="AC18" s="7" t="n"/>
      <c r="AD18" s="7" t="n"/>
      <c r="AE18" s="36" t="n"/>
      <c r="AF18" s="36" t="n"/>
      <c r="AG18" s="4" t="n"/>
      <c r="AH18" s="4" t="n"/>
      <c r="AI18" s="4" t="n"/>
      <c r="AJ18" s="47" t="n"/>
    </row>
    <row r="19">
      <c r="A19" s="68" t="n">
        <v>46282</v>
      </c>
      <c r="B19" s="75">
        <f>IF(C18="","",C18)</f>
        <v/>
      </c>
      <c r="C19" s="75" t="n">
        <v>2561</v>
      </c>
      <c r="D19" s="77">
        <f>IF(OR(B19="",C19=""),"",C19-B19)</f>
        <v/>
      </c>
      <c r="E19" s="78" t="n"/>
      <c r="F19" s="78" t="n"/>
      <c r="G19" s="79" t="n"/>
      <c r="H19" s="79" t="n"/>
      <c r="I19" s="75" t="n"/>
      <c r="J19" s="75" t="n"/>
      <c r="K19" s="75" t="n"/>
      <c r="L19" s="80" t="n"/>
      <c r="M19" s="68" t="n">
        <v>46282</v>
      </c>
      <c r="N19" s="62">
        <f>IF(O18="","",O18)</f>
        <v/>
      </c>
      <c r="O19" s="4" t="n">
        <v>985</v>
      </c>
      <c r="P19" s="6">
        <f>IF(OR(N19="",O19=""),"",O19-N19)</f>
        <v/>
      </c>
      <c r="Q19" s="7" t="n"/>
      <c r="R19" s="7" t="n"/>
      <c r="S19" s="36" t="n"/>
      <c r="T19" s="36" t="n"/>
      <c r="U19" s="120" t="n"/>
      <c r="V19" s="120" t="n"/>
      <c r="W19" s="4" t="n"/>
      <c r="X19" s="47" t="n"/>
      <c r="Y19" s="68" t="n">
        <v>46282</v>
      </c>
      <c r="Z19" s="8">
        <f>IF(AA18="","",AA18)</f>
        <v/>
      </c>
      <c r="AA19" s="4" t="n">
        <v>244</v>
      </c>
      <c r="AB19" s="6">
        <f>IF(OR(Z19="",AA19=""),"",AA19-Z19)</f>
        <v/>
      </c>
      <c r="AC19" s="7" t="n"/>
      <c r="AD19" s="7" t="n"/>
      <c r="AE19" s="36" t="n"/>
      <c r="AF19" s="36" t="n"/>
      <c r="AG19" s="4" t="n"/>
      <c r="AH19" s="4" t="n"/>
      <c r="AI19" s="4" t="n"/>
      <c r="AJ19" s="47" t="n"/>
    </row>
    <row r="20">
      <c r="A20" s="68" t="n">
        <v>46283</v>
      </c>
      <c r="B20" s="75">
        <f>IF(C19="","",C19)</f>
        <v/>
      </c>
      <c r="C20" s="75" t="n">
        <v>2563</v>
      </c>
      <c r="D20" s="77">
        <f>IF(OR(B20="",C20=""),"",C20-B20)</f>
        <v/>
      </c>
      <c r="E20" s="78" t="n"/>
      <c r="F20" s="78" t="n"/>
      <c r="G20" s="79" t="n"/>
      <c r="H20" s="79" t="n"/>
      <c r="I20" s="75" t="n"/>
      <c r="J20" s="75" t="n"/>
      <c r="K20" s="75" t="n"/>
      <c r="L20" s="80" t="n"/>
      <c r="M20" s="68" t="n">
        <v>46283</v>
      </c>
      <c r="N20" s="62">
        <f>IF(O19="","",O19)</f>
        <v/>
      </c>
      <c r="O20" s="4" t="n">
        <v>992</v>
      </c>
      <c r="P20" s="6">
        <f>IF(OR(N20="",O20=""),"",O20-N20)</f>
        <v/>
      </c>
      <c r="Q20" s="7" t="n"/>
      <c r="R20" s="7" t="n"/>
      <c r="S20" s="36" t="n"/>
      <c r="T20" s="35" t="n"/>
      <c r="U20" s="4" t="n"/>
      <c r="V20" s="4" t="n"/>
      <c r="W20" s="4" t="n"/>
      <c r="X20" s="47" t="n"/>
      <c r="Y20" s="68" t="n">
        <v>46283</v>
      </c>
      <c r="Z20" s="8">
        <f>IF(AA19="","",AA19)</f>
        <v/>
      </c>
      <c r="AA20" s="4" t="n">
        <v>247</v>
      </c>
      <c r="AB20" s="6">
        <f>IF(OR(Z20="",AA20=""),"",AA20-Z20)</f>
        <v/>
      </c>
      <c r="AC20" s="7" t="n"/>
      <c r="AD20" s="7" t="n"/>
      <c r="AE20" s="36" t="n"/>
      <c r="AF20" s="35" t="n"/>
      <c r="AG20" s="4" t="n"/>
      <c r="AH20" s="4" t="n"/>
      <c r="AI20" s="4" t="n"/>
      <c r="AJ20" s="47" t="n"/>
    </row>
    <row r="21">
      <c r="A21" s="68" t="n">
        <v>46284</v>
      </c>
      <c r="B21" s="75">
        <f>IF(C20="","",C20)</f>
        <v/>
      </c>
      <c r="C21" s="82" t="n">
        <v>2570</v>
      </c>
      <c r="D21" s="77">
        <f>IF(OR(B21="",C21=""),"",C21-B21)</f>
        <v/>
      </c>
      <c r="E21" s="78" t="n"/>
      <c r="F21" s="78" t="n"/>
      <c r="G21" s="79" t="n"/>
      <c r="H21" s="79" t="n"/>
      <c r="I21" s="75" t="n"/>
      <c r="J21" s="75" t="n"/>
      <c r="K21" s="75" t="n"/>
      <c r="L21" s="80" t="n"/>
      <c r="M21" s="68" t="n">
        <v>46284</v>
      </c>
      <c r="N21" s="62">
        <f>IF(O20="","",O20)</f>
        <v/>
      </c>
      <c r="O21" s="4" t="n">
        <v>996</v>
      </c>
      <c r="P21" s="6">
        <f>IF(OR(N21="",O21=""),"",O21-N21)</f>
        <v/>
      </c>
      <c r="Q21" s="7" t="n"/>
      <c r="R21" s="7" t="n"/>
      <c r="S21" s="36" t="n"/>
      <c r="T21" s="36" t="n"/>
      <c r="U21" s="4" t="n"/>
      <c r="V21" s="4" t="n"/>
      <c r="W21" s="4" t="n"/>
      <c r="X21" s="47" t="n"/>
      <c r="Y21" s="68" t="n">
        <v>46284</v>
      </c>
      <c r="Z21" s="8">
        <f>IF(AA20="","",AA20)</f>
        <v/>
      </c>
      <c r="AA21" s="4" t="n">
        <v>247</v>
      </c>
      <c r="AB21" s="6">
        <f>IF(OR(Z21="",AA21=""),"",AA21-Z21)</f>
        <v/>
      </c>
      <c r="AC21" s="7" t="n"/>
      <c r="AD21" s="7" t="n"/>
      <c r="AE21" s="36" t="n"/>
      <c r="AF21" s="36" t="n"/>
      <c r="AG21" s="4" t="n"/>
      <c r="AH21" s="4" t="n"/>
      <c r="AI21" s="4" t="n"/>
      <c r="AJ21" s="47" t="n"/>
    </row>
    <row r="22">
      <c r="A22" s="68" t="n">
        <v>46285</v>
      </c>
      <c r="B22" s="75">
        <f>IF(C21="","",C21)</f>
        <v/>
      </c>
      <c r="C22" s="75" t="n"/>
      <c r="D22" s="77">
        <f>IF(OR(B22="",C22=""),"",C22-B22)</f>
        <v/>
      </c>
      <c r="E22" s="78" t="n"/>
      <c r="F22" s="78" t="n"/>
      <c r="G22" s="79" t="n"/>
      <c r="H22" s="79" t="n"/>
      <c r="I22" s="75" t="n"/>
      <c r="J22" s="75" t="n"/>
      <c r="K22" s="75" t="n"/>
      <c r="L22" s="80" t="n"/>
      <c r="M22" s="68" t="n">
        <v>46285</v>
      </c>
      <c r="N22" s="62">
        <f>IF(O21="","",O21)</f>
        <v/>
      </c>
      <c r="O22" s="4" t="n"/>
      <c r="P22" s="6">
        <f>IF(OR(N22="",O22=""),"",O22-N22)</f>
        <v/>
      </c>
      <c r="Q22" s="7" t="n"/>
      <c r="R22" s="7" t="n"/>
      <c r="S22" s="36" t="n"/>
      <c r="T22" s="36" t="n"/>
      <c r="U22" s="4" t="n"/>
      <c r="V22" s="4" t="n"/>
      <c r="W22" s="4" t="n"/>
      <c r="X22" s="47" t="n"/>
      <c r="Y22" s="68" t="n">
        <v>46285</v>
      </c>
      <c r="Z22" s="8">
        <f>IF(AA21="","",AA21)</f>
        <v/>
      </c>
      <c r="AA22" s="4" t="n"/>
      <c r="AB22" s="6">
        <f>IF(OR(Z22="",AA22=""),"",AA22-Z22)</f>
        <v/>
      </c>
      <c r="AC22" s="7" t="n"/>
      <c r="AD22" s="7" t="n"/>
      <c r="AE22" s="36" t="n"/>
      <c r="AF22" s="36" t="n"/>
      <c r="AG22" s="4" t="n"/>
      <c r="AH22" s="4" t="n"/>
      <c r="AI22" s="4" t="n"/>
      <c r="AJ22" s="47" t="n"/>
    </row>
    <row r="23">
      <c r="A23" s="68" t="n">
        <v>46286</v>
      </c>
      <c r="B23" s="75">
        <f>IF(C22="","",C22)</f>
        <v/>
      </c>
      <c r="C23" s="75" t="n">
        <v>2572</v>
      </c>
      <c r="D23" s="77">
        <f>IF(OR(B23="",C23=""),"",C23-B23)</f>
        <v/>
      </c>
      <c r="E23" s="78" t="n"/>
      <c r="F23" s="78" t="n"/>
      <c r="G23" s="79" t="n"/>
      <c r="H23" s="79" t="n"/>
      <c r="I23" s="75" t="n"/>
      <c r="J23" s="75" t="n"/>
      <c r="K23" s="75" t="n"/>
      <c r="L23" s="80" t="n"/>
      <c r="M23" s="68" t="n">
        <v>46286</v>
      </c>
      <c r="N23" s="62">
        <f>IF(O22="","",O22)</f>
        <v/>
      </c>
      <c r="O23" s="4" t="n">
        <v>1006</v>
      </c>
      <c r="P23" s="6">
        <f>IF(OR(N23="",O23=""),"",O23-N23)</f>
        <v/>
      </c>
      <c r="Q23" s="7" t="n"/>
      <c r="R23" s="7" t="n"/>
      <c r="S23" s="36" t="n"/>
      <c r="T23" s="36" t="n"/>
      <c r="U23" s="4" t="n"/>
      <c r="V23" s="4" t="n"/>
      <c r="W23" s="4" t="n"/>
      <c r="X23" s="47" t="n"/>
      <c r="Y23" s="68" t="n">
        <v>46286</v>
      </c>
      <c r="Z23" s="8">
        <f>IF(AA22="","",AA22)</f>
        <v/>
      </c>
      <c r="AA23" s="4" t="n">
        <v>247</v>
      </c>
      <c r="AB23" s="6">
        <f>IF(OR(Z23="",AA23=""),"",AA23-Z23)</f>
        <v/>
      </c>
      <c r="AC23" s="7" t="n"/>
      <c r="AD23" s="7" t="n"/>
      <c r="AE23" s="36" t="n"/>
      <c r="AF23" s="36" t="n"/>
      <c r="AG23" s="4" t="n"/>
      <c r="AH23" s="4" t="n"/>
      <c r="AI23" s="4" t="n"/>
      <c r="AJ23" s="47" t="n"/>
    </row>
    <row r="24">
      <c r="A24" s="68" t="n">
        <v>46287</v>
      </c>
      <c r="B24" s="75">
        <f>IF(C23="","",C23)</f>
        <v/>
      </c>
      <c r="C24" s="75" t="n">
        <v>2574</v>
      </c>
      <c r="D24" s="77">
        <f>IF(OR(B24="",C24=""),"",C24-B24)</f>
        <v/>
      </c>
      <c r="E24" s="78" t="n">
        <v>10</v>
      </c>
      <c r="F24" s="78" t="n">
        <v>10</v>
      </c>
      <c r="G24" s="79" t="n"/>
      <c r="H24" s="79" t="n"/>
      <c r="I24" s="75" t="n"/>
      <c r="J24" s="75" t="n"/>
      <c r="K24" s="75" t="n"/>
      <c r="L24" s="80" t="n"/>
      <c r="M24" s="68" t="n">
        <v>46287</v>
      </c>
      <c r="N24" s="62">
        <f>IF(O23="","",O23)</f>
        <v/>
      </c>
      <c r="O24" s="4" t="n">
        <v>1012</v>
      </c>
      <c r="P24" s="6">
        <f>IF(OR(N24="",O24=""),"",O24-N24)</f>
        <v/>
      </c>
      <c r="Q24" s="7" t="n">
        <v>10</v>
      </c>
      <c r="R24" s="7" t="n">
        <v>10</v>
      </c>
      <c r="S24" s="36" t="n"/>
      <c r="T24" s="36" t="n"/>
      <c r="U24" s="4" t="n"/>
      <c r="V24" s="4" t="n"/>
      <c r="W24" s="4" t="n"/>
      <c r="X24" s="47" t="n"/>
      <c r="Y24" s="68" t="n">
        <v>46287</v>
      </c>
      <c r="Z24" s="8">
        <f>IF(AA23="","",AA23)</f>
        <v/>
      </c>
      <c r="AA24" s="4" t="n">
        <v>249</v>
      </c>
      <c r="AB24" s="6">
        <f>IF(OR(Z24="",AA24=""),"",AA24-Z24)</f>
        <v/>
      </c>
      <c r="AC24" s="7" t="n">
        <v>10</v>
      </c>
      <c r="AD24" s="7" t="n">
        <v>10</v>
      </c>
      <c r="AE24" s="36" t="n"/>
      <c r="AF24" s="36" t="n"/>
      <c r="AG24" s="4" t="n">
        <v>130.01</v>
      </c>
      <c r="AH24" s="4" t="n"/>
      <c r="AI24" s="4" t="n"/>
      <c r="AJ24" s="47" t="n"/>
    </row>
    <row r="25">
      <c r="A25" s="68" t="n">
        <v>46288</v>
      </c>
      <c r="B25" s="75">
        <f>IF(C24="","",C24)</f>
        <v/>
      </c>
      <c r="C25" s="75" t="n"/>
      <c r="D25" s="77">
        <f>IF(OR(B25="",C25=""),"",C25-B25)</f>
        <v/>
      </c>
      <c r="E25" s="78" t="n"/>
      <c r="F25" s="78" t="n"/>
      <c r="G25" s="79" t="n"/>
      <c r="H25" s="79" t="n"/>
      <c r="I25" s="75" t="n"/>
      <c r="J25" s="75" t="n"/>
      <c r="K25" s="75" t="n"/>
      <c r="L25" s="80" t="n"/>
      <c r="M25" s="68" t="n">
        <v>46288</v>
      </c>
      <c r="N25" s="62">
        <f>IF(O24="","",O24)</f>
        <v/>
      </c>
      <c r="O25" s="4" t="n"/>
      <c r="P25" s="6">
        <f>IF(OR(N25="",O25=""),"",O25-N25)</f>
        <v/>
      </c>
      <c r="Q25" s="7" t="n"/>
      <c r="R25" s="7" t="n"/>
      <c r="S25" s="36" t="n"/>
      <c r="T25" s="36" t="n"/>
      <c r="U25" s="4" t="n"/>
      <c r="V25" s="4" t="n"/>
      <c r="W25" s="4" t="n"/>
      <c r="X25" s="47" t="n"/>
      <c r="Y25" s="68" t="n">
        <v>46288</v>
      </c>
      <c r="Z25" s="8">
        <f>IF(AA24="","",AA24)</f>
        <v/>
      </c>
      <c r="AA25" s="4" t="n"/>
      <c r="AB25" s="6">
        <f>IF(OR(Z25="",AA25=""),"",AA25-Z25)</f>
        <v/>
      </c>
      <c r="AC25" s="7" t="n"/>
      <c r="AD25" s="7" t="n"/>
      <c r="AE25" s="36" t="n"/>
      <c r="AF25" s="36" t="n"/>
      <c r="AG25" s="4" t="n"/>
      <c r="AH25" s="4" t="n"/>
      <c r="AI25" s="4" t="n"/>
      <c r="AJ25" s="47" t="n"/>
    </row>
    <row r="26">
      <c r="A26" s="68" t="n">
        <v>46289</v>
      </c>
      <c r="B26" s="75">
        <f>IF(C25="","",C25)</f>
        <v/>
      </c>
      <c r="C26" s="77" t="n">
        <v>2588</v>
      </c>
      <c r="D26" s="77">
        <f>IF(OR(B26="",C26=""),"",C26-B26)</f>
        <v/>
      </c>
      <c r="E26" s="78" t="n"/>
      <c r="F26" s="78" t="n"/>
      <c r="G26" s="79" t="n"/>
      <c r="H26" s="79" t="n"/>
      <c r="I26" s="75" t="n"/>
      <c r="J26" s="75" t="n"/>
      <c r="K26" s="75" t="n"/>
      <c r="L26" s="80" t="n"/>
      <c r="M26" s="68" t="n">
        <v>46289</v>
      </c>
      <c r="N26" s="62">
        <f>IF(O25="","",O25)</f>
        <v/>
      </c>
      <c r="O26" s="4" t="n"/>
      <c r="P26" s="6">
        <f>IF(OR(N26="",O26=""),"",O26-N26)</f>
        <v/>
      </c>
      <c r="Q26" s="7" t="n"/>
      <c r="R26" s="7" t="n"/>
      <c r="S26" s="36" t="n"/>
      <c r="T26" s="36" t="n"/>
      <c r="U26" s="4" t="n"/>
      <c r="V26" s="4" t="n"/>
      <c r="W26" s="4" t="n"/>
      <c r="X26" s="47" t="n"/>
      <c r="Y26" s="68" t="n">
        <v>46289</v>
      </c>
      <c r="Z26" s="8">
        <f>IF(AA25="","",AA25)</f>
        <v/>
      </c>
      <c r="AA26" s="4" t="n"/>
      <c r="AB26" s="6">
        <f>IF(OR(Z26="",AA26=""),"",AA26-Z26)</f>
        <v/>
      </c>
      <c r="AC26" s="7" t="n"/>
      <c r="AD26" s="7" t="n"/>
      <c r="AE26" s="36" t="n"/>
      <c r="AF26" s="36" t="n"/>
      <c r="AG26" s="4" t="n"/>
      <c r="AH26" s="4" t="n"/>
      <c r="AI26" s="4" t="n"/>
      <c r="AJ26" s="47" t="n"/>
    </row>
    <row r="27">
      <c r="A27" s="68" t="n">
        <v>46290</v>
      </c>
      <c r="B27" s="75">
        <f>IF(C26="","",C26)</f>
        <v/>
      </c>
      <c r="C27" s="75" t="n"/>
      <c r="D27" s="77">
        <f>IF(OR(B27="",C27=""),"",C27-B27)</f>
        <v/>
      </c>
      <c r="E27" s="78" t="n"/>
      <c r="F27" s="78" t="n"/>
      <c r="G27" s="79" t="n"/>
      <c r="H27" s="79" t="n"/>
      <c r="I27" s="75" t="n"/>
      <c r="J27" s="75" t="n"/>
      <c r="K27" s="75" t="n"/>
      <c r="L27" s="80" t="n"/>
      <c r="M27" s="68" t="n">
        <v>46290</v>
      </c>
      <c r="N27" s="62">
        <f>IF(O26="","",O26)</f>
        <v/>
      </c>
      <c r="O27" s="4" t="n"/>
      <c r="P27" s="6">
        <f>IF(OR(N27="",O27=""),"",O27-N27)</f>
        <v/>
      </c>
      <c r="Q27" s="7" t="n"/>
      <c r="R27" s="7" t="n"/>
      <c r="S27" s="36" t="n"/>
      <c r="T27" s="36" t="n"/>
      <c r="U27" s="120" t="n"/>
      <c r="V27" s="120" t="n"/>
      <c r="W27" s="120" t="n"/>
      <c r="X27" s="47" t="n"/>
      <c r="Y27" s="68" t="n">
        <v>46290</v>
      </c>
      <c r="Z27" s="8">
        <f>IF(AA26="","",AA26)</f>
        <v/>
      </c>
      <c r="AA27" s="4" t="n"/>
      <c r="AB27" s="6">
        <f>IF(OR(Z27="",AA27=""),"",AA27-Z27)</f>
        <v/>
      </c>
      <c r="AC27" s="7" t="n"/>
      <c r="AD27" s="7" t="n"/>
      <c r="AE27" s="36" t="n"/>
      <c r="AF27" s="36" t="n"/>
      <c r="AG27" s="4" t="n"/>
      <c r="AH27" s="4" t="n"/>
      <c r="AI27" s="4" t="n"/>
      <c r="AJ27" s="47" t="n"/>
    </row>
    <row r="28">
      <c r="A28" s="68" t="n">
        <v>46291</v>
      </c>
      <c r="B28" s="75">
        <f>IF(C27="","",C27)</f>
        <v/>
      </c>
      <c r="C28" s="75" t="n"/>
      <c r="D28" s="77">
        <f>IF(OR(B28="",C28=""),"",C28-B28)</f>
        <v/>
      </c>
      <c r="E28" s="78" t="n"/>
      <c r="F28" s="78" t="n"/>
      <c r="G28" s="79" t="n"/>
      <c r="H28" s="79" t="n"/>
      <c r="I28" s="75" t="n"/>
      <c r="J28" s="75" t="n"/>
      <c r="K28" s="75" t="n"/>
      <c r="L28" s="80" t="n"/>
      <c r="M28" s="68" t="n">
        <v>46291</v>
      </c>
      <c r="N28" s="62">
        <f>IF(O27="","",O27)</f>
        <v/>
      </c>
      <c r="O28" s="4" t="n"/>
      <c r="P28" s="6">
        <f>IF(OR(N28="",O28=""),"",O28-N28)</f>
        <v/>
      </c>
      <c r="Q28" s="7" t="n"/>
      <c r="R28" s="7" t="n"/>
      <c r="S28" s="36" t="n"/>
      <c r="T28" s="35" t="n"/>
      <c r="U28" s="4" t="n"/>
      <c r="V28" s="4" t="n"/>
      <c r="W28" s="4" t="n"/>
      <c r="X28" s="47" t="n"/>
      <c r="Y28" s="68" t="n">
        <v>46291</v>
      </c>
      <c r="Z28" s="8">
        <f>IF(AA27="","",AA27)</f>
        <v/>
      </c>
      <c r="AA28" s="4" t="n"/>
      <c r="AB28" s="6">
        <f>IF(OR(Z28="",AA28=""),"",AA28-Z28)</f>
        <v/>
      </c>
      <c r="AC28" s="7" t="n"/>
      <c r="AD28" s="7" t="n"/>
      <c r="AE28" s="36" t="n"/>
      <c r="AF28" s="35" t="n"/>
      <c r="AG28" s="4" t="n"/>
      <c r="AH28" s="4" t="n"/>
      <c r="AI28" s="4" t="n"/>
      <c r="AJ28" s="47" t="n"/>
    </row>
    <row r="29">
      <c r="A29" s="68" t="n">
        <v>46292</v>
      </c>
      <c r="B29" s="75">
        <f>IF(C28="","",C28)</f>
        <v/>
      </c>
      <c r="C29" s="75" t="n"/>
      <c r="D29" s="77">
        <f>IF(OR(B29="",C29=""),"",C29-B29)</f>
        <v/>
      </c>
      <c r="E29" s="78" t="n"/>
      <c r="F29" s="78" t="n"/>
      <c r="G29" s="79" t="n"/>
      <c r="H29" s="79" t="n"/>
      <c r="I29" s="75" t="n"/>
      <c r="J29" s="75" t="n"/>
      <c r="K29" s="75" t="n"/>
      <c r="L29" s="80" t="n"/>
      <c r="M29" s="68" t="n">
        <v>46292</v>
      </c>
      <c r="N29" s="62">
        <f>IF(O28="","",O28)</f>
        <v/>
      </c>
      <c r="O29" s="4" t="n"/>
      <c r="P29" s="6">
        <f>IF(OR(N29="",O29=""),"",O29-N29)</f>
        <v/>
      </c>
      <c r="Q29" s="7" t="n"/>
      <c r="R29" s="7" t="n"/>
      <c r="S29" s="36" t="n"/>
      <c r="T29" s="36" t="n"/>
      <c r="U29" s="4" t="n"/>
      <c r="V29" s="4" t="n"/>
      <c r="W29" s="4" t="n"/>
      <c r="X29" s="47" t="n"/>
      <c r="Y29" s="68" t="n">
        <v>46292</v>
      </c>
      <c r="Z29" s="8">
        <f>IF(AA28="","",AA28)</f>
        <v/>
      </c>
      <c r="AA29" s="4" t="n"/>
      <c r="AB29" s="6">
        <f>IF(OR(Z29="",AA29=""),"",AA29-Z29)</f>
        <v/>
      </c>
      <c r="AC29" s="7" t="n"/>
      <c r="AD29" s="7" t="n"/>
      <c r="AE29" s="36" t="n"/>
      <c r="AF29" s="36" t="n"/>
      <c r="AG29" s="4" t="n"/>
      <c r="AH29" s="4" t="n"/>
      <c r="AI29" s="4" t="n"/>
      <c r="AJ29" s="47" t="n"/>
    </row>
    <row r="30">
      <c r="A30" s="68" t="n">
        <v>46293</v>
      </c>
      <c r="B30" s="75">
        <f>IF(C29="","",C29)</f>
        <v/>
      </c>
      <c r="C30" s="75" t="n"/>
      <c r="D30" s="77">
        <f>IF(OR(B30="",C30=""),"",C30-B30)</f>
        <v/>
      </c>
      <c r="E30" s="78" t="n"/>
      <c r="F30" s="78" t="n"/>
      <c r="G30" s="79" t="n"/>
      <c r="H30" s="79" t="n"/>
      <c r="I30" s="75" t="n"/>
      <c r="J30" s="75" t="n"/>
      <c r="K30" s="75" t="n"/>
      <c r="L30" s="80" t="n"/>
      <c r="M30" s="68" t="n">
        <v>46293</v>
      </c>
      <c r="N30" s="62">
        <f>IF(O29="","",O29)</f>
        <v/>
      </c>
      <c r="O30" s="4" t="n"/>
      <c r="P30" s="6">
        <f>IF(OR(N30="",O30=""),"",O30-N30)</f>
        <v/>
      </c>
      <c r="Q30" s="7" t="n"/>
      <c r="R30" s="7" t="n"/>
      <c r="S30" s="36" t="n"/>
      <c r="T30" s="35" t="n"/>
      <c r="U30" s="4" t="n"/>
      <c r="V30" s="4" t="n"/>
      <c r="W30" s="4" t="n"/>
      <c r="X30" s="47" t="n"/>
      <c r="Y30" s="68" t="n">
        <v>46293</v>
      </c>
      <c r="Z30" s="8">
        <f>IF(AA29="","",AA29)</f>
        <v/>
      </c>
      <c r="AA30" s="4" t="n"/>
      <c r="AB30" s="6">
        <f>IF(OR(Z30="",AA30=""),"",AA30-Z30)</f>
        <v/>
      </c>
      <c r="AC30" s="7" t="n"/>
      <c r="AD30" s="7" t="n"/>
      <c r="AE30" s="36" t="n"/>
      <c r="AF30" s="35" t="n"/>
      <c r="AG30" s="4" t="n"/>
      <c r="AH30" s="4" t="n"/>
      <c r="AI30" s="4" t="n"/>
      <c r="AJ30" s="47" t="n"/>
    </row>
    <row r="31">
      <c r="A31" s="68" t="n">
        <v>46294</v>
      </c>
      <c r="B31" s="75">
        <f>IF(C30="","",C30)</f>
        <v/>
      </c>
      <c r="C31" s="75" t="n"/>
      <c r="D31" s="77">
        <f>IF(OR(B31="",C31=""),"",C31-B31)</f>
        <v/>
      </c>
      <c r="E31" s="78" t="n"/>
      <c r="F31" s="78" t="n"/>
      <c r="G31" s="79" t="n"/>
      <c r="H31" s="79" t="n"/>
      <c r="I31" s="75" t="n"/>
      <c r="J31" s="75" t="n"/>
      <c r="K31" s="75" t="n"/>
      <c r="L31" s="80" t="n"/>
      <c r="M31" s="68" t="n">
        <v>46294</v>
      </c>
      <c r="N31" s="62">
        <f>IF(O30="","",O30)</f>
        <v/>
      </c>
      <c r="O31" s="4" t="n"/>
      <c r="P31" s="6">
        <f>IF(OR(N31="",O31=""),"",O31-N31)</f>
        <v/>
      </c>
      <c r="Q31" s="7" t="n"/>
      <c r="R31" s="7" t="n"/>
      <c r="S31" s="36" t="n"/>
      <c r="T31" s="35" t="n"/>
      <c r="U31" s="4" t="n"/>
      <c r="V31" s="4" t="n"/>
      <c r="W31" s="4" t="n"/>
      <c r="X31" s="47" t="n"/>
      <c r="Y31" s="68" t="n">
        <v>46294</v>
      </c>
      <c r="Z31" s="8">
        <f>IF(AA30="","",AA30)</f>
        <v/>
      </c>
      <c r="AA31" s="4" t="n"/>
      <c r="AB31" s="6">
        <f>IF(OR(Z31="",AA31=""),"",AA31-Z31)</f>
        <v/>
      </c>
      <c r="AC31" s="7" t="n"/>
      <c r="AD31" s="7" t="n"/>
      <c r="AE31" s="36" t="n"/>
      <c r="AF31" s="35" t="n"/>
      <c r="AG31" s="4" t="n"/>
      <c r="AH31" s="4" t="n"/>
      <c r="AI31" s="4" t="n"/>
      <c r="AJ31" s="47" t="n"/>
    </row>
    <row r="32">
      <c r="A32" s="68" t="n">
        <v>46295</v>
      </c>
      <c r="B32" s="75">
        <f>IF(C31="","",C31)</f>
        <v/>
      </c>
      <c r="C32" s="75" t="n"/>
      <c r="D32" s="77">
        <f>IF(OR(B32="",C32=""),"",C32-B32)</f>
        <v/>
      </c>
      <c r="E32" s="78" t="n"/>
      <c r="F32" s="78" t="n"/>
      <c r="G32" s="79" t="n"/>
      <c r="H32" s="79" t="n"/>
      <c r="I32" s="75" t="n"/>
      <c r="J32" s="75" t="n"/>
      <c r="K32" s="75" t="n"/>
      <c r="L32" s="80" t="n"/>
      <c r="M32" s="68" t="n">
        <v>46295</v>
      </c>
      <c r="N32" s="62">
        <f>IF(O31="","",O31)</f>
        <v/>
      </c>
      <c r="O32" s="4" t="n"/>
      <c r="P32" s="6">
        <f>IF(OR(N32="",O32=""),"",O32-N32)</f>
        <v/>
      </c>
      <c r="Q32" s="7" t="n"/>
      <c r="R32" s="7" t="n"/>
      <c r="S32" s="36" t="n"/>
      <c r="T32" s="35" t="n"/>
      <c r="U32" s="4" t="n"/>
      <c r="V32" s="4" t="n"/>
      <c r="W32" s="120" t="n"/>
      <c r="X32" s="47" t="n"/>
      <c r="Y32" s="68" t="n">
        <v>46295</v>
      </c>
      <c r="Z32" s="8">
        <f>IF(AA31="","",AA31)</f>
        <v/>
      </c>
      <c r="AA32" s="4" t="n"/>
      <c r="AB32" s="6">
        <f>IF(OR(Z32="",AA32=""),"",AA32-Z32)</f>
        <v/>
      </c>
      <c r="AC32" s="7" t="n"/>
      <c r="AD32" s="7" t="n"/>
      <c r="AE32" s="36" t="n"/>
      <c r="AF32" s="35" t="n"/>
      <c r="AG32" s="4" t="n"/>
      <c r="AH32" s="4" t="n"/>
      <c r="AI32" s="4" t="n"/>
      <c r="AJ32" s="47" t="n"/>
    </row>
    <row r="33">
      <c r="A33" s="68" t="n"/>
      <c r="B33" s="75" t="n"/>
      <c r="C33" s="75" t="n"/>
      <c r="D33" s="77" t="n"/>
      <c r="E33" s="78" t="n"/>
      <c r="F33" s="78" t="n"/>
      <c r="G33" s="79" t="n"/>
      <c r="H33" s="79" t="n"/>
      <c r="I33" s="75" t="n"/>
      <c r="J33" s="75" t="n"/>
      <c r="K33" s="75" t="n"/>
      <c r="L33" s="80" t="n"/>
      <c r="M33" s="127" t="n"/>
      <c r="N33" s="62" t="n"/>
      <c r="O33" s="4" t="n"/>
      <c r="P33" s="6" t="n"/>
      <c r="Q33" s="7" t="n"/>
      <c r="R33" s="7" t="n"/>
      <c r="S33" s="36" t="n"/>
      <c r="T33" s="35" t="n"/>
      <c r="U33" s="4" t="n"/>
      <c r="V33" s="4" t="n"/>
      <c r="W33" s="120" t="n"/>
      <c r="X33" s="47" t="n"/>
      <c r="Y33" s="47" t="n"/>
      <c r="Z33" s="8" t="n"/>
      <c r="AA33" s="4" t="n"/>
      <c r="AB33" s="6" t="n"/>
      <c r="AC33" s="7" t="n"/>
      <c r="AD33" s="7" t="n"/>
      <c r="AE33" s="36" t="n"/>
      <c r="AF33" s="35" t="n"/>
      <c r="AG33" s="4" t="n"/>
      <c r="AH33" s="4" t="n"/>
      <c r="AI33" s="4" t="n"/>
      <c r="AJ33" s="47" t="n"/>
    </row>
    <row r="34" ht="16.5" customHeight="1" thickBot="1">
      <c r="A34" s="69" t="n"/>
      <c r="B34" s="70" t="n"/>
      <c r="C34" s="71" t="n"/>
      <c r="D34" s="72">
        <f>SUM(D3:D32)</f>
        <v/>
      </c>
      <c r="E34" s="73" t="n"/>
      <c r="F34" s="73" t="n"/>
      <c r="G34" s="72">
        <f>SUM(G3:G32)</f>
        <v/>
      </c>
      <c r="H34" s="73" t="inlineStr">
        <is>
          <t>No B/D</t>
        </is>
      </c>
      <c r="I34" s="72">
        <f>SUM(I3:I32)</f>
        <v/>
      </c>
      <c r="J34" s="72" t="n"/>
      <c r="K34" s="72">
        <f>SUM(K3:K32)</f>
        <v/>
      </c>
      <c r="L34" s="74">
        <f>IF(K34=0,"",I34/K34)</f>
        <v/>
      </c>
      <c r="M34" s="128" t="n"/>
      <c r="N34" s="63" t="n"/>
      <c r="O34" s="13" t="n"/>
      <c r="P34" s="72">
        <f>SUM(P3:P32)</f>
        <v/>
      </c>
      <c r="Q34" s="118" t="n"/>
      <c r="R34" s="118" t="n"/>
      <c r="S34" s="72">
        <f>SUM(S3:S32)</f>
        <v/>
      </c>
      <c r="T34" s="51" t="inlineStr">
        <is>
          <t>No B/D</t>
        </is>
      </c>
      <c r="U34" s="72">
        <f>SUM(U2:U32)</f>
        <v/>
      </c>
      <c r="V34" s="14" t="n"/>
      <c r="W34" s="72">
        <f>SUM(W3:W32)</f>
        <v/>
      </c>
      <c r="X34" s="48">
        <f>IF(W34=0,"",U34/W34)</f>
        <v/>
      </c>
      <c r="Y34" s="48" t="n"/>
      <c r="Z34" s="12" t="n"/>
      <c r="AA34" s="13" t="n"/>
      <c r="AB34" s="72">
        <f>SUM(AB3:AB32)</f>
        <v/>
      </c>
      <c r="AC34" s="118" t="n"/>
      <c r="AD34" s="117" t="n"/>
      <c r="AE34" s="72">
        <f>SUM(AE3:AE32)</f>
        <v/>
      </c>
      <c r="AF34" s="51" t="inlineStr">
        <is>
          <t>No B/D</t>
        </is>
      </c>
      <c r="AG34" s="72">
        <f>SUM(AG3:AG32)</f>
        <v/>
      </c>
      <c r="AH34" s="14" t="n"/>
      <c r="AI34" s="72">
        <f>SUM(AI3:AI32)</f>
        <v/>
      </c>
      <c r="AJ34" s="48">
        <f>IF(AI34=0,"",AG34/AI34)</f>
        <v/>
      </c>
    </row>
  </sheetData>
  <mergeCells count="3">
    <mergeCell ref="Z2:AB2"/>
    <mergeCell ref="B2:D2"/>
    <mergeCell ref="N2:P2"/>
  </mergeCells>
  <conditionalFormatting sqref="A3:A17 A19:A33">
    <cfRule type="duplicateValues" priority="11"/>
  </conditionalFormatting>
  <conditionalFormatting sqref="A18">
    <cfRule type="duplicateValues" priority="10"/>
  </conditionalFormatting>
  <conditionalFormatting sqref="L2:L32 L33:M34">
    <cfRule type="colorScale" priority="6">
      <colorScale>
        <cfvo type="num" val="14"/>
        <cfvo type="num" val="18"/>
        <color rgb="FFFCFCFF"/>
        <color rgb="FFF8696B"/>
      </colorScale>
    </cfRule>
  </conditionalFormatting>
  <conditionalFormatting sqref="M3:M17 M19:M32">
    <cfRule type="duplicateValues" priority="4"/>
  </conditionalFormatting>
  <conditionalFormatting sqref="M18">
    <cfRule type="duplicateValues" priority="3"/>
  </conditionalFormatting>
  <conditionalFormatting sqref="X2:X32 X33:Y34">
    <cfRule type="colorScale" priority="8">
      <colorScale>
        <cfvo type="num" val="14"/>
        <cfvo type="num" val="18"/>
        <color rgb="FFFCFCFF"/>
        <color rgb="FFF8696B"/>
      </colorScale>
    </cfRule>
  </conditionalFormatting>
  <conditionalFormatting sqref="Y3:Y17 Y19:Y32">
    <cfRule type="duplicateValues" priority="2"/>
  </conditionalFormatting>
  <conditionalFormatting sqref="Y18">
    <cfRule type="duplicateValues" priority="1"/>
  </conditionalFormatting>
  <conditionalFormatting sqref="AJ2:LAJ34">
    <cfRule type="colorScale" priority="5">
      <colorScale>
        <cfvo type="num" val="14"/>
        <cfvo type="num" val="18"/>
        <color rgb="FFFCFCFF"/>
        <color rgb="FFF8696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zoomScaleNormal="100" workbookViewId="0">
      <selection activeCell="H33" sqref="H33"/>
    </sheetView>
  </sheetViews>
  <sheetFormatPr baseColWidth="8" defaultRowHeight="15"/>
  <cols>
    <col width="11" customWidth="1" min="1" max="1"/>
    <col width="13.5703125" customWidth="1" min="2" max="2"/>
    <col width="19.28515625" customWidth="1" min="3" max="3"/>
    <col width="13.7109375" customWidth="1" min="4" max="4"/>
    <col width="8.28515625" bestFit="1" customWidth="1" min="5" max="5"/>
    <col width="8.42578125" customWidth="1" min="6" max="6"/>
    <col width="14.85546875" customWidth="1" min="7" max="7"/>
    <col width="16.28515625" customWidth="1" min="8" max="8"/>
    <col width="12.5703125" customWidth="1" min="9" max="9"/>
    <col width="11.42578125" bestFit="1" customWidth="1" min="10" max="10"/>
    <col width="14.42578125" bestFit="1" customWidth="1" min="11" max="11"/>
    <col width="15" bestFit="1" customWidth="1" min="12" max="12"/>
    <col width="8.28515625" bestFit="1" customWidth="1" min="13" max="13"/>
    <col width="7.7109375" bestFit="1" customWidth="1" min="14" max="14"/>
  </cols>
  <sheetData>
    <row r="1" ht="21.75" customHeight="1" thickBot="1">
      <c r="A1" s="139" t="inlineStr">
        <is>
          <t>Month</t>
        </is>
      </c>
      <c r="B1" s="134" t="inlineStr">
        <is>
          <t>KALMAR MACHINE AVERAGE-DHIRPUR</t>
        </is>
      </c>
      <c r="C1" s="135" t="n"/>
      <c r="D1" s="135" t="n"/>
      <c r="E1" s="136" t="n"/>
      <c r="F1" s="138" t="inlineStr">
        <is>
          <t>KALMAR-1 MACHINE AVERAGE-DALPATPUR</t>
        </is>
      </c>
      <c r="G1" s="135" t="n"/>
      <c r="H1" s="135" t="n"/>
      <c r="I1" s="136" t="n"/>
      <c r="J1" s="137" t="inlineStr">
        <is>
          <t>KALMAR-2 MACHINE AVERAGE-DALPATPUR</t>
        </is>
      </c>
      <c r="K1" s="135" t="n"/>
      <c r="L1" s="135" t="n"/>
      <c r="M1" s="135" t="n"/>
      <c r="N1" s="136" t="n"/>
    </row>
    <row r="2" ht="30.75" customHeight="1" thickBot="1">
      <c r="A2" s="140" t="n"/>
      <c r="B2" s="96" t="inlineStr">
        <is>
          <t>Total Diesel</t>
        </is>
      </c>
      <c r="C2" s="97" t="inlineStr">
        <is>
          <t>Actual Running  Hours</t>
        </is>
      </c>
      <c r="D2" s="97" t="inlineStr">
        <is>
          <t>Diesel Tank Full Hours</t>
        </is>
      </c>
      <c r="E2" s="98" t="inlineStr">
        <is>
          <t>Average</t>
        </is>
      </c>
      <c r="F2" s="96" t="inlineStr">
        <is>
          <t>Total Diesel</t>
        </is>
      </c>
      <c r="G2" s="97" t="inlineStr">
        <is>
          <t>Actual Running  Hours</t>
        </is>
      </c>
      <c r="H2" s="97" t="inlineStr">
        <is>
          <t>Diesel Tank Full Hours</t>
        </is>
      </c>
      <c r="I2" s="98" t="inlineStr">
        <is>
          <t>Average</t>
        </is>
      </c>
      <c r="J2" s="96" t="inlineStr">
        <is>
          <t>Total Diesel</t>
        </is>
      </c>
      <c r="K2" s="97" t="inlineStr">
        <is>
          <t>Actual Running  Hours</t>
        </is>
      </c>
      <c r="L2" s="97" t="inlineStr">
        <is>
          <t>Diesel Tank Full Hours</t>
        </is>
      </c>
      <c r="M2" s="102" t="inlineStr">
        <is>
          <t>Average</t>
        </is>
      </c>
      <c r="N2" s="139" t="inlineStr">
        <is>
          <t>Remark</t>
        </is>
      </c>
    </row>
    <row r="3" ht="15" customHeight="1">
      <c r="A3" s="104" t="n">
        <v>45962</v>
      </c>
      <c r="B3" s="94">
        <f>'NOV-25'!I33</f>
        <v/>
      </c>
      <c r="C3" s="94">
        <f>'NOV-25'!D33</f>
        <v/>
      </c>
      <c r="D3" s="94">
        <f>'NOV-25'!K33</f>
        <v/>
      </c>
      <c r="E3" s="95">
        <f>B3/D3</f>
        <v/>
      </c>
      <c r="F3" s="99" t="n"/>
      <c r="G3" s="100" t="n"/>
      <c r="H3" s="101" t="n"/>
      <c r="I3" s="95" t="n"/>
      <c r="J3" s="100" t="n"/>
      <c r="K3" s="100" t="n"/>
      <c r="L3" s="100" t="n"/>
      <c r="M3" s="95" t="n"/>
      <c r="N3" s="105" t="n"/>
    </row>
    <row r="4" ht="15" customHeight="1">
      <c r="A4" s="106" t="n">
        <v>45992</v>
      </c>
      <c r="B4" s="1">
        <f>'DEC-25'!I34</f>
        <v/>
      </c>
      <c r="C4" s="1">
        <f>'DEC-25'!D34</f>
        <v/>
      </c>
      <c r="D4" s="1">
        <f>'DEC-25'!K34</f>
        <v/>
      </c>
      <c r="E4" s="41">
        <f>B4/D4</f>
        <v/>
      </c>
      <c r="F4" s="91" t="n"/>
      <c r="G4" s="55" t="n"/>
      <c r="H4" s="9" t="n"/>
      <c r="I4" s="41" t="n"/>
      <c r="J4" s="55" t="n"/>
      <c r="K4" s="55" t="n"/>
      <c r="L4" s="55" t="n"/>
      <c r="M4" s="41" t="n"/>
      <c r="N4" s="107" t="n"/>
    </row>
    <row r="5" ht="15" customHeight="1">
      <c r="A5" s="106" t="n">
        <v>46023</v>
      </c>
      <c r="B5" s="1">
        <f>'JAN-2026'!I34</f>
        <v/>
      </c>
      <c r="C5" s="1">
        <f>'JAN-2026'!D34</f>
        <v/>
      </c>
      <c r="D5" s="1">
        <f>'JAN-2026'!K34</f>
        <v/>
      </c>
      <c r="E5" s="41">
        <f>B5/D5</f>
        <v/>
      </c>
      <c r="F5" s="91" t="n"/>
      <c r="G5" s="55" t="n"/>
      <c r="H5" s="9" t="n"/>
      <c r="I5" s="41" t="n"/>
      <c r="J5" s="55" t="n"/>
      <c r="K5" s="55" t="n"/>
      <c r="L5" s="55" t="n"/>
      <c r="M5" s="41" t="n"/>
      <c r="N5" s="107" t="n"/>
    </row>
    <row r="6">
      <c r="A6" s="106" t="n">
        <v>46054</v>
      </c>
      <c r="B6" s="1">
        <f>'FEB-26'!I31</f>
        <v/>
      </c>
      <c r="C6" s="1">
        <f>'FEB-26'!D31</f>
        <v/>
      </c>
      <c r="D6" s="1">
        <f>'FEB-26'!K31</f>
        <v/>
      </c>
      <c r="E6" s="41">
        <f>B6/D6</f>
        <v/>
      </c>
      <c r="F6" s="91" t="n"/>
      <c r="G6" s="55" t="n"/>
      <c r="H6" s="9" t="n"/>
      <c r="I6" s="41" t="n"/>
      <c r="J6" s="55" t="n"/>
      <c r="K6" s="55" t="n"/>
      <c r="L6" s="55" t="n"/>
      <c r="M6" s="41" t="n"/>
      <c r="N6" s="107" t="n"/>
    </row>
    <row r="7">
      <c r="A7" s="106" t="n">
        <v>46082</v>
      </c>
      <c r="B7" s="1">
        <f>'MAR26'!I34</f>
        <v/>
      </c>
      <c r="C7" s="1">
        <f>'MAR26'!D34</f>
        <v/>
      </c>
      <c r="D7" s="1">
        <f>'MAR26'!K34</f>
        <v/>
      </c>
      <c r="E7" s="41">
        <f>B7/D7</f>
        <v/>
      </c>
      <c r="F7" s="91">
        <f>'MAR26'!T34</f>
        <v/>
      </c>
      <c r="G7" s="55">
        <f>'MAR26'!O34</f>
        <v/>
      </c>
      <c r="H7" s="9">
        <f>'MAR26'!V34</f>
        <v/>
      </c>
      <c r="I7" s="41">
        <f>F7/H7</f>
        <v/>
      </c>
      <c r="J7" s="55">
        <f>'MAR26'!AE34</f>
        <v/>
      </c>
      <c r="K7" s="55">
        <f>'MAR26'!Z34</f>
        <v/>
      </c>
      <c r="L7" s="55">
        <f>'MAR26'!AG34</f>
        <v/>
      </c>
      <c r="M7" s="41">
        <f>J7/L7</f>
        <v/>
      </c>
      <c r="N7" s="107" t="n"/>
    </row>
    <row r="8">
      <c r="A8" s="106" t="n">
        <v>46113</v>
      </c>
      <c r="B8" s="1">
        <f>'APR-26'!I33</f>
        <v/>
      </c>
      <c r="C8" s="1">
        <f>'APR-26'!D33</f>
        <v/>
      </c>
      <c r="D8" s="1">
        <f>'APR-26'!K33</f>
        <v/>
      </c>
      <c r="E8" s="41">
        <f>B8/D8</f>
        <v/>
      </c>
      <c r="F8" s="91">
        <f>'APR-26'!T33</f>
        <v/>
      </c>
      <c r="G8" s="55">
        <f>'APR-26'!O33</f>
        <v/>
      </c>
      <c r="H8" s="9">
        <f>'APR-26'!V33</f>
        <v/>
      </c>
      <c r="I8" s="41">
        <f>F8/H8</f>
        <v/>
      </c>
      <c r="J8" s="55">
        <f>'APR-26'!AE33</f>
        <v/>
      </c>
      <c r="K8" s="55">
        <f>'APR-26'!Z33</f>
        <v/>
      </c>
      <c r="L8" s="55">
        <f>'APR-26'!AG33</f>
        <v/>
      </c>
      <c r="M8" s="41">
        <f>J8/L8</f>
        <v/>
      </c>
      <c r="N8" s="107" t="n"/>
    </row>
    <row r="9">
      <c r="A9" s="106" t="n">
        <v>46143</v>
      </c>
      <c r="B9" s="1">
        <f>'May-26'!I34</f>
        <v/>
      </c>
      <c r="C9" s="1">
        <f>'May-26'!D34</f>
        <v/>
      </c>
      <c r="D9" s="1">
        <f>'May-26'!K34</f>
        <v/>
      </c>
      <c r="E9" s="41">
        <f>B9/D9</f>
        <v/>
      </c>
      <c r="F9" s="91">
        <f>'May-26'!T34</f>
        <v/>
      </c>
      <c r="G9" s="55">
        <f>'May-26'!O34</f>
        <v/>
      </c>
      <c r="H9" s="9">
        <f>'May-26'!V34</f>
        <v/>
      </c>
      <c r="I9" s="41">
        <f>F9/H9</f>
        <v/>
      </c>
      <c r="J9" s="55">
        <f>'May-26'!AE34</f>
        <v/>
      </c>
      <c r="K9" s="55">
        <f>'May-26'!Z34</f>
        <v/>
      </c>
      <c r="L9" s="55">
        <f>'May-26'!AG34</f>
        <v/>
      </c>
      <c r="M9" s="41">
        <f>J9/L9</f>
        <v/>
      </c>
      <c r="N9" s="107" t="n"/>
    </row>
    <row r="10" ht="15.75" customHeight="1" thickBot="1">
      <c r="A10" s="108" t="n">
        <v>46174</v>
      </c>
      <c r="B10" s="109">
        <f>'JUNE-26'!I33</f>
        <v/>
      </c>
      <c r="C10" s="109">
        <f>'JUNE-26'!D33</f>
        <v/>
      </c>
      <c r="D10" s="109">
        <f>'JUNE-26'!K33</f>
        <v/>
      </c>
      <c r="E10" s="110">
        <f>B10/D10</f>
        <v/>
      </c>
      <c r="F10" s="111">
        <f>'JUNE-26'!T33</f>
        <v/>
      </c>
      <c r="G10" s="112">
        <f>'JUNE-26'!O33</f>
        <v/>
      </c>
      <c r="H10" s="113">
        <f>'JUNE-26'!V33</f>
        <v/>
      </c>
      <c r="I10" s="110">
        <f>F10/H10</f>
        <v/>
      </c>
      <c r="J10" s="112">
        <f>'JUNE-26'!AE33</f>
        <v/>
      </c>
      <c r="K10" s="112">
        <f>'JUNE-26'!Z33</f>
        <v/>
      </c>
      <c r="L10" s="112">
        <f>'JUNE-26'!AG33</f>
        <v/>
      </c>
      <c r="M10" s="110">
        <f>J10/L10</f>
        <v/>
      </c>
      <c r="N10" s="114" t="n"/>
    </row>
    <row r="11" ht="15.75" customHeight="1" thickBot="1">
      <c r="A11" s="108" t="n">
        <v>46204</v>
      </c>
      <c r="B11" s="109">
        <f>'July-26'!I34</f>
        <v/>
      </c>
      <c r="C11" s="109">
        <f>'July-26'!D34</f>
        <v/>
      </c>
      <c r="D11" s="109">
        <f>'July-26'!K34</f>
        <v/>
      </c>
      <c r="E11" s="110">
        <f>B11/D11</f>
        <v/>
      </c>
      <c r="F11" s="111">
        <f>'July-26'!T34</f>
        <v/>
      </c>
      <c r="G11" s="112">
        <f>'July-26'!O34</f>
        <v/>
      </c>
      <c r="H11" s="113">
        <f>'July-26'!V34</f>
        <v/>
      </c>
      <c r="I11" s="110">
        <f>F11/H11</f>
        <v/>
      </c>
      <c r="J11" s="112">
        <f>'July-26'!AE34</f>
        <v/>
      </c>
      <c r="K11" s="112">
        <f>'July-26'!Z34</f>
        <v/>
      </c>
      <c r="L11" s="112">
        <f>'July-26'!AG34</f>
        <v/>
      </c>
      <c r="M11" s="110">
        <f>J11/L11</f>
        <v/>
      </c>
      <c r="N11" s="114" t="n"/>
    </row>
    <row r="12">
      <c r="A12" s="121" t="n"/>
      <c r="B12" s="122" t="n"/>
      <c r="C12" s="122" t="n"/>
      <c r="D12" s="122" t="n"/>
      <c r="E12" s="123" t="n"/>
      <c r="F12" s="116" t="n"/>
      <c r="G12" s="124" t="n"/>
      <c r="H12" s="125" t="n"/>
      <c r="I12" s="123" t="n"/>
      <c r="J12" s="124" t="n"/>
      <c r="K12" s="124" t="n"/>
      <c r="L12" s="124" t="n"/>
      <c r="M12" s="123" t="n"/>
      <c r="N12" s="126" t="n"/>
    </row>
    <row r="14">
      <c r="G14" t="inlineStr">
        <is>
          <t>Tank Not full Regular</t>
        </is>
      </c>
      <c r="J14" t="inlineStr">
        <is>
          <t>Tank Not full Regular</t>
        </is>
      </c>
    </row>
    <row r="26" ht="18.75" customHeight="1">
      <c r="A26" s="59" t="n"/>
      <c r="B26" s="59" t="n"/>
      <c r="C26" s="59" t="n"/>
      <c r="D26" s="59" t="n"/>
    </row>
  </sheetData>
  <mergeCells count="4">
    <mergeCell ref="B1:E1"/>
    <mergeCell ref="J1:N1"/>
    <mergeCell ref="F1:I1"/>
    <mergeCell ref="A1:A2"/>
  </mergeCells>
  <pageMargins left="0.17" right="0.17" top="0.7480314960629921" bottom="0.7480314960629921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annu singh chauhan</dc:creator>
  <dcterms:created xmlns:dcterms="http://purl.org/dc/terms/" xmlns:xsi="http://www.w3.org/2001/XMLSchema-instance" xsi:type="dcterms:W3CDTF">2023-09-11T08:35:48Z</dcterms:created>
  <dcterms:modified xmlns:dcterms="http://purl.org/dc/terms/" xmlns:xsi="http://www.w3.org/2001/XMLSchema-instance" xsi:type="dcterms:W3CDTF">2026-09-28T06:20:17Z</dcterms:modified>
  <cp:lastModifiedBy>MIS.TEAM</cp:lastModifiedBy>
  <cp:lastPrinted>2026-03-20T06:37:46Z</cp:lastPrinted>
</cp:coreProperties>
</file>