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9" autoFilterDateGrouping="1"/>
  </bookViews>
  <sheets>
    <sheet xmlns:r="http://schemas.openxmlformats.org/officeDocument/2006/relationships" name="PO" sheetId="1" state="visible" r:id="rId1"/>
    <sheet xmlns:r="http://schemas.openxmlformats.org/officeDocument/2006/relationships" name="DEC-25" sheetId="2" state="visible" r:id="rId2"/>
    <sheet xmlns:r="http://schemas.openxmlformats.org/officeDocument/2006/relationships" name="JAN-26" sheetId="3" state="visible" r:id="rId3"/>
    <sheet xmlns:r="http://schemas.openxmlformats.org/officeDocument/2006/relationships" name="FEB-26" sheetId="4" state="visible" r:id="rId4"/>
    <sheet xmlns:r="http://schemas.openxmlformats.org/officeDocument/2006/relationships" name="MAY-26" sheetId="5" state="visible" r:id="rId5"/>
    <sheet xmlns:r="http://schemas.openxmlformats.org/officeDocument/2006/relationships" name="MAR-26" sheetId="6" state="visible" r:id="rId6"/>
    <sheet xmlns:r="http://schemas.openxmlformats.org/officeDocument/2006/relationships" name="JUNE-26" sheetId="7" state="visible" r:id="rId7"/>
    <sheet xmlns:r="http://schemas.openxmlformats.org/officeDocument/2006/relationships" name="July-26" sheetId="8" state="visible" r:id="rId8"/>
    <sheet xmlns:r="http://schemas.openxmlformats.org/officeDocument/2006/relationships" name="Aug-26" sheetId="9" state="visible" r:id="rId9"/>
    <sheet xmlns:r="http://schemas.openxmlformats.org/officeDocument/2006/relationships" name="Sep-26" sheetId="10" state="visible" r:id="rId10"/>
    <sheet xmlns:r="http://schemas.openxmlformats.org/officeDocument/2006/relationships" name="Summary" sheetId="11" state="visible" r:id="rId11"/>
  </sheets>
  <definedNames>
    <definedName name="_xlnm.Print_Area" localSheetId="6">'JUNE-26'!$A$1:$N$67</definedName>
    <definedName name="_xlnm.Print_Area" localSheetId="7">'July-26'!$A$1:$N$69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"/>
  </numFmts>
  <fonts count="27">
    <font>
      <name val="Calibri"/>
      <family val="2"/>
      <color theme="1"/>
      <sz val="11"/>
      <scheme val="minor"/>
    </font>
    <font>
      <name val="Calibri"/>
      <family val="2"/>
      <color rgb="FF000000"/>
      <sz val="12"/>
      <scheme val="minor"/>
    </font>
    <font>
      <name val="Times New Roman"/>
      <family val="1"/>
      <b val="1"/>
      <sz val="14"/>
    </font>
    <font>
      <name val="Cambria"/>
      <family val="1"/>
      <b val="1"/>
      <sz val="14"/>
    </font>
    <font>
      <name val="Calibri"/>
      <family val="1"/>
      <b val="1"/>
      <sz val="14"/>
    </font>
    <font>
      <name val="Cambria"/>
      <family val="1"/>
      <b val="1"/>
      <sz val="11"/>
    </font>
    <font>
      <name val="Cambria"/>
      <family val="1"/>
      <b val="1"/>
      <color rgb="FF000000"/>
      <sz val="11"/>
    </font>
    <font>
      <name val="Times New Roman"/>
      <family val="1"/>
      <color rgb="FF000000"/>
      <sz val="10"/>
    </font>
    <font>
      <name val="Cambria"/>
      <family val="1"/>
      <sz val="10.5"/>
    </font>
    <font>
      <name val="Calibri"/>
      <family val="2"/>
      <sz val="12"/>
      <scheme val="minor"/>
    </font>
    <font>
      <name val="Times New Roman"/>
      <family val="1"/>
      <b val="1"/>
      <color rgb="FF000000"/>
      <sz val="12"/>
    </font>
    <font>
      <name val="Times New Roman"/>
      <family val="1"/>
      <color rgb="FF000000"/>
      <sz val="10"/>
    </font>
    <font>
      <name val="Cambria"/>
      <family val="1"/>
      <b val="1"/>
      <color rgb="FF131313"/>
      <sz val="10"/>
    </font>
    <font>
      <name val="Cambria"/>
      <family val="1"/>
      <b val="1"/>
      <sz val="10"/>
    </font>
    <font>
      <name val="Cambria"/>
      <family val="1"/>
      <b val="1"/>
      <color rgb="FF111111"/>
      <sz val="10"/>
    </font>
    <font>
      <name val="Times New Roman"/>
      <family val="1"/>
      <b val="1"/>
      <color rgb="FF000000"/>
      <sz val="10"/>
    </font>
    <font>
      <name val="Cambria"/>
      <family val="2"/>
      <color rgb="FF000000"/>
      <sz val="9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131313"/>
      <sz val="11"/>
      <scheme val="minor"/>
    </font>
    <font>
      <name val="Calibri"/>
      <family val="2"/>
      <b val="1"/>
      <color rgb="FF111111"/>
      <sz val="11"/>
      <scheme val="minor"/>
    </font>
    <font>
      <name val="Calibri"/>
      <family val="2"/>
      <b val="1"/>
      <color rgb="FF000000"/>
      <sz val="11"/>
      <scheme val="minor"/>
    </font>
    <font>
      <name val="Arial"/>
      <family val="2"/>
      <color rgb="FF222222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9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thin">
        <color rgb="FF000003"/>
      </bottom>
      <diagonal/>
    </border>
    <border>
      <left/>
      <right style="medium">
        <color indexed="64"/>
      </right>
      <top style="medium">
        <color indexed="64"/>
      </top>
      <bottom style="thin">
        <color rgb="FF000003"/>
      </bottom>
      <diagonal/>
    </border>
    <border>
      <left/>
      <right style="thin">
        <color rgb="FF000003"/>
      </right>
      <top/>
      <bottom/>
      <diagonal/>
    </border>
    <border>
      <left/>
      <right/>
      <top style="thin">
        <color rgb="FF000003"/>
      </top>
      <bottom style="thin">
        <color rgb="FF000003"/>
      </bottom>
      <diagonal/>
    </border>
    <border>
      <left/>
      <right style="medium">
        <color indexed="64"/>
      </right>
      <top style="thin">
        <color rgb="FF000003"/>
      </top>
      <bottom style="thin">
        <color rgb="FF000003"/>
      </bottom>
      <diagonal/>
    </border>
    <border>
      <left/>
      <right style="thin">
        <color rgb="FF000003"/>
      </right>
      <top/>
      <bottom style="thin">
        <color rgb="FF000003"/>
      </bottom>
      <diagonal/>
    </border>
    <border>
      <left/>
      <right/>
      <top style="thin">
        <color rgb="FF000003"/>
      </top>
      <bottom/>
      <diagonal/>
    </border>
    <border>
      <left/>
      <right style="medium">
        <color indexed="64"/>
      </right>
      <top style="thin">
        <color rgb="FF000003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3"/>
      </right>
      <top/>
      <bottom style="thin">
        <color rgb="FF00000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3"/>
      </left>
      <right style="thin">
        <color rgb="FF000003"/>
      </right>
      <top/>
      <bottom style="thin">
        <color rgb="FF000003"/>
      </bottom>
      <diagonal/>
    </border>
    <border>
      <left style="thin">
        <color rgb="FF000003"/>
      </left>
      <right style="thin">
        <color rgb="FF000003"/>
      </right>
      <top style="thin">
        <color indexed="64"/>
      </top>
      <bottom/>
      <diagonal/>
    </border>
    <border>
      <left style="thin">
        <color rgb="FF000003"/>
      </left>
      <right style="thin">
        <color rgb="FF000003"/>
      </right>
      <top/>
      <bottom style="thin">
        <color indexed="64"/>
      </bottom>
      <diagonal/>
    </border>
    <border>
      <left style="thin">
        <color rgb="FF000003"/>
      </left>
      <right style="thin">
        <color rgb="FF000003"/>
      </right>
      <top style="thin">
        <color rgb="FF000003"/>
      </top>
      <bottom style="thin">
        <color rgb="FF000003"/>
      </bottom>
      <diagonal/>
    </border>
    <border>
      <left style="medium">
        <color indexed="64"/>
      </left>
      <right style="thin">
        <color rgb="FF000003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3"/>
      </left>
      <right style="thin">
        <color rgb="FF000003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3"/>
      </left>
      <right style="thin">
        <color rgb="FF00000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3"/>
      </right>
      <top/>
      <bottom style="thin">
        <color rgb="FF00000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3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1" fillId="0" borderId="0"/>
    <xf numFmtId="0" fontId="24" fillId="0" borderId="0"/>
  </cellStyleXfs>
  <cellXfs count="241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5" fillId="3" borderId="9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3" borderId="9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164" fontId="1" fillId="4" borderId="15" applyAlignment="1" pivotButton="0" quotePrefix="0" xfId="0">
      <alignment horizontal="center" vertical="center" wrapText="1" shrinkToFit="1"/>
    </xf>
    <xf numFmtId="0" fontId="9" fillId="4" borderId="12" applyAlignment="1" pivotButton="0" quotePrefix="0" xfId="0">
      <alignment horizontal="center" vertical="center" wrapText="1"/>
    </xf>
    <xf numFmtId="164" fontId="1" fillId="4" borderId="15" applyAlignment="1" pivotButton="0" quotePrefix="0" xfId="0">
      <alignment horizontal="center" vertical="center" shrinkToFit="1"/>
    </xf>
    <xf numFmtId="164" fontId="1" fillId="4" borderId="15" applyAlignment="1" pivotButton="0" quotePrefix="0" xfId="0">
      <alignment horizontal="center" vertical="center" wrapText="1"/>
    </xf>
    <xf numFmtId="0" fontId="9" fillId="4" borderId="15" applyAlignment="1" pivotButton="0" quotePrefix="0" xfId="0">
      <alignment horizontal="center" vertical="center" wrapText="1"/>
    </xf>
    <xf numFmtId="164" fontId="1" fillId="4" borderId="12" applyAlignment="1" pivotButton="0" quotePrefix="0" xfId="0">
      <alignment horizontal="center" vertical="center" shrinkToFit="1"/>
    </xf>
    <xf numFmtId="0" fontId="14" fillId="3" borderId="10" applyAlignment="1" pivotButton="0" quotePrefix="0" xfId="1">
      <alignment horizontal="center" vertical="center" wrapText="1"/>
    </xf>
    <xf numFmtId="0" fontId="15" fillId="3" borderId="9" applyAlignment="1" pivotButton="0" quotePrefix="0" xfId="1">
      <alignment horizontal="center" vertical="center" wrapText="1"/>
    </xf>
    <xf numFmtId="0" fontId="7" fillId="0" borderId="20" applyAlignment="1" pivotButton="0" quotePrefix="0" xfId="2">
      <alignment horizontal="center" vertical="center" wrapText="1"/>
    </xf>
    <xf numFmtId="0" fontId="7" fillId="0" borderId="6" applyAlignment="1" pivotButton="0" quotePrefix="0" xfId="2">
      <alignment horizontal="center" vertical="center" wrapText="1"/>
    </xf>
    <xf numFmtId="14" fontId="0" fillId="0" borderId="21" applyAlignment="1" pivotButton="0" quotePrefix="0" xfId="0">
      <alignment horizontal="center"/>
    </xf>
    <xf numFmtId="2" fontId="16" fillId="0" borderId="15" applyAlignment="1" pivotButton="0" quotePrefix="0" xfId="0">
      <alignment horizontal="center" vertical="center" shrinkToFit="1"/>
    </xf>
    <xf numFmtId="2" fontId="16" fillId="0" borderId="22" applyAlignment="1" pivotButton="0" quotePrefix="0" xfId="0">
      <alignment horizontal="center" vertical="center" shrinkToFit="1"/>
    </xf>
    <xf numFmtId="2" fontId="0" fillId="0" borderId="22" applyAlignment="1" pivotButton="0" quotePrefix="0" xfId="0">
      <alignment horizontal="center" vertical="center" wrapText="1"/>
    </xf>
    <xf numFmtId="2" fontId="16" fillId="0" borderId="25" applyAlignment="1" pivotButton="0" quotePrefix="0" xfId="0">
      <alignment horizontal="center" vertical="center" shrinkToFit="1"/>
    </xf>
    <xf numFmtId="0" fontId="7" fillId="0" borderId="26" applyAlignment="1" pivotButton="0" quotePrefix="0" xfId="2">
      <alignment horizontal="center" vertical="center" wrapText="1"/>
    </xf>
    <xf numFmtId="0" fontId="7" fillId="0" borderId="3" applyAlignment="1" pivotButton="0" quotePrefix="0" xfId="2">
      <alignment horizontal="center" vertical="center" wrapText="1"/>
    </xf>
    <xf numFmtId="0" fontId="7" fillId="0" borderId="21" applyAlignment="1" pivotButton="0" quotePrefix="0" xfId="2">
      <alignment horizontal="center" vertical="center" wrapText="1"/>
    </xf>
    <xf numFmtId="0" fontId="7" fillId="0" borderId="15" applyAlignment="1" pivotButton="0" quotePrefix="0" xfId="2">
      <alignment horizontal="center" vertical="center" wrapText="1"/>
    </xf>
    <xf numFmtId="0" fontId="7" fillId="0" borderId="27" applyAlignment="1" pivotButton="0" quotePrefix="0" xfId="2">
      <alignment horizontal="center" vertical="center" wrapText="1"/>
    </xf>
    <xf numFmtId="0" fontId="7" fillId="0" borderId="28" applyAlignment="1" pivotButton="0" quotePrefix="0" xfId="2">
      <alignment horizontal="center" vertical="center" wrapText="1"/>
    </xf>
    <xf numFmtId="2" fontId="10" fillId="0" borderId="17" applyAlignment="1" pivotButton="0" quotePrefix="0" xfId="2">
      <alignment horizontal="center" vertical="top"/>
    </xf>
    <xf numFmtId="2" fontId="10" fillId="0" borderId="18" applyAlignment="1" pivotButton="0" quotePrefix="0" xfId="2">
      <alignment horizontal="center" vertical="top"/>
    </xf>
    <xf numFmtId="164" fontId="1" fillId="4" borderId="16" applyAlignment="1" pivotButton="0" quotePrefix="0" xfId="0">
      <alignment horizontal="center" vertical="center" shrinkToFit="1"/>
    </xf>
    <xf numFmtId="164" fontId="1" fillId="4" borderId="17" applyAlignment="1" pivotButton="0" quotePrefix="0" xfId="0">
      <alignment horizontal="center" vertical="center" shrinkToFit="1"/>
    </xf>
    <xf numFmtId="0" fontId="1" fillId="4" borderId="17" applyAlignment="1" pivotButton="0" quotePrefix="0" xfId="0">
      <alignment horizontal="center" vertical="center" wrapText="1"/>
    </xf>
    <xf numFmtId="0" fontId="9" fillId="4" borderId="19" applyAlignment="1" pivotButton="0" quotePrefix="0" xfId="0">
      <alignment horizontal="center" vertical="center" wrapText="1"/>
    </xf>
    <xf numFmtId="0" fontId="15" fillId="3" borderId="30" applyAlignment="1" pivotButton="0" quotePrefix="0" xfId="1">
      <alignment horizontal="center" vertical="center" wrapText="1"/>
    </xf>
    <xf numFmtId="0" fontId="17" fillId="4" borderId="12" applyAlignment="1" pivotButton="0" quotePrefix="0" xfId="0">
      <alignment horizontal="center" vertical="center" wrapText="1"/>
    </xf>
    <xf numFmtId="164" fontId="17" fillId="4" borderId="15" applyAlignment="1" pivotButton="0" quotePrefix="0" xfId="0">
      <alignment horizontal="center" vertical="center" wrapText="1" shrinkToFit="1"/>
    </xf>
    <xf numFmtId="0" fontId="17" fillId="4" borderId="15" applyAlignment="1" pivotButton="0" quotePrefix="0" xfId="0">
      <alignment horizontal="center" vertical="center" wrapText="1"/>
    </xf>
    <xf numFmtId="0" fontId="18" fillId="4" borderId="12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164" fontId="17" fillId="4" borderId="15" applyAlignment="1" pivotButton="0" quotePrefix="0" xfId="0">
      <alignment horizontal="center" vertical="center" shrinkToFit="1"/>
    </xf>
    <xf numFmtId="0" fontId="0" fillId="4" borderId="0" applyAlignment="1" pivotButton="0" quotePrefix="0" xfId="0">
      <alignment horizontal="left" vertical="top"/>
    </xf>
    <xf numFmtId="164" fontId="17" fillId="4" borderId="15" applyAlignment="1" pivotButton="0" quotePrefix="0" xfId="0">
      <alignment horizontal="center" vertical="center" wrapText="1"/>
    </xf>
    <xf numFmtId="0" fontId="18" fillId="4" borderId="15" applyAlignment="1" pivotButton="0" quotePrefix="0" xfId="0">
      <alignment horizontal="center" vertical="center" wrapText="1"/>
    </xf>
    <xf numFmtId="164" fontId="17" fillId="4" borderId="12" applyAlignment="1" pivotButton="0" quotePrefix="0" xfId="0">
      <alignment horizontal="center" vertical="center" shrinkToFit="1"/>
    </xf>
    <xf numFmtId="164" fontId="17" fillId="4" borderId="16" applyAlignment="1" pivotButton="0" quotePrefix="0" xfId="0">
      <alignment horizontal="center" vertical="center" shrinkToFit="1"/>
    </xf>
    <xf numFmtId="164" fontId="17" fillId="4" borderId="17" applyAlignment="1" pivotButton="0" quotePrefix="0" xfId="0">
      <alignment horizontal="center" vertical="center" shrinkToFit="1"/>
    </xf>
    <xf numFmtId="0" fontId="17" fillId="4" borderId="17" applyAlignment="1" pivotButton="0" quotePrefix="0" xfId="0">
      <alignment horizontal="center" vertical="center" wrapText="1"/>
    </xf>
    <xf numFmtId="0" fontId="18" fillId="4" borderId="19" applyAlignment="1" pivotButton="0" quotePrefix="0" xfId="0">
      <alignment horizontal="center" vertical="center" wrapText="1"/>
    </xf>
    <xf numFmtId="0" fontId="20" fillId="3" borderId="9" applyAlignment="1" pivotButton="0" quotePrefix="0" xfId="1">
      <alignment horizontal="center" vertical="center" wrapText="1"/>
    </xf>
    <xf numFmtId="0" fontId="19" fillId="3" borderId="9" applyAlignment="1" pivotButton="0" quotePrefix="0" xfId="1">
      <alignment horizontal="center" vertical="center" wrapText="1"/>
    </xf>
    <xf numFmtId="0" fontId="21" fillId="3" borderId="10" applyAlignment="1" pivotButton="0" quotePrefix="0" xfId="1">
      <alignment horizontal="center" vertical="center" wrapText="1"/>
    </xf>
    <xf numFmtId="0" fontId="22" fillId="3" borderId="30" applyAlignment="1" pivotButton="0" quotePrefix="0" xfId="1">
      <alignment horizontal="center" vertical="center" wrapText="1"/>
    </xf>
    <xf numFmtId="0" fontId="22" fillId="3" borderId="9" applyAlignment="1" pivotButton="0" quotePrefix="0" xfId="1">
      <alignment horizontal="center" vertical="center" wrapText="1"/>
    </xf>
    <xf numFmtId="0" fontId="22" fillId="3" borderId="10" applyAlignment="1" pivotButton="0" quotePrefix="0" xfId="0">
      <alignment horizontal="center" vertical="center" wrapText="1"/>
    </xf>
    <xf numFmtId="0" fontId="22" fillId="3" borderId="9" applyAlignment="1" pivotButton="0" quotePrefix="0" xfId="0">
      <alignment horizontal="center" vertical="center" wrapText="1"/>
    </xf>
    <xf numFmtId="0" fontId="19" fillId="3" borderId="9" applyAlignment="1" pivotButton="0" quotePrefix="0" xfId="0">
      <alignment horizontal="center" vertical="center" wrapText="1"/>
    </xf>
    <xf numFmtId="0" fontId="19" fillId="3" borderId="10" applyAlignment="1" pivotButton="0" quotePrefix="0" xfId="0">
      <alignment horizontal="center" vertical="center" wrapText="1"/>
    </xf>
    <xf numFmtId="0" fontId="17" fillId="0" borderId="20" applyAlignment="1" pivotButton="0" quotePrefix="0" xfId="2">
      <alignment horizontal="center" vertical="center" wrapText="1"/>
    </xf>
    <xf numFmtId="0" fontId="17" fillId="0" borderId="6" applyAlignment="1" pivotButton="0" quotePrefix="0" xfId="2">
      <alignment horizontal="center" vertical="center" wrapText="1"/>
    </xf>
    <xf numFmtId="2" fontId="17" fillId="0" borderId="15" applyAlignment="1" pivotButton="0" quotePrefix="0" xfId="0">
      <alignment horizontal="center" vertical="center" shrinkToFit="1"/>
    </xf>
    <xf numFmtId="2" fontId="17" fillId="0" borderId="22" applyAlignment="1" pivotButton="0" quotePrefix="0" xfId="0">
      <alignment horizontal="center" vertical="center" shrinkToFit="1"/>
    </xf>
    <xf numFmtId="0" fontId="18" fillId="0" borderId="14" applyAlignment="1" pivotButton="0" quotePrefix="0" xfId="0">
      <alignment horizontal="center" vertical="center" wrapText="1"/>
    </xf>
    <xf numFmtId="2" fontId="17" fillId="0" borderId="25" applyAlignment="1" pivotButton="0" quotePrefix="0" xfId="0">
      <alignment horizontal="center" vertical="center" shrinkToFit="1"/>
    </xf>
    <xf numFmtId="0" fontId="17" fillId="0" borderId="26" applyAlignment="1" pivotButton="0" quotePrefix="0" xfId="2">
      <alignment horizontal="center" vertical="center" wrapText="1"/>
    </xf>
    <xf numFmtId="0" fontId="17" fillId="0" borderId="3" applyAlignment="1" pivotButton="0" quotePrefix="0" xfId="2">
      <alignment horizontal="center" vertical="center" wrapText="1"/>
    </xf>
    <xf numFmtId="0" fontId="17" fillId="0" borderId="21" applyAlignment="1" pivotButton="0" quotePrefix="0" xfId="2">
      <alignment horizontal="center" vertical="center" wrapText="1"/>
    </xf>
    <xf numFmtId="0" fontId="17" fillId="0" borderId="15" applyAlignment="1" pivotButton="0" quotePrefix="0" xfId="2">
      <alignment horizontal="center" vertical="center" wrapText="1"/>
    </xf>
    <xf numFmtId="0" fontId="17" fillId="0" borderId="27" applyAlignment="1" pivotButton="0" quotePrefix="0" xfId="2">
      <alignment horizontal="center" vertical="center" wrapText="1"/>
    </xf>
    <xf numFmtId="0" fontId="17" fillId="0" borderId="28" applyAlignment="1" pivotButton="0" quotePrefix="0" xfId="2">
      <alignment horizontal="center" vertical="center" wrapText="1"/>
    </xf>
    <xf numFmtId="2" fontId="22" fillId="0" borderId="17" applyAlignment="1" pivotButton="0" quotePrefix="0" xfId="2">
      <alignment horizontal="center" vertical="top"/>
    </xf>
    <xf numFmtId="2" fontId="17" fillId="4" borderId="22" applyAlignment="1" pivotButton="0" quotePrefix="0" xfId="0">
      <alignment horizontal="center" vertical="center" shrinkToFit="1"/>
    </xf>
    <xf numFmtId="2" fontId="17" fillId="5" borderId="15" applyAlignment="1" pivotButton="0" quotePrefix="0" xfId="0">
      <alignment horizontal="center" vertical="center" shrinkToFit="1"/>
    </xf>
    <xf numFmtId="2" fontId="17" fillId="5" borderId="22" applyAlignment="1" pivotButton="0" quotePrefix="0" xfId="0">
      <alignment horizontal="center" vertical="center" shrinkToFit="1"/>
    </xf>
    <xf numFmtId="14" fontId="1" fillId="0" borderId="15" applyAlignment="1" pivotButton="0" quotePrefix="0" xfId="0">
      <alignment horizontal="left" vertical="top"/>
    </xf>
    <xf numFmtId="0" fontId="1" fillId="0" borderId="15" applyAlignment="1" pivotButton="0" quotePrefix="0" xfId="0">
      <alignment horizontal="left"/>
    </xf>
    <xf numFmtId="0" fontId="1" fillId="0" borderId="15" applyAlignment="1" pivotButton="0" quotePrefix="0" xfId="0">
      <alignment horizontal="left" vertical="top"/>
    </xf>
    <xf numFmtId="0" fontId="1" fillId="0" borderId="15" applyAlignment="1" pivotButton="0" quotePrefix="0" xfId="0">
      <alignment horizontal="left" vertical="center"/>
    </xf>
    <xf numFmtId="0" fontId="1" fillId="0" borderId="15" applyAlignment="1" pivotButton="0" quotePrefix="0" xfId="0">
      <alignment horizontal="left" vertical="top" wrapText="1"/>
    </xf>
    <xf numFmtId="0" fontId="1" fillId="0" borderId="15" pivotButton="0" quotePrefix="0" xfId="0"/>
    <xf numFmtId="16" fontId="1" fillId="0" borderId="15" applyAlignment="1" pivotButton="0" quotePrefix="0" xfId="0">
      <alignment horizontal="left" vertical="top"/>
    </xf>
    <xf numFmtId="14" fontId="1" fillId="0" borderId="15" applyAlignment="1" pivotButton="0" quotePrefix="0" xfId="0">
      <alignment horizontal="left"/>
    </xf>
    <xf numFmtId="0" fontId="17" fillId="5" borderId="20" applyAlignment="1" pivotButton="0" quotePrefix="0" xfId="2">
      <alignment horizontal="center" vertical="center" wrapText="1"/>
    </xf>
    <xf numFmtId="0" fontId="17" fillId="5" borderId="6" applyAlignment="1" pivotButton="0" quotePrefix="0" xfId="2">
      <alignment horizontal="center" vertical="center" wrapText="1"/>
    </xf>
    <xf numFmtId="14" fontId="0" fillId="5" borderId="21" applyAlignment="1" pivotButton="0" quotePrefix="0" xfId="0">
      <alignment horizontal="center"/>
    </xf>
    <xf numFmtId="2" fontId="0" fillId="5" borderId="22" applyAlignment="1" pivotButton="0" quotePrefix="0" xfId="0">
      <alignment horizontal="center" vertical="center" wrapText="1"/>
    </xf>
    <xf numFmtId="164" fontId="17" fillId="5" borderId="15" applyAlignment="1" pivotButton="0" quotePrefix="0" xfId="0">
      <alignment horizontal="center" vertical="center" shrinkToFit="1"/>
    </xf>
    <xf numFmtId="0" fontId="17" fillId="5" borderId="15" applyAlignment="1" pivotButton="0" quotePrefix="0" xfId="0">
      <alignment horizontal="center" vertical="center" wrapText="1"/>
    </xf>
    <xf numFmtId="0" fontId="18" fillId="5" borderId="15" applyAlignment="1" pivotButton="0" quotePrefix="0" xfId="0">
      <alignment horizontal="center" vertical="center" wrapText="1"/>
    </xf>
    <xf numFmtId="2" fontId="17" fillId="5" borderId="25" applyAlignment="1" pivotButton="0" quotePrefix="0" xfId="0">
      <alignment horizontal="center" vertical="center" shrinkToFit="1"/>
    </xf>
    <xf numFmtId="164" fontId="17" fillId="5" borderId="12" applyAlignment="1" pivotButton="0" quotePrefix="0" xfId="0">
      <alignment horizontal="center" vertical="center" shrinkToFit="1"/>
    </xf>
    <xf numFmtId="0" fontId="17" fillId="5" borderId="12" applyAlignment="1" pivotButton="0" quotePrefix="0" xfId="0">
      <alignment horizontal="center" vertical="center" wrapText="1"/>
    </xf>
    <xf numFmtId="0" fontId="18" fillId="5" borderId="12" applyAlignment="1" pivotButton="0" quotePrefix="0" xfId="0">
      <alignment horizontal="center" vertical="center" wrapText="1"/>
    </xf>
    <xf numFmtId="0" fontId="17" fillId="5" borderId="21" applyAlignment="1" pivotButton="0" quotePrefix="0" xfId="2">
      <alignment horizontal="center" vertical="center" wrapText="1"/>
    </xf>
    <xf numFmtId="0" fontId="1" fillId="0" borderId="32" applyAlignment="1" pivotButton="0" quotePrefix="0" xfId="0">
      <alignment horizontal="right" vertical="top" indent="1"/>
    </xf>
    <xf numFmtId="164" fontId="17" fillId="0" borderId="15" applyAlignment="1" pivotButton="0" quotePrefix="0" xfId="0">
      <alignment horizontal="center" vertical="center" shrinkToFit="1"/>
    </xf>
    <xf numFmtId="164" fontId="17" fillId="0" borderId="15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18" fillId="0" borderId="15" applyAlignment="1" pivotButton="0" quotePrefix="0" xfId="0">
      <alignment horizontal="center" vertical="center" wrapText="1"/>
    </xf>
    <xf numFmtId="164" fontId="17" fillId="0" borderId="12" applyAlignment="1" pivotButton="0" quotePrefix="0" xfId="0">
      <alignment horizontal="center" vertical="center" shrinkToFit="1"/>
    </xf>
    <xf numFmtId="0" fontId="17" fillId="0" borderId="12" applyAlignment="1" pivotButton="0" quotePrefix="0" xfId="0">
      <alignment horizontal="center" vertical="center" wrapText="1"/>
    </xf>
    <xf numFmtId="0" fontId="18" fillId="0" borderId="12" applyAlignment="1" pivotButton="0" quotePrefix="0" xfId="0">
      <alignment horizontal="center" vertical="center" wrapText="1"/>
    </xf>
    <xf numFmtId="0" fontId="24" fillId="0" borderId="15" applyAlignment="1" pivotButton="0" quotePrefix="0" xfId="3">
      <alignment horizontal="left" vertical="top" wrapText="1"/>
    </xf>
    <xf numFmtId="0" fontId="1" fillId="0" borderId="15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14" fontId="0" fillId="0" borderId="28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2" fontId="22" fillId="0" borderId="36" applyAlignment="1" pivotButton="0" quotePrefix="0" xfId="2">
      <alignment horizontal="center" vertical="top"/>
    </xf>
    <xf numFmtId="164" fontId="17" fillId="0" borderId="34" applyAlignment="1" pivotButton="0" quotePrefix="0" xfId="0">
      <alignment horizontal="center" vertical="center" shrinkToFit="1"/>
    </xf>
    <xf numFmtId="164" fontId="17" fillId="0" borderId="36" applyAlignment="1" pivotButton="0" quotePrefix="0" xfId="0">
      <alignment horizontal="center" vertical="center" shrinkToFit="1"/>
    </xf>
    <xf numFmtId="0" fontId="17" fillId="0" borderId="36" applyAlignment="1" pivotButton="0" quotePrefix="0" xfId="0">
      <alignment horizontal="center" vertical="center" wrapText="1"/>
    </xf>
    <xf numFmtId="0" fontId="18" fillId="0" borderId="37" applyAlignment="1" pivotButton="0" quotePrefix="0" xfId="0">
      <alignment horizontal="center" vertical="center" wrapText="1"/>
    </xf>
    <xf numFmtId="0" fontId="0" fillId="5" borderId="11" applyAlignment="1" pivotButton="0" quotePrefix="0" xfId="0">
      <alignment horizontal="center" vertical="center" wrapText="1"/>
    </xf>
    <xf numFmtId="0" fontId="0" fillId="5" borderId="13" applyAlignment="1" pivotButton="0" quotePrefix="0" xfId="0">
      <alignment horizontal="center" vertical="center" wrapText="1"/>
    </xf>
    <xf numFmtId="0" fontId="18" fillId="5" borderId="14" applyAlignment="1" pivotButton="0" quotePrefix="0" xfId="0">
      <alignment horizontal="center" vertical="center" wrapText="1"/>
    </xf>
    <xf numFmtId="164" fontId="17" fillId="5" borderId="15" applyAlignment="1" pivotButton="0" quotePrefix="0" xfId="0">
      <alignment horizontal="center" vertical="center" wrapText="1" shrinkToFit="1"/>
    </xf>
    <xf numFmtId="0" fontId="25" fillId="0" borderId="15" pivotButton="0" quotePrefix="0" xfId="0"/>
    <xf numFmtId="2" fontId="0" fillId="0" borderId="15" applyAlignment="1" pivotButton="0" quotePrefix="0" xfId="0">
      <alignment horizontal="left" vertical="top"/>
    </xf>
    <xf numFmtId="1" fontId="0" fillId="0" borderId="15" applyAlignment="1" pivotButton="0" quotePrefix="0" xfId="0">
      <alignment horizontal="left" vertical="top"/>
    </xf>
    <xf numFmtId="0" fontId="25" fillId="0" borderId="15" applyAlignment="1" pivotButton="0" quotePrefix="0" xfId="0">
      <alignment horizontal="left" vertical="top"/>
    </xf>
    <xf numFmtId="2" fontId="0" fillId="0" borderId="15" applyAlignment="1" pivotButton="0" quotePrefix="0" xfId="0">
      <alignment horizontal="center" vertical="top"/>
    </xf>
    <xf numFmtId="2" fontId="0" fillId="0" borderId="15" applyAlignment="1" pivotButton="0" quotePrefix="0" xfId="0">
      <alignment horizontal="center"/>
    </xf>
    <xf numFmtId="0" fontId="17" fillId="5" borderId="15" applyAlignment="1" pivotButton="0" quotePrefix="0" xfId="2">
      <alignment horizontal="center" vertical="center" wrapText="1"/>
    </xf>
    <xf numFmtId="14" fontId="0" fillId="5" borderId="15" applyAlignment="1" pivotButton="0" quotePrefix="0" xfId="0">
      <alignment horizontal="center"/>
    </xf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2" fillId="3" borderId="39" applyAlignment="1" pivotButton="0" quotePrefix="0" xfId="1">
      <alignment horizontal="center" vertical="center" wrapText="1"/>
    </xf>
    <xf numFmtId="0" fontId="13" fillId="3" borderId="39" applyAlignment="1" pivotButton="0" quotePrefix="0" xfId="1">
      <alignment horizontal="center" vertical="center" wrapText="1"/>
    </xf>
    <xf numFmtId="0" fontId="0" fillId="5" borderId="15" applyAlignment="1" pivotButton="0" quotePrefix="0" xfId="0">
      <alignment horizontal="left"/>
    </xf>
    <xf numFmtId="0" fontId="0" fillId="5" borderId="15" applyAlignment="1" pivotButton="0" quotePrefix="0" xfId="0">
      <alignment horizontal="left" vertical="top"/>
    </xf>
    <xf numFmtId="2" fontId="0" fillId="5" borderId="15" applyAlignment="1" pivotButton="0" quotePrefix="0" xfId="0">
      <alignment horizontal="left" vertical="top"/>
    </xf>
    <xf numFmtId="2" fontId="0" fillId="5" borderId="15" applyAlignment="1" pivotButton="0" quotePrefix="0" xfId="0">
      <alignment horizontal="left"/>
    </xf>
    <xf numFmtId="0" fontId="0" fillId="5" borderId="15" applyAlignment="1" pivotButton="0" quotePrefix="0" xfId="0">
      <alignment horizontal="center"/>
    </xf>
    <xf numFmtId="1" fontId="0" fillId="5" borderId="15" applyAlignment="1" pivotButton="0" quotePrefix="0" xfId="0">
      <alignment horizontal="left"/>
    </xf>
    <xf numFmtId="0" fontId="23" fillId="6" borderId="0" applyAlignment="1" pivotButton="0" quotePrefix="0" xfId="0">
      <alignment vertical="top" wrapText="1"/>
    </xf>
    <xf numFmtId="2" fontId="1" fillId="0" borderId="15" applyAlignment="1" pivotButton="0" quotePrefix="0" xfId="0">
      <alignment horizontal="right" vertical="top" indent="1"/>
    </xf>
    <xf numFmtId="0" fontId="1" fillId="0" borderId="33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7" fillId="5" borderId="20" applyAlignment="1" pivotButton="0" quotePrefix="0" xfId="2">
      <alignment horizontal="center" vertical="center" wrapText="1"/>
    </xf>
    <xf numFmtId="0" fontId="7" fillId="5" borderId="6" applyAlignment="1" pivotButton="0" quotePrefix="0" xfId="2">
      <alignment horizontal="center" vertical="center" wrapText="1"/>
    </xf>
    <xf numFmtId="2" fontId="16" fillId="5" borderId="15" applyAlignment="1" pivotButton="0" quotePrefix="0" xfId="0">
      <alignment horizontal="center" vertical="center" shrinkToFit="1"/>
    </xf>
    <xf numFmtId="2" fontId="16" fillId="5" borderId="22" applyAlignment="1" pivotButton="0" quotePrefix="0" xfId="0">
      <alignment horizontal="center" vertical="center" shrinkToFit="1"/>
    </xf>
    <xf numFmtId="164" fontId="1" fillId="5" borderId="15" applyAlignment="1" pivotButton="0" quotePrefix="0" xfId="0">
      <alignment horizontal="center" vertical="center" shrinkToFit="1"/>
    </xf>
    <xf numFmtId="164" fontId="1" fillId="5" borderId="15" applyAlignment="1" pivotButton="0" quotePrefix="0" xfId="0">
      <alignment horizontal="center" vertical="center" wrapText="1"/>
    </xf>
    <xf numFmtId="0" fontId="1" fillId="5" borderId="15" applyAlignment="1" pivotButton="0" quotePrefix="0" xfId="0">
      <alignment horizontal="center" vertical="center" wrapText="1"/>
    </xf>
    <xf numFmtId="0" fontId="9" fillId="5" borderId="15" applyAlignment="1" pivotButton="0" quotePrefix="0" xfId="0">
      <alignment horizontal="center" vertical="center" wrapText="1"/>
    </xf>
    <xf numFmtId="164" fontId="1" fillId="5" borderId="12" applyAlignment="1" pivotButton="0" quotePrefix="0" xfId="0">
      <alignment horizontal="center" vertical="center" shrinkToFit="1"/>
    </xf>
    <xf numFmtId="0" fontId="1" fillId="5" borderId="12" applyAlignment="1" pivotButton="0" quotePrefix="0" xfId="0">
      <alignment horizontal="center" vertical="center" wrapText="1"/>
    </xf>
    <xf numFmtId="0" fontId="9" fillId="5" borderId="12" applyAlignment="1" pivotButton="0" quotePrefix="0" xfId="0">
      <alignment horizontal="center" vertical="center" wrapText="1"/>
    </xf>
    <xf numFmtId="0" fontId="7" fillId="5" borderId="21" applyAlignment="1" pivotButton="0" quotePrefix="0" xfId="2">
      <alignment horizontal="center" vertical="center" wrapText="1"/>
    </xf>
    <xf numFmtId="0" fontId="7" fillId="5" borderId="28" applyAlignment="1" pivotButton="0" quotePrefix="0" xfId="2">
      <alignment horizontal="center" vertical="center" wrapText="1"/>
    </xf>
    <xf numFmtId="0" fontId="7" fillId="5" borderId="15" applyAlignment="1" pivotButton="0" quotePrefix="0" xfId="2">
      <alignment horizontal="center" vertical="center" wrapText="1"/>
    </xf>
    <xf numFmtId="0" fontId="7" fillId="5" borderId="3" applyAlignment="1" pivotButton="0" quotePrefix="0" xfId="2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164" fontId="1" fillId="0" borderId="15" applyAlignment="1" pivotButton="0" quotePrefix="0" xfId="0">
      <alignment horizontal="center" vertical="center" wrapText="1" shrinkToFit="1"/>
    </xf>
    <xf numFmtId="0" fontId="1" fillId="0" borderId="15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164" fontId="1" fillId="0" borderId="15" applyAlignment="1" pivotButton="0" quotePrefix="0" xfId="0">
      <alignment horizontal="center" vertical="center" shrinkToFit="1"/>
    </xf>
    <xf numFmtId="164" fontId="1" fillId="0" borderId="15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164" fontId="1" fillId="0" borderId="12" applyAlignment="1" pivotButton="0" quotePrefix="0" xfId="0">
      <alignment horizontal="center" vertical="center" shrinkToFit="1"/>
    </xf>
    <xf numFmtId="0" fontId="7" fillId="5" borderId="27" applyAlignment="1" pivotButton="0" quotePrefix="0" xfId="2">
      <alignment horizontal="center" vertical="center" wrapText="1"/>
    </xf>
    <xf numFmtId="2" fontId="0" fillId="0" borderId="0" pivotButton="0" quotePrefix="0" xfId="0"/>
    <xf numFmtId="0" fontId="7" fillId="5" borderId="26" applyAlignment="1" pivotButton="0" quotePrefix="0" xfId="2">
      <alignment horizontal="center" vertical="center" wrapText="1"/>
    </xf>
    <xf numFmtId="14" fontId="0" fillId="0" borderId="0" pivotButton="0" quotePrefix="0" xfId="0"/>
    <xf numFmtId="0" fontId="25" fillId="0" borderId="44" applyAlignment="1" pivotButton="0" quotePrefix="0" xfId="0">
      <alignment horizontal="center" vertical="center"/>
    </xf>
    <xf numFmtId="0" fontId="25" fillId="0" borderId="46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17" fontId="0" fillId="0" borderId="38" applyAlignment="1" pivotButton="0" quotePrefix="0" xfId="0">
      <alignment horizontal="center" vertical="center"/>
    </xf>
    <xf numFmtId="2" fontId="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0" fontId="1" fillId="0" borderId="15" applyAlignment="1" pivotButton="0" quotePrefix="0" xfId="0">
      <alignment horizontal="right" vertical="top" indent="1"/>
    </xf>
    <xf numFmtId="0" fontId="23" fillId="6" borderId="33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/>
    </xf>
    <xf numFmtId="0" fontId="0" fillId="0" borderId="15" applyAlignment="1" pivotButton="0" quotePrefix="0" xfId="0">
      <alignment horizontal="center" vertical="top"/>
    </xf>
    <xf numFmtId="0" fontId="25" fillId="0" borderId="15" applyAlignment="1" pivotButton="0" quotePrefix="0" xfId="0">
      <alignment horizontal="center"/>
    </xf>
    <xf numFmtId="0" fontId="0" fillId="0" borderId="15" applyAlignment="1" pivotButton="0" quotePrefix="0" xfId="0">
      <alignment horizontal="left" vertical="top"/>
    </xf>
    <xf numFmtId="0" fontId="3" fillId="7" borderId="15" applyAlignment="1" pivotButton="0" quotePrefix="0" xfId="0">
      <alignment horizontal="left" vertical="center" wrapText="1"/>
    </xf>
    <xf numFmtId="0" fontId="0" fillId="0" borderId="40" pivotButton="0" quotePrefix="0" xfId="0"/>
    <xf numFmtId="0" fontId="0" fillId="0" borderId="38" pivotButton="0" quotePrefix="0" xfId="0"/>
    <xf numFmtId="2" fontId="0" fillId="0" borderId="47" applyAlignment="1" pivotButton="0" quotePrefix="0" xfId="0">
      <alignment horizontal="center" vertical="center" wrapText="1"/>
    </xf>
    <xf numFmtId="0" fontId="0" fillId="0" borderId="24" pivotButton="0" quotePrefix="0" xfId="0"/>
    <xf numFmtId="2" fontId="0" fillId="5" borderId="47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left" vertical="center" wrapText="1"/>
    </xf>
    <xf numFmtId="0" fontId="1" fillId="0" borderId="15" applyAlignment="1" pivotButton="0" quotePrefix="0" xfId="0">
      <alignment horizontal="right" vertical="top" indent="1"/>
    </xf>
    <xf numFmtId="2" fontId="0" fillId="0" borderId="2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7" borderId="8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4" fillId="2" borderId="5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10" fillId="0" borderId="16" applyAlignment="1" pivotButton="0" quotePrefix="0" xfId="2">
      <alignment horizontal="center" vertical="top"/>
    </xf>
    <xf numFmtId="0" fontId="0" fillId="0" borderId="10" pivotButton="0" quotePrefix="0" xfId="0"/>
    <xf numFmtId="0" fontId="0" fillId="0" borderId="29" pivotButton="0" quotePrefix="0" xfId="0"/>
    <xf numFmtId="0" fontId="23" fillId="6" borderId="33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/>
    </xf>
    <xf numFmtId="0" fontId="0" fillId="6" borderId="33" applyAlignment="1" pivotButton="0" quotePrefix="0" xfId="0">
      <alignment vertical="top" wrapText="1"/>
    </xf>
    <xf numFmtId="0" fontId="0" fillId="0" borderId="15" applyAlignment="1" pivotButton="0" quotePrefix="0" xfId="0">
      <alignment horizontal="center" vertical="top"/>
    </xf>
    <xf numFmtId="0" fontId="3" fillId="3" borderId="15" applyAlignment="1" pivotButton="0" quotePrefix="0" xfId="0">
      <alignment horizontal="left" vertical="center" wrapText="1"/>
    </xf>
    <xf numFmtId="0" fontId="25" fillId="0" borderId="15" applyAlignment="1" pivotButton="0" quotePrefix="0" xfId="0">
      <alignment horizontal="center"/>
    </xf>
    <xf numFmtId="0" fontId="25" fillId="5" borderId="15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3" fillId="3" borderId="8" applyAlignment="1" pivotButton="0" quotePrefix="0" xfId="0">
      <alignment horizontal="center" vertical="center" wrapText="1"/>
    </xf>
    <xf numFmtId="2" fontId="25" fillId="5" borderId="47" applyAlignment="1" pivotButton="0" quotePrefix="0" xfId="0">
      <alignment horizontal="center" vertical="center" wrapText="1"/>
    </xf>
    <xf numFmtId="0" fontId="22" fillId="0" borderId="16" applyAlignment="1" pivotButton="0" quotePrefix="0" xfId="2">
      <alignment horizontal="center" vertical="top"/>
    </xf>
    <xf numFmtId="2" fontId="0" fillId="5" borderId="2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left" vertical="top"/>
    </xf>
    <xf numFmtId="2" fontId="0" fillId="5" borderId="48" applyAlignment="1" pivotButton="0" quotePrefix="0" xfId="0">
      <alignment horizontal="center" vertical="center" wrapText="1"/>
    </xf>
    <xf numFmtId="0" fontId="0" fillId="0" borderId="45" pivotButton="0" quotePrefix="0" xfId="0"/>
    <xf numFmtId="0" fontId="0" fillId="0" borderId="6" pivotButton="0" quotePrefix="0" xfId="0"/>
    <xf numFmtId="2" fontId="0" fillId="0" borderId="15" applyAlignment="1" pivotButton="0" quotePrefix="0" xfId="0">
      <alignment horizontal="center" vertical="center" wrapText="1"/>
    </xf>
    <xf numFmtId="0" fontId="0" fillId="0" borderId="46" pivotButton="0" quotePrefix="0" xfId="0"/>
    <xf numFmtId="0" fontId="22" fillId="0" borderId="34" applyAlignment="1" pivotButton="0" quotePrefix="0" xfId="2">
      <alignment horizontal="center" vertical="top"/>
    </xf>
    <xf numFmtId="0" fontId="0" fillId="0" borderId="49" pivotButton="0" quotePrefix="0" xfId="0"/>
    <xf numFmtId="0" fontId="0" fillId="0" borderId="35" pivotButton="0" quotePrefix="0" xfId="0"/>
    <xf numFmtId="2" fontId="0" fillId="5" borderId="15" applyAlignment="1" pivotButton="0" quotePrefix="0" xfId="0">
      <alignment horizontal="center" vertical="center" wrapText="1"/>
    </xf>
    <xf numFmtId="2" fontId="0" fillId="0" borderId="23" applyAlignment="1" pivotButton="0" quotePrefix="0" xfId="0">
      <alignment horizontal="center" vertical="center" wrapText="1"/>
    </xf>
    <xf numFmtId="0" fontId="0" fillId="0" borderId="31" pivotButton="0" quotePrefix="0" xfId="0"/>
    <xf numFmtId="2" fontId="22" fillId="5" borderId="15" applyAlignment="1" pivotButton="0" quotePrefix="0" xfId="0">
      <alignment horizontal="center" vertical="center" shrinkToFit="1"/>
    </xf>
    <xf numFmtId="0" fontId="0" fillId="0" borderId="42" pivotButton="0" quotePrefix="0" xfId="0"/>
    <xf numFmtId="0" fontId="0" fillId="0" borderId="33" pivotButton="0" quotePrefix="0" xfId="0"/>
    <xf numFmtId="0" fontId="0" fillId="0" borderId="43" pivotButton="0" quotePrefix="0" xfId="0"/>
    <xf numFmtId="0" fontId="0" fillId="0" borderId="13" pivotButton="0" quotePrefix="0" xfId="0"/>
    <xf numFmtId="0" fontId="0" fillId="0" borderId="44" pivotButton="0" quotePrefix="0" xfId="0"/>
    <xf numFmtId="0" fontId="26" fillId="8" borderId="15" applyAlignment="1" pivotButton="0" quotePrefix="0" xfId="0">
      <alignment horizontal="center" vertical="center"/>
    </xf>
  </cellXfs>
  <cellStyles count="4">
    <cellStyle name="Normal" xfId="0" builtinId="0"/>
    <cellStyle name="Normal 2" xfId="1"/>
    <cellStyle name="Normal 3" xfId="2"/>
    <cellStyle name="Hyperlink" xfId="3" builtinId="8"/>
  </cellStyles>
  <dxfs count="10">
    <dxf>
      <numFmt numFmtId="0" formatCode="General"/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zoomline80ton" displayName="zoomline80ton" ref="A2:E9" headerRowCount="1" totalsRowShown="0" headerRowDxfId="9" dataDxfId="7" headerRowBorderDxfId="8" tableBorderDxfId="6" totalsRowBorderDxfId="5">
  <autoFilter ref="A2:E9"/>
  <tableColumns count="5">
    <tableColumn id="1" name="MONTH" dataDxfId="4"/>
    <tableColumn id="2" name="TOTAL RUNNING HR" dataDxfId="3">
      <calculatedColumnFormula>'Sep-26'!G67</calculatedColumnFormula>
    </tableColumn>
    <tableColumn id="3" name="TOTAL DIESEL CONSUMPTION" dataDxfId="2">
      <calculatedColumnFormula>'Sep-26'!K67</calculatedColumnFormula>
    </tableColumn>
    <tableColumn id="4" name="MONTHLY AVG" dataDxfId="1">
      <calculatedColumnFormula>zoomline80ton[[#This Row],[TOTAL DIESEL CONSUMPTION]]/zoomline80ton[[#This Row],[TOTAL RUNNING HR]]</calculatedColumnFormula>
    </tableColumn>
    <tableColumn id="5" name="TOTAL B/D" dataDxfId="0">
      <calculatedColumnFormula>'Sep-26'!J67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mayur.d@sygnificinfra.com" TargetMode="External" Id="rId1"/><Relationship Type="http://schemas.openxmlformats.org/officeDocument/2006/relationships/hyperlink" Target="mailto:mayur.d@sygnificinfra.com" TargetMode="External" Id="rId2"/><Relationship Type="http://schemas.openxmlformats.org/officeDocument/2006/relationships/hyperlink" Target="mailto:ektaenterprises1@gmail.com" TargetMode="External" Id="rId3"/><Relationship Type="http://schemas.openxmlformats.org/officeDocument/2006/relationships/hyperlink" Target="mailto:ektaenterprises1@gmail.com" TargetMode="External" Id="rId4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topLeftCell="D1" workbookViewId="0">
      <selection activeCell="E24" sqref="E24"/>
    </sheetView>
  </sheetViews>
  <sheetFormatPr baseColWidth="8" defaultRowHeight="15.75"/>
  <cols>
    <col hidden="1" width="36.7109375" customWidth="1" style="1" min="1" max="1"/>
    <col hidden="1" width="49.7109375" customWidth="1" style="1" min="2" max="2"/>
    <col hidden="1" width="24.42578125" customWidth="1" style="1" min="3" max="3"/>
    <col width="33.28515625" bestFit="1" customWidth="1" style="211" min="4" max="4"/>
    <col width="45.5703125" bestFit="1" customWidth="1" style="211" min="5" max="5"/>
    <col width="27.7109375" bestFit="1" customWidth="1" style="211" min="6" max="6"/>
    <col width="9.140625" customWidth="1" style="211" min="7" max="12"/>
    <col width="9.140625" customWidth="1" style="211" min="13" max="16384"/>
  </cols>
  <sheetData>
    <row r="1">
      <c r="A1" s="80" t="inlineStr">
        <is>
          <t>Client Name</t>
        </is>
      </c>
      <c r="B1" s="80" t="inlineStr">
        <is>
          <t>Sygnific infra Pvt. Ltd.</t>
        </is>
      </c>
      <c r="D1" s="80" t="inlineStr">
        <is>
          <t>Client Name</t>
        </is>
      </c>
      <c r="E1" s="80" t="inlineStr">
        <is>
          <t>Hindustan Infrastructure Solution</t>
        </is>
      </c>
      <c r="F1" s="1" t="inlineStr">
        <is>
          <t>Machine running 04-May-26</t>
        </is>
      </c>
    </row>
    <row r="2">
      <c r="A2" s="80" t="inlineStr">
        <is>
          <t>Site</t>
        </is>
      </c>
      <c r="B2" s="80" t="inlineStr">
        <is>
          <t>Ahemdabaad</t>
        </is>
      </c>
      <c r="D2" s="80" t="inlineStr">
        <is>
          <t>Site</t>
        </is>
      </c>
      <c r="E2" s="80" t="inlineStr">
        <is>
          <t>Ahemdabaad</t>
        </is>
      </c>
      <c r="F2" s="1" t="n"/>
    </row>
    <row r="3">
      <c r="A3" s="80" t="inlineStr">
        <is>
          <t>PO#</t>
        </is>
      </c>
      <c r="B3" s="80" t="inlineStr">
        <is>
          <t>N/A</t>
        </is>
      </c>
      <c r="D3" s="80" t="inlineStr">
        <is>
          <t>PO#</t>
        </is>
      </c>
      <c r="E3" s="80" t="inlineStr">
        <is>
          <t>N/A</t>
        </is>
      </c>
      <c r="F3" s="1" t="n"/>
    </row>
    <row r="4">
      <c r="A4" s="80" t="inlineStr">
        <is>
          <t>PO Date</t>
        </is>
      </c>
      <c r="B4" s="78" t="n">
        <v>46016</v>
      </c>
      <c r="D4" s="80" t="inlineStr">
        <is>
          <t>PO Date</t>
        </is>
      </c>
      <c r="E4" s="78" t="inlineStr">
        <is>
          <t>mail confirmation req. praveen sir mail id par h</t>
        </is>
      </c>
      <c r="F4" s="1" t="n"/>
    </row>
    <row r="5">
      <c r="A5" s="80" t="inlineStr">
        <is>
          <t>PO Validy</t>
        </is>
      </c>
      <c r="B5" s="78" t="n">
        <v>46023</v>
      </c>
      <c r="D5" s="80" t="inlineStr">
        <is>
          <t>PO Validy</t>
        </is>
      </c>
      <c r="E5" s="78" t="n"/>
      <c r="F5" s="1" t="n"/>
    </row>
    <row r="6">
      <c r="A6" s="80" t="inlineStr">
        <is>
          <t>PO Validy</t>
        </is>
      </c>
      <c r="B6" s="78" t="n">
        <v>46203</v>
      </c>
      <c r="D6" s="80" t="inlineStr">
        <is>
          <t>PO Validy</t>
        </is>
      </c>
      <c r="E6" s="78" t="n"/>
      <c r="F6" s="1" t="n"/>
    </row>
    <row r="7">
      <c r="A7" s="81" t="inlineStr">
        <is>
          <t>Working hours monthly</t>
        </is>
      </c>
      <c r="B7" s="79" t="inlineStr">
        <is>
          <t>300 HRS</t>
        </is>
      </c>
      <c r="D7" s="81" t="inlineStr">
        <is>
          <t>Working hours monthly</t>
        </is>
      </c>
      <c r="E7" s="79" t="inlineStr">
        <is>
          <t>300 HRS</t>
        </is>
      </c>
      <c r="F7" s="1" t="n"/>
    </row>
    <row r="8">
      <c r="A8" s="83" t="inlineStr">
        <is>
          <t>Diesel</t>
        </is>
      </c>
      <c r="B8" s="80" t="inlineStr">
        <is>
          <t>Sygnific infra Pvt. Ltd.</t>
        </is>
      </c>
      <c r="D8" s="83" t="inlineStr">
        <is>
          <t>Diesel</t>
        </is>
      </c>
      <c r="E8" s="80" t="n"/>
      <c r="F8" s="1" t="n"/>
    </row>
    <row r="9">
      <c r="A9" s="83" t="inlineStr">
        <is>
          <t>Hiring charges</t>
        </is>
      </c>
      <c r="B9" s="80" t="inlineStr">
        <is>
          <t>Rs 2,40,000/-</t>
        </is>
      </c>
      <c r="D9" s="83" t="inlineStr">
        <is>
          <t>Hiring charges</t>
        </is>
      </c>
      <c r="E9" s="80" t="inlineStr">
        <is>
          <t>Rs 2,60,000/-</t>
        </is>
      </c>
      <c r="F9" s="1" t="n"/>
    </row>
    <row r="10">
      <c r="A10" s="83" t="inlineStr">
        <is>
          <t>Asset Name</t>
        </is>
      </c>
      <c r="B10" s="80" t="inlineStr">
        <is>
          <t xml:space="preserve">45 Ton XCMG Crawler CRANE </t>
        </is>
      </c>
      <c r="D10" s="83" t="inlineStr">
        <is>
          <t>Asset Name</t>
        </is>
      </c>
      <c r="E10" s="80" t="inlineStr">
        <is>
          <t xml:space="preserve">45 Ton XCMG Crawler CRANE </t>
        </is>
      </c>
      <c r="F10" s="1" t="n"/>
    </row>
    <row r="11">
      <c r="A11" s="83" t="inlineStr">
        <is>
          <t>Asset Make</t>
        </is>
      </c>
      <c r="B11" s="80" t="inlineStr">
        <is>
          <t>XCMG</t>
        </is>
      </c>
      <c r="D11" s="83" t="inlineStr">
        <is>
          <t>Asset Make</t>
        </is>
      </c>
      <c r="E11" s="80" t="inlineStr">
        <is>
          <t>XCMG</t>
        </is>
      </c>
      <c r="F11" s="1" t="n"/>
    </row>
    <row r="12">
      <c r="A12" s="83" t="inlineStr">
        <is>
          <t>Reg. No.</t>
        </is>
      </c>
      <c r="B12" s="80" t="n"/>
      <c r="D12" s="83" t="inlineStr">
        <is>
          <t>Reg. No.</t>
        </is>
      </c>
      <c r="E12" s="80" t="n"/>
      <c r="F12" s="1" t="n"/>
    </row>
    <row r="13">
      <c r="A13" s="83" t="inlineStr">
        <is>
          <t>Assset Capacity</t>
        </is>
      </c>
      <c r="B13" s="80" t="inlineStr">
        <is>
          <t>45 Ton</t>
        </is>
      </c>
      <c r="D13" s="83" t="inlineStr">
        <is>
          <t>Assset Capacity</t>
        </is>
      </c>
      <c r="E13" s="80" t="inlineStr">
        <is>
          <t>45 Ton</t>
        </is>
      </c>
      <c r="F13" s="1" t="n"/>
    </row>
    <row r="14">
      <c r="A14" s="83" t="inlineStr">
        <is>
          <t>Assset QTY</t>
        </is>
      </c>
      <c r="B14" s="79" t="n">
        <v>1</v>
      </c>
      <c r="D14" s="83" t="inlineStr">
        <is>
          <t>Assset QTY</t>
        </is>
      </c>
      <c r="E14" s="79" t="n">
        <v>1</v>
      </c>
      <c r="F14" s="1" t="n"/>
    </row>
    <row r="15">
      <c r="A15" s="83" t="inlineStr">
        <is>
          <t>Model</t>
        </is>
      </c>
      <c r="B15" s="80" t="n">
        <v>2025</v>
      </c>
      <c r="D15" s="83" t="inlineStr">
        <is>
          <t>Model</t>
        </is>
      </c>
      <c r="E15" s="80" t="n">
        <v>2025</v>
      </c>
      <c r="F15" s="1" t="n"/>
    </row>
    <row r="16">
      <c r="A16" s="83" t="inlineStr">
        <is>
          <t>Diesel Average</t>
        </is>
      </c>
      <c r="B16" s="84" t="inlineStr">
        <is>
          <t>Not Applicable</t>
        </is>
      </c>
      <c r="D16" s="83" t="inlineStr">
        <is>
          <t>Diesel Average</t>
        </is>
      </c>
      <c r="E16" s="84" t="inlineStr">
        <is>
          <t>Not Applicable</t>
        </is>
      </c>
      <c r="F16" s="1" t="n"/>
    </row>
    <row r="17">
      <c r="A17" s="83" t="inlineStr">
        <is>
          <t>Commissioning</t>
        </is>
      </c>
      <c r="B17" s="85" t="n">
        <v>46011</v>
      </c>
      <c r="D17" s="83" t="inlineStr">
        <is>
          <t>Commissioning</t>
        </is>
      </c>
      <c r="E17" s="85" t="n"/>
      <c r="F17" s="1" t="n"/>
    </row>
    <row r="18" ht="31.5" customFormat="1" customHeight="1" s="109">
      <c r="A18" s="107" t="inlineStr">
        <is>
          <t>Maintaince allowed</t>
        </is>
      </c>
      <c r="B18" s="81" t="inlineStr">
        <is>
          <t>2 Days in a month</t>
        </is>
      </c>
      <c r="C18" s="108" t="inlineStr">
        <is>
          <t>30 Days= 28 Days Billing
31 Days= 29 Days Billing</t>
        </is>
      </c>
      <c r="D18" s="107" t="inlineStr">
        <is>
          <t>Maintaince allowed</t>
        </is>
      </c>
      <c r="E18" s="81" t="n"/>
      <c r="F18" s="108" t="n"/>
    </row>
    <row r="19">
      <c r="A19" s="83" t="inlineStr">
        <is>
          <t>Breakdwon Allowed</t>
        </is>
      </c>
      <c r="B19" s="84" t="inlineStr">
        <is>
          <t>0 Hours</t>
        </is>
      </c>
      <c r="D19" s="83" t="inlineStr">
        <is>
          <t>Breakdwon Allowed</t>
        </is>
      </c>
      <c r="E19" s="84" t="n"/>
      <c r="F19" s="1" t="n"/>
    </row>
    <row r="20">
      <c r="A20" s="80" t="inlineStr">
        <is>
          <t>Extra Running Billing</t>
        </is>
      </c>
      <c r="B20" s="80" t="inlineStr">
        <is>
          <t>Above 300 Hrs on pro rata basis</t>
        </is>
      </c>
      <c r="D20" s="80" t="inlineStr">
        <is>
          <t>Extra Running Billing</t>
        </is>
      </c>
      <c r="E20" s="80" t="n"/>
      <c r="F20" s="1" t="n"/>
    </row>
    <row r="21" hidden="1">
      <c r="A21" s="80" t="inlineStr">
        <is>
          <t>Operator Count</t>
        </is>
      </c>
      <c r="B21" s="80" t="n"/>
      <c r="D21" s="80" t="inlineStr">
        <is>
          <t>Operator Count</t>
        </is>
      </c>
      <c r="E21" s="80" t="n"/>
      <c r="F21" s="1" t="n"/>
    </row>
    <row r="22">
      <c r="A22" s="80" t="inlineStr">
        <is>
          <t>Billing cycle</t>
        </is>
      </c>
      <c r="B22" s="80" t="inlineStr">
        <is>
          <t>Monthly</t>
        </is>
      </c>
      <c r="D22" s="80" t="inlineStr">
        <is>
          <t>Billing cycle</t>
        </is>
      </c>
      <c r="E22" s="80" t="inlineStr">
        <is>
          <t>Monthly</t>
        </is>
      </c>
      <c r="F22" s="1" t="n"/>
    </row>
    <row r="23">
      <c r="A23" s="80" t="inlineStr">
        <is>
          <t>HEAD OFFICE PERSON</t>
        </is>
      </c>
      <c r="B23" s="80" t="inlineStr">
        <is>
          <t>Sunil Ji</t>
        </is>
      </c>
      <c r="D23" s="80" t="inlineStr">
        <is>
          <t>HEAD OFFICE PERSON</t>
        </is>
      </c>
      <c r="E23" s="80" t="inlineStr">
        <is>
          <t>Sunil Ji</t>
        </is>
      </c>
      <c r="F23" s="1" t="n"/>
    </row>
    <row r="24">
      <c r="A24" s="80" t="inlineStr">
        <is>
          <t>SITE SUPERVISOR</t>
        </is>
      </c>
      <c r="B24" s="80" t="inlineStr">
        <is>
          <t>Sunil Ji</t>
        </is>
      </c>
      <c r="D24" s="80" t="inlineStr">
        <is>
          <t>SITE SUPERVISOR</t>
        </is>
      </c>
      <c r="E24" s="80" t="inlineStr">
        <is>
          <t>Sunil Ji</t>
        </is>
      </c>
      <c r="F24" s="1" t="n"/>
    </row>
    <row r="25">
      <c r="A25" s="80" t="inlineStr">
        <is>
          <t>Operator Count</t>
        </is>
      </c>
      <c r="B25" s="80" t="n">
        <v>1</v>
      </c>
      <c r="D25" s="80" t="inlineStr">
        <is>
          <t>Operator Count</t>
        </is>
      </c>
      <c r="E25" s="80" t="n">
        <v>1</v>
      </c>
      <c r="F25" s="1" t="n"/>
    </row>
    <row r="26">
      <c r="A26" s="80" t="inlineStr">
        <is>
          <t>Helper Count</t>
        </is>
      </c>
      <c r="B26" s="80" t="n"/>
      <c r="D26" s="80" t="inlineStr">
        <is>
          <t>Helper Count</t>
        </is>
      </c>
      <c r="E26" s="80" t="n"/>
      <c r="F26" s="1" t="n"/>
    </row>
    <row r="27" ht="31.5" customHeight="1">
      <c r="A27" s="81" t="inlineStr">
        <is>
          <t>Accomadation Charges (Operator)</t>
        </is>
      </c>
      <c r="B27" s="82" t="inlineStr">
        <is>
          <t>Stay, Food and Transport will bear by Signific Infra
Mesh Charges will be provided by Ekta</t>
        </is>
      </c>
      <c r="C27" s="141" t="n"/>
      <c r="D27" s="81" t="inlineStr">
        <is>
          <t>Accomadation Charges (Operator)</t>
        </is>
      </c>
      <c r="E27" s="82" t="n"/>
      <c r="F27" s="1" t="n"/>
    </row>
    <row r="28" ht="33.75" customHeight="1">
      <c r="A28" s="81" t="inlineStr">
        <is>
          <t>Overtime working</t>
        </is>
      </c>
      <c r="B28" s="82" t="inlineStr">
        <is>
          <t>Working hours exceeding the stipulated monthly hours will be charged extra on a pro-rata basis.</t>
        </is>
      </c>
      <c r="C28" s="141" t="n"/>
      <c r="D28" s="81" t="inlineStr">
        <is>
          <t>Overtime working</t>
        </is>
      </c>
      <c r="E28" s="82" t="n"/>
      <c r="F28" s="212" t="n"/>
    </row>
    <row r="29">
      <c r="A29" s="81" t="inlineStr">
        <is>
          <t>Required Documents for Billing</t>
        </is>
      </c>
      <c r="B29" s="82" t="inlineStr">
        <is>
          <t>Monthly Singned logbook, Tax Invoice</t>
        </is>
      </c>
      <c r="C29" s="141" t="n"/>
      <c r="D29" s="81" t="inlineStr">
        <is>
          <t>Required Documents for Billing</t>
        </is>
      </c>
      <c r="E29" s="82" t="inlineStr">
        <is>
          <t>Monthly Singned logbook, Tax Invoice</t>
        </is>
      </c>
      <c r="F29" s="210" t="n"/>
    </row>
    <row r="30" ht="31.5" customHeight="1">
      <c r="A30" s="81" t="inlineStr">
        <is>
          <t>Email Id for Billing</t>
        </is>
      </c>
      <c r="B30" s="82" t="inlineStr">
        <is>
          <t>mayur.d@sygnificinfra.com
info@sygnificinfra.com</t>
        </is>
      </c>
      <c r="C30" s="141" t="n"/>
      <c r="D30" s="81" t="inlineStr">
        <is>
          <t>Email Id for Billing</t>
        </is>
      </c>
      <c r="E30" s="82" t="inlineStr">
        <is>
          <t>mayur.d@sygnificinfra.com
info@sygnificinfra.com</t>
        </is>
      </c>
      <c r="F30" s="210" t="n"/>
      <c r="G30" s="139" t="n"/>
    </row>
    <row r="31">
      <c r="A31" s="81" t="inlineStr">
        <is>
          <t>Ekta's Email ID used for Billing</t>
        </is>
      </c>
      <c r="B31" s="106" t="inlineStr">
        <is>
          <t>ektaenterprises1@gmail.com</t>
        </is>
      </c>
      <c r="C31" s="141" t="n"/>
      <c r="D31" s="81" t="inlineStr">
        <is>
          <t>Ekta's Email ID used for Billing</t>
        </is>
      </c>
      <c r="E31" s="106" t="inlineStr">
        <is>
          <t>ektaenterprises1@gmail.com</t>
        </is>
      </c>
      <c r="F31" s="210" t="n"/>
      <c r="G31" s="139" t="n"/>
    </row>
    <row r="32">
      <c r="A32" s="81" t="n"/>
      <c r="B32" s="106" t="n"/>
      <c r="C32" s="141" t="n"/>
      <c r="D32" s="142" t="n"/>
    </row>
    <row r="33">
      <c r="A33" s="107" t="inlineStr">
        <is>
          <t>Termination or dehire of machine</t>
        </is>
      </c>
      <c r="B33" s="80" t="n"/>
      <c r="C33" s="141" t="n"/>
      <c r="D33" s="142" t="n"/>
    </row>
    <row r="34">
      <c r="A34" s="107" t="n"/>
      <c r="B34" s="80" t="n"/>
      <c r="C34" s="141" t="n"/>
      <c r="D34" s="142" t="n"/>
    </row>
    <row r="35">
      <c r="A35" s="83" t="inlineStr">
        <is>
          <t>Payment Term</t>
        </is>
      </c>
      <c r="B35" s="80" t="inlineStr">
        <is>
          <t>Payment will be done on 15 to 20 of each month</t>
        </is>
      </c>
      <c r="C35" s="141" t="n"/>
      <c r="D35" s="142" t="n"/>
    </row>
    <row r="71">
      <c r="A71" s="81" t="n"/>
      <c r="B71" s="106" t="n"/>
      <c r="C71" s="210" t="n"/>
      <c r="D71" s="139" t="n"/>
    </row>
    <row r="72">
      <c r="A72" s="107" t="inlineStr">
        <is>
          <t>Termination or dehire of machine</t>
        </is>
      </c>
      <c r="B72" s="80" t="n"/>
      <c r="C72" s="210" t="n"/>
    </row>
    <row r="73">
      <c r="A73" s="107" t="n"/>
      <c r="B73" s="80" t="n"/>
    </row>
    <row r="74">
      <c r="A74" s="83" t="inlineStr">
        <is>
          <t>Payment Term</t>
        </is>
      </c>
      <c r="B74" s="80" t="n"/>
    </row>
  </sheetData>
  <mergeCells count="3">
    <mergeCell ref="C72:D72"/>
    <mergeCell ref="F29:G29"/>
    <mergeCell ref="F28:G28"/>
  </mergeCells>
  <hyperlinks>
    <hyperlink xmlns:r="http://schemas.openxmlformats.org/officeDocument/2006/relationships" ref="B30" display="mayur.d@sygnificinfra.com_x000a_" r:id="rId1"/>
    <hyperlink xmlns:r="http://schemas.openxmlformats.org/officeDocument/2006/relationships" ref="E30" display="mayur.d@sygnificinfra.com_x000a_" r:id="rId2"/>
    <hyperlink xmlns:r="http://schemas.openxmlformats.org/officeDocument/2006/relationships" ref="B31" r:id="rId3"/>
    <hyperlink xmlns:r="http://schemas.openxmlformats.org/officeDocument/2006/relationships" ref="E31" r:id="rId4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82"/>
  <sheetViews>
    <sheetView topLeftCell="A43" zoomScale="85" zoomScaleNormal="85" workbookViewId="0">
      <selection activeCell="D75" sqref="D75"/>
    </sheetView>
  </sheetViews>
  <sheetFormatPr baseColWidth="8" defaultRowHeight="15"/>
  <cols>
    <col width="9.5703125" bestFit="1" customWidth="1" min="2" max="2"/>
    <col width="13.5703125" customWidth="1" min="3" max="3"/>
    <col width="11.7109375" customWidth="1" min="4" max="4"/>
    <col width="9.7109375" bestFit="1" customWidth="1" min="5" max="5"/>
    <col width="19.5703125" customWidth="1" min="7" max="7"/>
    <col width="15" bestFit="1" customWidth="1" min="8" max="8"/>
    <col width="24.85546875" bestFit="1" customWidth="1" min="9" max="9"/>
    <col width="35.28515625" customWidth="1" min="14" max="14"/>
  </cols>
  <sheetData>
    <row r="1" ht="18.75" customHeight="1">
      <c r="A1" s="194" t="inlineStr">
        <is>
          <t xml:space="preserve">Vendor Description  </t>
        </is>
      </c>
      <c r="B1" s="189" t="n"/>
      <c r="C1" s="189" t="n"/>
      <c r="D1" s="190" t="n"/>
      <c r="E1" s="204" t="inlineStr">
        <is>
          <t>EKTA ENTERPRISES</t>
        </is>
      </c>
      <c r="F1" s="205" t="n"/>
      <c r="G1" s="205" t="n"/>
      <c r="H1" s="205" t="n"/>
      <c r="I1" s="205" t="n"/>
      <c r="J1" s="205" t="n"/>
      <c r="K1" s="205" t="n"/>
      <c r="L1" s="205" t="n"/>
      <c r="M1" s="205" t="n"/>
      <c r="N1" s="206" t="n"/>
    </row>
    <row r="2" ht="18.75" customHeight="1">
      <c r="A2" s="194" t="inlineStr">
        <is>
          <t xml:space="preserve">Asset  Discription  </t>
        </is>
      </c>
      <c r="B2" s="189" t="n"/>
      <c r="C2" s="189" t="n"/>
      <c r="D2" s="190" t="n"/>
      <c r="E2" s="197" t="inlineStr">
        <is>
          <t xml:space="preserve">XCMG Crawler CRANE </t>
        </is>
      </c>
      <c r="F2" s="198" t="n"/>
      <c r="G2" s="198" t="n"/>
      <c r="H2" s="198" t="n"/>
      <c r="I2" s="198" t="n"/>
      <c r="J2" s="198" t="n"/>
      <c r="K2" s="198" t="n"/>
      <c r="L2" s="198" t="n"/>
      <c r="M2" s="198" t="n"/>
      <c r="N2" s="199" t="n"/>
    </row>
    <row r="3" ht="18.75" customHeight="1">
      <c r="A3" s="194" t="inlineStr">
        <is>
          <t xml:space="preserve">Asset  Capacity  </t>
        </is>
      </c>
      <c r="B3" s="189" t="n"/>
      <c r="C3" s="189" t="n"/>
      <c r="D3" s="190" t="n"/>
      <c r="E3" s="197" t="inlineStr">
        <is>
          <t>45 Ton</t>
        </is>
      </c>
      <c r="F3" s="198" t="n"/>
      <c r="G3" s="198" t="n"/>
      <c r="H3" s="198" t="n"/>
      <c r="I3" s="198" t="n"/>
      <c r="J3" s="198" t="n"/>
      <c r="K3" s="198" t="n"/>
      <c r="L3" s="198" t="n"/>
      <c r="M3" s="198" t="n"/>
      <c r="N3" s="199" t="n"/>
    </row>
    <row r="4" ht="18.75" customHeight="1">
      <c r="A4" s="194" t="inlineStr">
        <is>
          <t xml:space="preserve">Billing Period  </t>
        </is>
      </c>
      <c r="B4" s="189" t="n"/>
      <c r="C4" s="189" t="n"/>
      <c r="D4" s="190" t="n"/>
      <c r="E4" s="203" t="inlineStr">
        <is>
          <t>01-12-2025 TO 31-12-2025</t>
        </is>
      </c>
      <c r="F4" s="198" t="n"/>
      <c r="G4" s="198" t="n"/>
      <c r="H4" s="198" t="n"/>
      <c r="I4" s="198" t="n"/>
      <c r="J4" s="198" t="n"/>
      <c r="K4" s="198" t="n"/>
      <c r="L4" s="198" t="n"/>
      <c r="M4" s="198" t="n"/>
      <c r="N4" s="199" t="n"/>
    </row>
    <row r="5" ht="39.75" customHeight="1" thickBot="1">
      <c r="A5" s="214" t="inlineStr">
        <is>
          <t>COMPANY  NAME</t>
        </is>
      </c>
      <c r="B5" s="189" t="n"/>
      <c r="C5" s="189" t="n"/>
      <c r="D5" s="190" t="n"/>
      <c r="E5" s="218" t="inlineStr">
        <is>
          <t>Sygnific infra Pvt. Ltd. Ahemdabaad</t>
        </is>
      </c>
      <c r="F5" s="201" t="n"/>
      <c r="G5" s="201" t="n"/>
      <c r="H5" s="201" t="n"/>
      <c r="I5" s="201" t="n"/>
      <c r="J5" s="201" t="n"/>
      <c r="K5" s="201" t="n"/>
      <c r="L5" s="201" t="n"/>
      <c r="M5" s="201" t="n"/>
      <c r="N5" s="202" t="n"/>
    </row>
    <row r="6" ht="29.25" customHeight="1" thickBot="1">
      <c r="A6" s="131" t="inlineStr">
        <is>
          <t>SR. NO.</t>
        </is>
      </c>
      <c r="B6" s="131" t="inlineStr">
        <is>
          <t>Shift</t>
        </is>
      </c>
      <c r="C6" s="132" t="inlineStr">
        <is>
          <t>Date</t>
        </is>
      </c>
      <c r="D6" s="132" t="inlineStr">
        <is>
          <t>Starting HMR</t>
        </is>
      </c>
      <c r="E6" s="17" t="inlineStr">
        <is>
          <t>Closing    HMR</t>
        </is>
      </c>
      <c r="F6" s="38" t="inlineStr">
        <is>
          <t>HMR</t>
        </is>
      </c>
      <c r="G6" s="18" t="inlineStr">
        <is>
          <t>Normal  Shift
Hours</t>
        </is>
      </c>
      <c r="H6" s="3" t="inlineStr">
        <is>
          <t>BD Start</t>
        </is>
      </c>
      <c r="I6" s="4" t="inlineStr">
        <is>
          <t>BD End</t>
        </is>
      </c>
      <c r="J6" s="2" t="inlineStr">
        <is>
          <t>Total B/D</t>
        </is>
      </c>
      <c r="K6" s="5" t="inlineStr">
        <is>
          <t>Diesel  issued</t>
        </is>
      </c>
      <c r="L6" s="2" t="inlineStr">
        <is>
          <t>Diesel HMR</t>
        </is>
      </c>
      <c r="M6" s="2" t="inlineStr">
        <is>
          <t>Hours</t>
        </is>
      </c>
      <c r="N6" s="2" t="inlineStr">
        <is>
          <t>Remark</t>
        </is>
      </c>
    </row>
    <row r="7" ht="15.75" customHeight="1">
      <c r="A7" s="19" t="n">
        <v>1</v>
      </c>
      <c r="B7" s="20" t="inlineStr">
        <is>
          <t>Day</t>
        </is>
      </c>
      <c r="C7" s="21" t="n">
        <v>45992</v>
      </c>
      <c r="D7" s="22" t="n"/>
      <c r="E7" s="23" t="n"/>
      <c r="F7" s="24" t="n"/>
      <c r="G7" s="196">
        <f>F7+F8</f>
        <v/>
      </c>
      <c r="H7" s="6" t="n"/>
      <c r="I7" s="6" t="n"/>
      <c r="J7" s="6" t="n"/>
      <c r="K7" s="6" t="n"/>
      <c r="L7" s="7" t="n"/>
      <c r="M7" s="8" t="n"/>
      <c r="N7" s="9" t="n"/>
    </row>
    <row r="8" ht="15.75" customHeight="1">
      <c r="A8" s="19" t="n">
        <v>2</v>
      </c>
      <c r="B8" s="20" t="inlineStr">
        <is>
          <t>Night</t>
        </is>
      </c>
      <c r="C8" s="21">
        <f>C7</f>
        <v/>
      </c>
      <c r="D8" s="22" t="n"/>
      <c r="E8" s="23" t="n"/>
      <c r="F8" s="24" t="n"/>
      <c r="G8" s="192" t="n"/>
      <c r="H8" s="11" t="n"/>
      <c r="I8" s="11" t="n"/>
      <c r="J8" s="10" t="n"/>
      <c r="K8" s="10" t="n"/>
      <c r="L8" s="7" t="n"/>
      <c r="M8" s="7" t="n"/>
      <c r="N8" s="12" t="n"/>
    </row>
    <row r="9" ht="15.75" customHeight="1">
      <c r="A9" s="19" t="n">
        <v>3</v>
      </c>
      <c r="B9" s="20" t="inlineStr">
        <is>
          <t>Day</t>
        </is>
      </c>
      <c r="C9" s="21">
        <f>C7+1</f>
        <v/>
      </c>
      <c r="D9" s="22" t="n"/>
      <c r="E9" s="23" t="n"/>
      <c r="F9" s="24" t="n"/>
      <c r="G9" s="191">
        <f>F9+F10</f>
        <v/>
      </c>
      <c r="H9" s="13" t="n"/>
      <c r="I9" s="13" t="n"/>
      <c r="J9" s="10" t="n"/>
      <c r="K9" s="10" t="n"/>
      <c r="L9" s="10" t="n"/>
      <c r="M9" s="10" t="n"/>
      <c r="N9" s="12" t="n"/>
    </row>
    <row r="10" ht="15.75" customHeight="1">
      <c r="A10" s="19" t="n">
        <v>4</v>
      </c>
      <c r="B10" s="20" t="inlineStr">
        <is>
          <t>Night</t>
        </is>
      </c>
      <c r="C10" s="21">
        <f>C9</f>
        <v/>
      </c>
      <c r="D10" s="22" t="n"/>
      <c r="E10" s="23" t="n"/>
      <c r="F10" s="24" t="n"/>
      <c r="G10" s="192" t="n"/>
      <c r="H10" s="13" t="n"/>
      <c r="I10" s="13" t="n"/>
      <c r="J10" s="10" t="n"/>
      <c r="K10" s="10" t="n"/>
      <c r="L10" s="10" t="n"/>
      <c r="M10" s="10" t="n"/>
      <c r="N10" s="12" t="n"/>
    </row>
    <row r="11" ht="15.75" customHeight="1">
      <c r="A11" s="19" t="n">
        <v>5</v>
      </c>
      <c r="B11" s="20" t="inlineStr">
        <is>
          <t>Day</t>
        </is>
      </c>
      <c r="C11" s="21">
        <f>C9+1</f>
        <v/>
      </c>
      <c r="D11" s="22" t="n"/>
      <c r="E11" s="23" t="n"/>
      <c r="F11" s="24" t="n"/>
      <c r="G11" s="191">
        <f>F11+F12</f>
        <v/>
      </c>
      <c r="H11" s="13" t="n"/>
      <c r="I11" s="13" t="n"/>
      <c r="J11" s="14" t="n"/>
      <c r="K11" s="10" t="n"/>
      <c r="L11" s="10" t="n"/>
      <c r="M11" s="10" t="n"/>
      <c r="N11" s="15" t="n"/>
    </row>
    <row r="12" ht="15.75" customHeight="1">
      <c r="A12" s="19" t="n">
        <v>6</v>
      </c>
      <c r="B12" s="20" t="inlineStr">
        <is>
          <t>Night</t>
        </is>
      </c>
      <c r="C12" s="21">
        <f>C11</f>
        <v/>
      </c>
      <c r="D12" s="22" t="n"/>
      <c r="E12" s="23" t="n"/>
      <c r="F12" s="24" t="n"/>
      <c r="G12" s="192" t="n"/>
      <c r="H12" s="13" t="n"/>
      <c r="I12" s="13" t="n"/>
      <c r="J12" s="10" t="n"/>
      <c r="K12" s="10" t="n"/>
      <c r="L12" s="10" t="n"/>
      <c r="M12" s="10" t="n"/>
      <c r="N12" s="15" t="n"/>
    </row>
    <row r="13" ht="15.75" customHeight="1">
      <c r="A13" s="19" t="n">
        <v>7</v>
      </c>
      <c r="B13" s="20" t="inlineStr">
        <is>
          <t>Day</t>
        </is>
      </c>
      <c r="C13" s="21">
        <f>C11+1</f>
        <v/>
      </c>
      <c r="D13" s="22" t="n"/>
      <c r="E13" s="23" t="n"/>
      <c r="F13" s="24" t="n"/>
      <c r="G13" s="191">
        <f>F13+F14</f>
        <v/>
      </c>
      <c r="H13" s="13" t="n"/>
      <c r="I13" s="13" t="n"/>
      <c r="J13" s="10" t="n"/>
      <c r="K13" s="10" t="n"/>
      <c r="L13" s="10" t="n"/>
      <c r="M13" s="10" t="n"/>
      <c r="N13" s="15" t="n"/>
    </row>
    <row r="14" ht="15.75" customHeight="1">
      <c r="A14" s="19" t="n">
        <v>8</v>
      </c>
      <c r="B14" s="20" t="inlineStr">
        <is>
          <t>Night</t>
        </is>
      </c>
      <c r="C14" s="21">
        <f>C13</f>
        <v/>
      </c>
      <c r="D14" s="22" t="n"/>
      <c r="E14" s="23" t="n"/>
      <c r="F14" s="24" t="n"/>
      <c r="G14" s="192" t="n"/>
      <c r="H14" s="13" t="n"/>
      <c r="I14" s="13" t="n"/>
      <c r="J14" s="10" t="n"/>
      <c r="K14" s="10" t="n"/>
      <c r="L14" s="10" t="n"/>
      <c r="M14" s="10" t="n"/>
      <c r="N14" s="15" t="n"/>
    </row>
    <row r="15" ht="15.75" customHeight="1">
      <c r="A15" s="19" t="n">
        <v>9</v>
      </c>
      <c r="B15" s="20" t="inlineStr">
        <is>
          <t>Day</t>
        </is>
      </c>
      <c r="C15" s="21">
        <f>C13+1</f>
        <v/>
      </c>
      <c r="D15" s="22" t="n"/>
      <c r="E15" s="23" t="n"/>
      <c r="F15" s="24" t="n"/>
      <c r="G15" s="191">
        <f>F15+F16</f>
        <v/>
      </c>
      <c r="H15" s="13" t="n"/>
      <c r="I15" s="13" t="n"/>
      <c r="J15" s="10" t="n"/>
      <c r="K15" s="10" t="n"/>
      <c r="L15" s="10" t="n"/>
      <c r="M15" s="10" t="n"/>
      <c r="N15" s="15" t="n"/>
    </row>
    <row r="16" ht="15.75" customHeight="1">
      <c r="A16" s="19" t="n">
        <v>10</v>
      </c>
      <c r="B16" s="20" t="inlineStr">
        <is>
          <t>Night</t>
        </is>
      </c>
      <c r="C16" s="21">
        <f>C15</f>
        <v/>
      </c>
      <c r="D16" s="22" t="n"/>
      <c r="E16" s="23" t="n"/>
      <c r="F16" s="24" t="n"/>
      <c r="G16" s="192" t="n"/>
      <c r="H16" s="13" t="n"/>
      <c r="I16" s="13" t="n"/>
      <c r="J16" s="10" t="n"/>
      <c r="K16" s="10" t="n"/>
      <c r="L16" s="10" t="n"/>
      <c r="M16" s="10" t="n"/>
      <c r="N16" s="15" t="n"/>
    </row>
    <row r="17" ht="15.75" customHeight="1">
      <c r="A17" s="19" t="n">
        <v>11</v>
      </c>
      <c r="B17" s="20" t="inlineStr">
        <is>
          <t>Day</t>
        </is>
      </c>
      <c r="C17" s="21">
        <f>C15+1</f>
        <v/>
      </c>
      <c r="D17" s="22" t="n"/>
      <c r="E17" s="23" t="n"/>
      <c r="F17" s="24" t="n"/>
      <c r="G17" s="191">
        <f>F17+F18</f>
        <v/>
      </c>
      <c r="H17" s="13" t="n"/>
      <c r="I17" s="13" t="n"/>
      <c r="J17" s="10" t="n"/>
      <c r="K17" s="10" t="n"/>
      <c r="L17" s="10" t="n"/>
      <c r="M17" s="10" t="n"/>
      <c r="N17" s="15" t="n"/>
    </row>
    <row r="18" ht="15.75" customHeight="1">
      <c r="A18" s="19" t="n">
        <v>12</v>
      </c>
      <c r="B18" s="20" t="inlineStr">
        <is>
          <t>Night</t>
        </is>
      </c>
      <c r="C18" s="21">
        <f>C17</f>
        <v/>
      </c>
      <c r="D18" s="22" t="n"/>
      <c r="E18" s="23" t="n"/>
      <c r="F18" s="24" t="n"/>
      <c r="G18" s="192" t="n"/>
      <c r="H18" s="13" t="n"/>
      <c r="I18" s="13" t="n"/>
      <c r="J18" s="10" t="n"/>
      <c r="K18" s="10" t="n"/>
      <c r="L18" s="10" t="n"/>
      <c r="M18" s="10" t="n"/>
      <c r="N18" s="15" t="n"/>
    </row>
    <row r="19" ht="15.75" customHeight="1">
      <c r="A19" s="19" t="n">
        <v>13</v>
      </c>
      <c r="B19" s="20" t="inlineStr">
        <is>
          <t>Day</t>
        </is>
      </c>
      <c r="C19" s="21">
        <f>C17+1</f>
        <v/>
      </c>
      <c r="D19" s="22" t="n"/>
      <c r="E19" s="25" t="n"/>
      <c r="F19" s="24" t="n"/>
      <c r="G19" s="191">
        <f>F19+F20</f>
        <v/>
      </c>
      <c r="H19" s="13" t="n"/>
      <c r="I19" s="13" t="n"/>
      <c r="J19" s="10" t="n"/>
      <c r="K19" s="10" t="n"/>
      <c r="L19" s="10" t="n"/>
      <c r="M19" s="10" t="n"/>
      <c r="N19" s="15" t="n"/>
    </row>
    <row r="20" ht="15.75" customHeight="1">
      <c r="A20" s="19" t="n">
        <v>14</v>
      </c>
      <c r="B20" s="20" t="inlineStr">
        <is>
          <t>Night</t>
        </is>
      </c>
      <c r="C20" s="21">
        <f>C19</f>
        <v/>
      </c>
      <c r="D20" s="22" t="n"/>
      <c r="E20" s="25" t="n"/>
      <c r="F20" s="24" t="n"/>
      <c r="G20" s="192" t="n"/>
      <c r="H20" s="13" t="n"/>
      <c r="I20" s="13" t="n"/>
      <c r="J20" s="10" t="n"/>
      <c r="K20" s="10" t="n"/>
      <c r="L20" s="10" t="n"/>
      <c r="M20" s="10" t="n"/>
      <c r="N20" s="15" t="n"/>
    </row>
    <row r="21" ht="15.75" customHeight="1">
      <c r="A21" s="19" t="n">
        <v>15</v>
      </c>
      <c r="B21" s="20" t="inlineStr">
        <is>
          <t>Day</t>
        </is>
      </c>
      <c r="C21" s="21">
        <f>C19+1</f>
        <v/>
      </c>
      <c r="D21" s="22" t="n"/>
      <c r="E21" s="25" t="n"/>
      <c r="F21" s="24" t="n"/>
      <c r="G21" s="191">
        <f>F21+F22</f>
        <v/>
      </c>
      <c r="H21" s="13" t="n"/>
      <c r="I21" s="13" t="n"/>
      <c r="J21" s="10" t="n"/>
      <c r="K21" s="10" t="n"/>
      <c r="L21" s="10" t="n"/>
      <c r="M21" s="10" t="n"/>
      <c r="N21" s="15" t="n"/>
    </row>
    <row r="22" ht="15.75" customHeight="1">
      <c r="A22" s="19" t="n">
        <v>16</v>
      </c>
      <c r="B22" s="20" t="inlineStr">
        <is>
          <t>Night</t>
        </is>
      </c>
      <c r="C22" s="21">
        <f>C21</f>
        <v/>
      </c>
      <c r="D22" s="22" t="n"/>
      <c r="E22" s="25" t="n"/>
      <c r="F22" s="24" t="n"/>
      <c r="G22" s="192" t="n"/>
      <c r="H22" s="13" t="n"/>
      <c r="I22" s="13" t="n"/>
      <c r="J22" s="10" t="n"/>
      <c r="K22" s="10" t="n"/>
      <c r="L22" s="10" t="n"/>
      <c r="M22" s="10" t="n"/>
      <c r="N22" s="15" t="n"/>
    </row>
    <row r="23" ht="15.75" customHeight="1">
      <c r="A23" s="19" t="n">
        <v>17</v>
      </c>
      <c r="B23" s="20" t="inlineStr">
        <is>
          <t>Day</t>
        </is>
      </c>
      <c r="C23" s="21">
        <f>C21+1</f>
        <v/>
      </c>
      <c r="D23" s="22" t="n"/>
      <c r="E23" s="25" t="n"/>
      <c r="F23" s="24" t="n"/>
      <c r="G23" s="191">
        <f>F23+F24</f>
        <v/>
      </c>
      <c r="H23" s="13" t="n"/>
      <c r="I23" s="13" t="n"/>
      <c r="J23" s="10" t="n"/>
      <c r="K23" s="10" t="n"/>
      <c r="L23" s="10" t="n"/>
      <c r="M23" s="10" t="n"/>
      <c r="N23" s="15" t="n"/>
    </row>
    <row r="24" ht="15.75" customHeight="1">
      <c r="A24" s="19" t="n">
        <v>18</v>
      </c>
      <c r="B24" s="20" t="inlineStr">
        <is>
          <t>Night</t>
        </is>
      </c>
      <c r="C24" s="21">
        <f>C23</f>
        <v/>
      </c>
      <c r="D24" s="22" t="n"/>
      <c r="E24" s="25" t="n"/>
      <c r="F24" s="24" t="n"/>
      <c r="G24" s="192" t="n"/>
      <c r="H24" s="13" t="n"/>
      <c r="I24" s="13" t="n"/>
      <c r="J24" s="10" t="n"/>
      <c r="K24" s="10" t="n"/>
      <c r="L24" s="10" t="n"/>
      <c r="M24" s="10" t="n"/>
      <c r="N24" s="15" t="n"/>
    </row>
    <row r="25" ht="15.75" customHeight="1">
      <c r="A25" s="19" t="n">
        <v>19</v>
      </c>
      <c r="B25" s="20" t="inlineStr">
        <is>
          <t>Day</t>
        </is>
      </c>
      <c r="C25" s="21">
        <f>C23+1</f>
        <v/>
      </c>
      <c r="D25" s="22" t="n"/>
      <c r="E25" s="25" t="n"/>
      <c r="F25" s="24" t="n"/>
      <c r="G25" s="191">
        <f>F25+F26</f>
        <v/>
      </c>
      <c r="H25" s="13" t="n"/>
      <c r="I25" s="13" t="n"/>
      <c r="J25" s="10" t="n"/>
      <c r="K25" s="10" t="n"/>
      <c r="L25" s="10" t="n"/>
      <c r="M25" s="10" t="n"/>
      <c r="N25" s="15" t="n"/>
    </row>
    <row r="26" ht="15.75" customHeight="1">
      <c r="A26" s="19" t="n">
        <v>20</v>
      </c>
      <c r="B26" s="20" t="inlineStr">
        <is>
          <t>Night</t>
        </is>
      </c>
      <c r="C26" s="21">
        <f>C25</f>
        <v/>
      </c>
      <c r="D26" s="22" t="n"/>
      <c r="E26" s="25" t="n"/>
      <c r="F26" s="24" t="n"/>
      <c r="G26" s="192" t="n"/>
      <c r="H26" s="13" t="n"/>
      <c r="I26" s="13" t="n"/>
      <c r="J26" s="10" t="n"/>
      <c r="K26" s="10" t="n"/>
      <c r="L26" s="10" t="n"/>
      <c r="M26" s="10" t="n"/>
      <c r="N26" s="15" t="n"/>
    </row>
    <row r="27" ht="15.75" customHeight="1">
      <c r="A27" s="19" t="n">
        <v>21</v>
      </c>
      <c r="B27" s="20" t="inlineStr">
        <is>
          <t>Day</t>
        </is>
      </c>
      <c r="C27" s="21">
        <f>C25+1</f>
        <v/>
      </c>
      <c r="D27" s="22" t="n"/>
      <c r="E27" s="25" t="n"/>
      <c r="F27" s="24" t="n"/>
      <c r="G27" s="191">
        <f>F27+F28</f>
        <v/>
      </c>
      <c r="H27" s="13" t="n"/>
      <c r="I27" s="13" t="n"/>
      <c r="J27" s="10" t="n"/>
      <c r="K27" s="10" t="n"/>
      <c r="L27" s="10" t="n"/>
      <c r="M27" s="10" t="n"/>
      <c r="N27" s="15" t="n"/>
    </row>
    <row r="28" ht="15.75" customHeight="1">
      <c r="A28" s="19" t="n">
        <v>22</v>
      </c>
      <c r="B28" s="20" t="inlineStr">
        <is>
          <t>Night</t>
        </is>
      </c>
      <c r="C28" s="21">
        <f>C27</f>
        <v/>
      </c>
      <c r="D28" s="22" t="n"/>
      <c r="E28" s="25" t="n"/>
      <c r="F28" s="24" t="n"/>
      <c r="G28" s="192" t="n"/>
      <c r="H28" s="13" t="n"/>
      <c r="I28" s="13" t="n"/>
      <c r="J28" s="10" t="n"/>
      <c r="K28" s="10" t="n"/>
      <c r="L28" s="10" t="n"/>
      <c r="M28" s="10" t="n"/>
      <c r="N28" s="15" t="n"/>
    </row>
    <row r="29" ht="15.75" customHeight="1">
      <c r="A29" s="19" t="n">
        <v>23</v>
      </c>
      <c r="B29" s="20" t="inlineStr">
        <is>
          <t>Day</t>
        </is>
      </c>
      <c r="C29" s="21">
        <f>C27+1</f>
        <v/>
      </c>
      <c r="D29" s="22" t="n"/>
      <c r="E29" s="25" t="n"/>
      <c r="F29" s="24" t="n"/>
      <c r="G29" s="191">
        <f>F29+F30</f>
        <v/>
      </c>
      <c r="H29" s="13" t="n"/>
      <c r="I29" s="13" t="n"/>
      <c r="J29" s="10" t="n"/>
      <c r="K29" s="10" t="n"/>
      <c r="L29" s="10" t="n"/>
      <c r="M29" s="10" t="n"/>
      <c r="N29" s="15" t="n"/>
    </row>
    <row r="30" ht="15.75" customHeight="1">
      <c r="A30" s="19" t="n">
        <v>24</v>
      </c>
      <c r="B30" s="20" t="inlineStr">
        <is>
          <t>Night</t>
        </is>
      </c>
      <c r="C30" s="21">
        <f>C29</f>
        <v/>
      </c>
      <c r="D30" s="22" t="n"/>
      <c r="E30" s="25" t="n"/>
      <c r="F30" s="24" t="n"/>
      <c r="G30" s="192" t="n"/>
      <c r="H30" s="13" t="n"/>
      <c r="I30" s="13" t="n"/>
      <c r="J30" s="10" t="n"/>
      <c r="K30" s="10" t="n"/>
      <c r="L30" s="10" t="n"/>
      <c r="M30" s="10" t="n"/>
      <c r="N30" s="15" t="n"/>
    </row>
    <row r="31" ht="15.75" customHeight="1">
      <c r="A31" s="19" t="n">
        <v>25</v>
      </c>
      <c r="B31" s="20" t="inlineStr">
        <is>
          <t>Day</t>
        </is>
      </c>
      <c r="C31" s="21">
        <f>C29+1</f>
        <v/>
      </c>
      <c r="D31" s="22" t="n"/>
      <c r="E31" s="25" t="n"/>
      <c r="F31" s="24" t="n"/>
      <c r="G31" s="191">
        <f>F31+F32</f>
        <v/>
      </c>
      <c r="H31" s="13" t="n"/>
      <c r="I31" s="13" t="n"/>
      <c r="J31" s="10" t="n"/>
      <c r="K31" s="10" t="n"/>
      <c r="L31" s="10" t="n"/>
      <c r="M31" s="10" t="n"/>
      <c r="N31" s="15" t="n"/>
    </row>
    <row r="32" ht="15.75" customHeight="1">
      <c r="A32" s="19" t="n">
        <v>26</v>
      </c>
      <c r="B32" s="20" t="inlineStr">
        <is>
          <t>Night</t>
        </is>
      </c>
      <c r="C32" s="21">
        <f>C31</f>
        <v/>
      </c>
      <c r="D32" s="22" t="n"/>
      <c r="E32" s="25" t="n"/>
      <c r="F32" s="24" t="n"/>
      <c r="G32" s="192" t="n"/>
      <c r="H32" s="13" t="n"/>
      <c r="I32" s="13" t="n"/>
      <c r="J32" s="10" t="n"/>
      <c r="K32" s="10" t="n"/>
      <c r="L32" s="10" t="n"/>
      <c r="M32" s="10" t="n"/>
      <c r="N32" s="15" t="n"/>
    </row>
    <row r="33" ht="15.75" customHeight="1">
      <c r="A33" s="19" t="n">
        <v>27</v>
      </c>
      <c r="B33" s="20" t="inlineStr">
        <is>
          <t>Day</t>
        </is>
      </c>
      <c r="C33" s="21">
        <f>C31+1</f>
        <v/>
      </c>
      <c r="D33" s="22" t="n"/>
      <c r="E33" s="25" t="n"/>
      <c r="F33" s="24" t="n"/>
      <c r="G33" s="191">
        <f>F33+F34</f>
        <v/>
      </c>
      <c r="H33" s="13" t="n"/>
      <c r="I33" s="13" t="n"/>
      <c r="J33" s="10" t="n"/>
      <c r="K33" s="10" t="n"/>
      <c r="L33" s="10" t="n"/>
      <c r="M33" s="10" t="n"/>
      <c r="N33" s="15" t="n"/>
    </row>
    <row r="34" ht="15.75" customHeight="1">
      <c r="A34" s="19" t="n">
        <v>28</v>
      </c>
      <c r="B34" s="20" t="inlineStr">
        <is>
          <t>Night</t>
        </is>
      </c>
      <c r="C34" s="21">
        <f>C33</f>
        <v/>
      </c>
      <c r="D34" s="22" t="n"/>
      <c r="E34" s="25" t="n"/>
      <c r="F34" s="24" t="n"/>
      <c r="G34" s="192" t="n"/>
      <c r="H34" s="13" t="n"/>
      <c r="I34" s="13" t="n"/>
      <c r="J34" s="10" t="n"/>
      <c r="K34" s="10" t="n"/>
      <c r="L34" s="10" t="n"/>
      <c r="M34" s="10" t="n"/>
      <c r="N34" s="15" t="n"/>
    </row>
    <row r="35" ht="15.75" customHeight="1">
      <c r="A35" s="19" t="n">
        <v>29</v>
      </c>
      <c r="B35" s="20" t="inlineStr">
        <is>
          <t>Day</t>
        </is>
      </c>
      <c r="C35" s="21">
        <f>C33+1</f>
        <v/>
      </c>
      <c r="D35" s="22" t="n"/>
      <c r="E35" s="22" t="n"/>
      <c r="F35" s="24" t="n"/>
      <c r="G35" s="191">
        <f>F35+F36</f>
        <v/>
      </c>
      <c r="H35" s="13" t="n"/>
      <c r="I35" s="13" t="n"/>
      <c r="J35" s="10" t="n"/>
      <c r="K35" s="10" t="n"/>
      <c r="L35" s="10" t="n"/>
      <c r="M35" s="10" t="n"/>
      <c r="N35" s="15" t="n"/>
    </row>
    <row r="36" ht="15.75" customHeight="1">
      <c r="A36" s="19" t="n">
        <v>30</v>
      </c>
      <c r="B36" s="20" t="inlineStr">
        <is>
          <t>Night</t>
        </is>
      </c>
      <c r="C36" s="21">
        <f>C35</f>
        <v/>
      </c>
      <c r="D36" s="22" t="n"/>
      <c r="E36" s="22" t="n"/>
      <c r="F36" s="24" t="n"/>
      <c r="G36" s="192" t="n"/>
      <c r="H36" s="13" t="n"/>
      <c r="I36" s="13" t="n"/>
      <c r="J36" s="10" t="n"/>
      <c r="K36" s="10" t="n"/>
      <c r="L36" s="10" t="n"/>
      <c r="M36" s="10" t="n"/>
      <c r="N36" s="15" t="n"/>
    </row>
    <row r="37" ht="15.75" customHeight="1">
      <c r="A37" s="19" t="n">
        <v>31</v>
      </c>
      <c r="B37" s="20" t="inlineStr">
        <is>
          <t>Day</t>
        </is>
      </c>
      <c r="C37" s="21">
        <f>C35+1</f>
        <v/>
      </c>
      <c r="D37" s="22" t="n"/>
      <c r="E37" s="22" t="n"/>
      <c r="F37" s="24" t="n"/>
      <c r="G37" s="191">
        <f>F37+F38</f>
        <v/>
      </c>
      <c r="H37" s="13" t="n"/>
      <c r="I37" s="13" t="n"/>
      <c r="J37" s="10" t="n"/>
      <c r="K37" s="10" t="n"/>
      <c r="L37" s="10" t="n"/>
      <c r="M37" s="10" t="n"/>
      <c r="N37" s="15" t="n"/>
    </row>
    <row r="38" ht="15.75" customHeight="1">
      <c r="A38" s="19" t="n">
        <v>32</v>
      </c>
      <c r="B38" s="20" t="inlineStr">
        <is>
          <t>Night</t>
        </is>
      </c>
      <c r="C38" s="21">
        <f>C37</f>
        <v/>
      </c>
      <c r="D38" s="22" t="n"/>
      <c r="E38" s="22" t="n"/>
      <c r="F38" s="24" t="n"/>
      <c r="G38" s="192" t="n"/>
      <c r="H38" s="16" t="n"/>
      <c r="I38" s="16" t="n"/>
      <c r="J38" s="7" t="n"/>
      <c r="K38" s="7" t="n"/>
      <c r="L38" s="7" t="n"/>
      <c r="M38" s="7" t="n"/>
      <c r="N38" s="12" t="n"/>
    </row>
    <row r="39" ht="15.75" customHeight="1">
      <c r="A39" s="19" t="n">
        <v>33</v>
      </c>
      <c r="B39" s="20" t="inlineStr">
        <is>
          <t>Day</t>
        </is>
      </c>
      <c r="C39" s="21">
        <f>C37+1</f>
        <v/>
      </c>
      <c r="D39" s="22" t="n"/>
      <c r="E39" s="22" t="n"/>
      <c r="F39" s="24" t="n"/>
      <c r="G39" s="191">
        <f>F39+F40</f>
        <v/>
      </c>
      <c r="H39" s="16" t="n"/>
      <c r="I39" s="16" t="n"/>
      <c r="J39" s="7" t="n"/>
      <c r="K39" s="7" t="n"/>
      <c r="L39" s="7" t="n"/>
      <c r="M39" s="7" t="n"/>
      <c r="N39" s="12" t="n"/>
    </row>
    <row r="40" ht="15.75" customHeight="1">
      <c r="A40" s="19" t="n">
        <v>34</v>
      </c>
      <c r="B40" s="20" t="inlineStr">
        <is>
          <t>Night</t>
        </is>
      </c>
      <c r="C40" s="21">
        <f>C39</f>
        <v/>
      </c>
      <c r="D40" s="22" t="n"/>
      <c r="E40" s="22" t="n"/>
      <c r="F40" s="24" t="n"/>
      <c r="G40" s="192" t="n"/>
      <c r="H40" s="16" t="n"/>
      <c r="I40" s="16" t="n"/>
      <c r="J40" s="7" t="n"/>
      <c r="K40" s="7" t="n"/>
      <c r="L40" s="7" t="n"/>
      <c r="M40" s="7" t="n"/>
      <c r="N40" s="12" t="n"/>
    </row>
    <row r="41" ht="15.75" customHeight="1">
      <c r="A41" s="19" t="n">
        <v>35</v>
      </c>
      <c r="B41" s="20" t="inlineStr">
        <is>
          <t>Day</t>
        </is>
      </c>
      <c r="C41" s="21">
        <f>C39+1</f>
        <v/>
      </c>
      <c r="D41" s="22" t="n"/>
      <c r="E41" s="22" t="n"/>
      <c r="F41" s="24" t="n"/>
      <c r="G41" s="191">
        <f>F41+F42</f>
        <v/>
      </c>
      <c r="H41" s="16" t="n"/>
      <c r="I41" s="16" t="n"/>
      <c r="J41" s="7" t="n"/>
      <c r="K41" s="7" t="n"/>
      <c r="L41" s="7" t="n"/>
      <c r="M41" s="7" t="n"/>
      <c r="N41" s="12" t="n"/>
    </row>
    <row r="42" ht="15.75" customHeight="1">
      <c r="A42" s="19" t="n">
        <v>36</v>
      </c>
      <c r="B42" s="20" t="inlineStr">
        <is>
          <t>Night</t>
        </is>
      </c>
      <c r="C42" s="21">
        <f>C41</f>
        <v/>
      </c>
      <c r="D42" s="22" t="n"/>
      <c r="E42" s="22" t="n"/>
      <c r="F42" s="24" t="n"/>
      <c r="G42" s="192" t="n"/>
      <c r="H42" s="16" t="n"/>
      <c r="I42" s="16" t="n"/>
      <c r="J42" s="7" t="n"/>
      <c r="K42" s="7" t="n"/>
      <c r="L42" s="7" t="n"/>
      <c r="M42" s="7" t="n"/>
      <c r="N42" s="12" t="n"/>
    </row>
    <row r="43" ht="15.75" customHeight="1">
      <c r="A43" s="19" t="n">
        <v>37</v>
      </c>
      <c r="B43" s="20" t="inlineStr">
        <is>
          <t>Day</t>
        </is>
      </c>
      <c r="C43" s="21">
        <f>C41+1</f>
        <v/>
      </c>
      <c r="D43" s="22" t="n"/>
      <c r="E43" s="22" t="n"/>
      <c r="F43" s="24" t="n"/>
      <c r="G43" s="191">
        <f>F43+F44</f>
        <v/>
      </c>
      <c r="H43" s="16" t="n"/>
      <c r="I43" s="16" t="n"/>
      <c r="J43" s="7" t="n"/>
      <c r="K43" s="7" t="n"/>
      <c r="L43" s="7" t="n"/>
      <c r="M43" s="7" t="n"/>
      <c r="N43" s="12" t="n"/>
    </row>
    <row r="44" ht="15.75" customHeight="1">
      <c r="A44" s="26" t="n">
        <v>38</v>
      </c>
      <c r="B44" s="27" t="inlineStr">
        <is>
          <t>Night</t>
        </is>
      </c>
      <c r="C44" s="21">
        <f>C43</f>
        <v/>
      </c>
      <c r="D44" s="22" t="n"/>
      <c r="E44" s="22" t="n"/>
      <c r="F44" s="24" t="n"/>
      <c r="G44" s="192" t="n"/>
      <c r="H44" s="16" t="n"/>
      <c r="I44" s="16" t="n"/>
      <c r="J44" s="7" t="n"/>
      <c r="K44" s="7" t="n"/>
      <c r="L44" s="7" t="n"/>
      <c r="M44" s="7" t="n"/>
      <c r="N44" s="12" t="n"/>
    </row>
    <row r="45" ht="15.75" customHeight="1">
      <c r="A45" s="28" t="n">
        <v>39</v>
      </c>
      <c r="B45" s="29" t="inlineStr">
        <is>
          <t>Day</t>
        </is>
      </c>
      <c r="C45" s="21">
        <f>C43+1</f>
        <v/>
      </c>
      <c r="D45" s="22" t="n"/>
      <c r="E45" s="22" t="n"/>
      <c r="F45" s="24" t="n"/>
      <c r="G45" s="191">
        <f>F45+F46</f>
        <v/>
      </c>
      <c r="H45" s="16" t="n"/>
      <c r="I45" s="16" t="n"/>
      <c r="J45" s="7" t="n"/>
      <c r="K45" s="7" t="n"/>
      <c r="L45" s="7" t="n"/>
      <c r="M45" s="7" t="n"/>
      <c r="N45" s="12" t="n"/>
    </row>
    <row r="46" ht="15.75" customHeight="1">
      <c r="A46" s="28" t="n">
        <v>40</v>
      </c>
      <c r="B46" s="29" t="inlineStr">
        <is>
          <t>Night</t>
        </is>
      </c>
      <c r="C46" s="21">
        <f>C45</f>
        <v/>
      </c>
      <c r="D46" s="22" t="n"/>
      <c r="E46" s="22" t="n"/>
      <c r="F46" s="24" t="n"/>
      <c r="G46" s="192" t="n"/>
      <c r="H46" s="16" t="n"/>
      <c r="I46" s="16" t="n"/>
      <c r="J46" s="7" t="n"/>
      <c r="K46" s="7" t="n"/>
      <c r="L46" s="7" t="n"/>
      <c r="M46" s="7" t="n"/>
      <c r="N46" s="12" t="n"/>
    </row>
    <row r="47" ht="15.75" customHeight="1">
      <c r="A47" s="30" t="n">
        <v>41</v>
      </c>
      <c r="B47" s="20" t="inlineStr">
        <is>
          <t>Day</t>
        </is>
      </c>
      <c r="C47" s="21">
        <f>C45+1</f>
        <v/>
      </c>
      <c r="D47" s="22" t="n"/>
      <c r="E47" s="22" t="n"/>
      <c r="F47" s="24" t="n"/>
      <c r="G47" s="191">
        <f>F47+F48</f>
        <v/>
      </c>
      <c r="H47" s="16" t="n"/>
      <c r="I47" s="16" t="n"/>
      <c r="J47" s="7" t="n"/>
      <c r="K47" s="7" t="n"/>
      <c r="L47" s="7" t="n"/>
      <c r="M47" s="7" t="n"/>
      <c r="N47" s="12" t="n"/>
    </row>
    <row r="48" ht="15.75" customHeight="1">
      <c r="A48" s="28" t="n">
        <v>42</v>
      </c>
      <c r="B48" s="20" t="inlineStr">
        <is>
          <t>Night</t>
        </is>
      </c>
      <c r="C48" s="21">
        <f>C47</f>
        <v/>
      </c>
      <c r="D48" s="22" t="n"/>
      <c r="E48" s="22" t="n"/>
      <c r="F48" s="24" t="n"/>
      <c r="G48" s="192" t="n"/>
      <c r="H48" s="16" t="n"/>
      <c r="I48" s="16" t="n"/>
      <c r="J48" s="7" t="n"/>
      <c r="K48" s="7" t="n"/>
      <c r="L48" s="7" t="n"/>
      <c r="M48" s="7" t="n"/>
      <c r="N48" s="12" t="n"/>
    </row>
    <row r="49" ht="15.75" customHeight="1">
      <c r="A49" s="28" t="n">
        <v>43</v>
      </c>
      <c r="B49" s="20" t="inlineStr">
        <is>
          <t>Day</t>
        </is>
      </c>
      <c r="C49" s="21">
        <f>C47+1</f>
        <v/>
      </c>
      <c r="D49" s="22" t="n"/>
      <c r="E49" s="22" t="n"/>
      <c r="F49" s="24" t="n"/>
      <c r="G49" s="191">
        <f>F49+F50</f>
        <v/>
      </c>
      <c r="H49" s="16" t="n"/>
      <c r="I49" s="16" t="n"/>
      <c r="J49" s="7" t="n"/>
      <c r="K49" s="7" t="n"/>
      <c r="L49" s="7" t="n"/>
      <c r="M49" s="7" t="n"/>
      <c r="N49" s="12" t="n"/>
    </row>
    <row r="50" ht="15.75" customHeight="1">
      <c r="A50" s="28" t="n">
        <v>44</v>
      </c>
      <c r="B50" s="20" t="inlineStr">
        <is>
          <t>Night</t>
        </is>
      </c>
      <c r="C50" s="21">
        <f>C49</f>
        <v/>
      </c>
      <c r="D50" s="22" t="n"/>
      <c r="E50" s="22" t="n"/>
      <c r="F50" s="24" t="n"/>
      <c r="G50" s="192" t="n"/>
      <c r="H50" s="16" t="n"/>
      <c r="I50" s="16" t="n"/>
      <c r="J50" s="7" t="n"/>
      <c r="K50" s="7" t="n"/>
      <c r="L50" s="7" t="n"/>
      <c r="M50" s="7" t="n"/>
      <c r="N50" s="12" t="n"/>
    </row>
    <row r="51" ht="15.75" customHeight="1">
      <c r="A51" s="28" t="n">
        <v>45</v>
      </c>
      <c r="B51" s="20" t="inlineStr">
        <is>
          <t>Day</t>
        </is>
      </c>
      <c r="C51" s="21">
        <f>C49+1</f>
        <v/>
      </c>
      <c r="D51" s="22" t="n"/>
      <c r="E51" s="22" t="n"/>
      <c r="F51" s="24" t="n"/>
      <c r="G51" s="191">
        <f>F51+F52</f>
        <v/>
      </c>
      <c r="H51" s="16" t="n"/>
      <c r="I51" s="16" t="n"/>
      <c r="J51" s="7" t="n"/>
      <c r="K51" s="7" t="n"/>
      <c r="L51" s="7" t="n"/>
      <c r="M51" s="7" t="n"/>
      <c r="N51" s="12" t="n"/>
    </row>
    <row r="52" ht="15.75" customHeight="1">
      <c r="A52" s="28" t="n">
        <v>46</v>
      </c>
      <c r="B52" s="20" t="inlineStr">
        <is>
          <t>Night</t>
        </is>
      </c>
      <c r="C52" s="21">
        <f>C51</f>
        <v/>
      </c>
      <c r="D52" s="22" t="n"/>
      <c r="E52" s="22" t="n"/>
      <c r="F52" s="24" t="n"/>
      <c r="G52" s="192" t="n"/>
      <c r="H52" s="16" t="n"/>
      <c r="I52" s="16" t="n"/>
      <c r="J52" s="7" t="n"/>
      <c r="K52" s="7" t="n"/>
      <c r="L52" s="7" t="n"/>
      <c r="M52" s="7" t="n"/>
      <c r="N52" s="12" t="n"/>
    </row>
    <row r="53" ht="15.75" customHeight="1">
      <c r="A53" s="28" t="n">
        <v>47</v>
      </c>
      <c r="B53" s="20" t="inlineStr">
        <is>
          <t>Day</t>
        </is>
      </c>
      <c r="C53" s="21">
        <f>C51+1</f>
        <v/>
      </c>
      <c r="D53" s="22" t="n"/>
      <c r="E53" s="22" t="n"/>
      <c r="F53" s="24" t="n"/>
      <c r="G53" s="191">
        <f>F53+F54</f>
        <v/>
      </c>
      <c r="H53" s="16" t="n"/>
      <c r="I53" s="16" t="n"/>
      <c r="J53" s="7" t="n"/>
      <c r="K53" s="7" t="n"/>
      <c r="L53" s="7" t="n"/>
      <c r="M53" s="7" t="n"/>
      <c r="N53" s="12" t="n"/>
    </row>
    <row r="54" ht="15.75" customHeight="1">
      <c r="A54" s="28" t="n">
        <v>48</v>
      </c>
      <c r="B54" s="20" t="inlineStr">
        <is>
          <t>Night</t>
        </is>
      </c>
      <c r="C54" s="21">
        <f>C53</f>
        <v/>
      </c>
      <c r="D54" s="22" t="n"/>
      <c r="E54" s="22" t="n"/>
      <c r="F54" s="24" t="n"/>
      <c r="G54" s="192" t="n"/>
      <c r="H54" s="16" t="n"/>
      <c r="I54" s="16" t="n"/>
      <c r="J54" s="7" t="n"/>
      <c r="K54" s="7" t="n"/>
      <c r="L54" s="7" t="n"/>
      <c r="M54" s="7" t="n"/>
      <c r="N54" s="12" t="n"/>
    </row>
    <row r="55" ht="15.75" customHeight="1">
      <c r="A55" s="28" t="n">
        <v>49</v>
      </c>
      <c r="B55" s="20" t="inlineStr">
        <is>
          <t>Day</t>
        </is>
      </c>
      <c r="C55" s="21">
        <f>C53+1</f>
        <v/>
      </c>
      <c r="D55" s="22" t="n"/>
      <c r="E55" s="22" t="n"/>
      <c r="F55" s="24" t="n"/>
      <c r="G55" s="191">
        <f>F55+F56</f>
        <v/>
      </c>
      <c r="H55" s="16" t="n"/>
      <c r="I55" s="16" t="n"/>
      <c r="J55" s="7" t="n"/>
      <c r="K55" s="7" t="n"/>
      <c r="L55" s="7" t="n"/>
      <c r="M55" s="7" t="n"/>
      <c r="N55" s="12" t="n"/>
    </row>
    <row r="56" ht="15.75" customHeight="1">
      <c r="A56" s="28" t="n">
        <v>50</v>
      </c>
      <c r="B56" s="20" t="inlineStr">
        <is>
          <t>Night</t>
        </is>
      </c>
      <c r="C56" s="21">
        <f>C55</f>
        <v/>
      </c>
      <c r="D56" s="22" t="n"/>
      <c r="E56" s="22" t="n"/>
      <c r="F56" s="24" t="n"/>
      <c r="G56" s="192" t="n"/>
      <c r="H56" s="16" t="n"/>
      <c r="I56" s="16" t="n"/>
      <c r="J56" s="7" t="n"/>
      <c r="K56" s="7" t="n"/>
      <c r="L56" s="7" t="n"/>
      <c r="M56" s="7" t="n"/>
      <c r="N56" s="12" t="n"/>
    </row>
    <row r="57" ht="15.75" customHeight="1">
      <c r="A57" s="28" t="n">
        <v>51</v>
      </c>
      <c r="B57" s="20" t="inlineStr">
        <is>
          <t>Day</t>
        </is>
      </c>
      <c r="C57" s="21">
        <f>C55+1</f>
        <v/>
      </c>
      <c r="D57" s="22" t="n"/>
      <c r="E57" s="22" t="n"/>
      <c r="F57" s="24" t="n"/>
      <c r="G57" s="191">
        <f>F57+F58</f>
        <v/>
      </c>
      <c r="H57" s="16" t="n"/>
      <c r="I57" s="16" t="n"/>
      <c r="J57" s="7" t="n"/>
      <c r="K57" s="7" t="n"/>
      <c r="L57" s="7" t="n"/>
      <c r="M57" s="7" t="n"/>
      <c r="N57" s="12" t="n"/>
    </row>
    <row r="58" ht="15.75" customHeight="1">
      <c r="A58" s="28" t="n">
        <v>52</v>
      </c>
      <c r="B58" s="20" t="inlineStr">
        <is>
          <t>Night</t>
        </is>
      </c>
      <c r="C58" s="21">
        <f>C57</f>
        <v/>
      </c>
      <c r="D58" s="22" t="n"/>
      <c r="E58" s="22" t="n"/>
      <c r="F58" s="24" t="n"/>
      <c r="G58" s="192" t="n"/>
      <c r="H58" s="16" t="n"/>
      <c r="I58" s="16" t="n"/>
      <c r="J58" s="7" t="n"/>
      <c r="K58" s="7" t="n"/>
      <c r="L58" s="7" t="n"/>
      <c r="M58" s="7" t="n"/>
      <c r="N58" s="12" t="n"/>
    </row>
    <row r="59" ht="15.75" customHeight="1">
      <c r="A59" s="28" t="n">
        <v>53</v>
      </c>
      <c r="B59" s="20" t="inlineStr">
        <is>
          <t>Day</t>
        </is>
      </c>
      <c r="C59" s="21">
        <f>C57+1</f>
        <v/>
      </c>
      <c r="D59" s="22" t="n"/>
      <c r="E59" s="22" t="n"/>
      <c r="F59" s="24" t="n"/>
      <c r="G59" s="191">
        <f>F59+F60</f>
        <v/>
      </c>
      <c r="H59" s="16" t="n"/>
      <c r="I59" s="16" t="n"/>
      <c r="J59" s="7" t="n"/>
      <c r="K59" s="7" t="n"/>
      <c r="L59" s="7" t="n"/>
      <c r="M59" s="7" t="n"/>
      <c r="N59" s="12" t="n"/>
    </row>
    <row r="60" ht="15.75" customHeight="1">
      <c r="A60" s="28" t="n">
        <v>54</v>
      </c>
      <c r="B60" s="20" t="inlineStr">
        <is>
          <t>Night</t>
        </is>
      </c>
      <c r="C60" s="21">
        <f>C59</f>
        <v/>
      </c>
      <c r="D60" s="22" t="n"/>
      <c r="E60" s="22" t="n"/>
      <c r="F60" s="24" t="n"/>
      <c r="G60" s="192" t="n"/>
      <c r="H60" s="16" t="n"/>
      <c r="I60" s="16" t="n"/>
      <c r="J60" s="7" t="n"/>
      <c r="K60" s="7" t="n"/>
      <c r="L60" s="7" t="n"/>
      <c r="M60" s="7" t="n"/>
      <c r="N60" s="12" t="n"/>
    </row>
    <row r="61" ht="15.75" customHeight="1">
      <c r="A61" s="28" t="n">
        <v>55</v>
      </c>
      <c r="B61" s="20" t="inlineStr">
        <is>
          <t>Day</t>
        </is>
      </c>
      <c r="C61" s="21">
        <f>C59+1</f>
        <v/>
      </c>
      <c r="D61" s="22" t="n"/>
      <c r="E61" s="22" t="n"/>
      <c r="F61" s="24" t="n"/>
      <c r="G61" s="191">
        <f>F61+F62</f>
        <v/>
      </c>
      <c r="H61" s="16" t="n"/>
      <c r="I61" s="16" t="n"/>
      <c r="J61" s="7" t="n"/>
      <c r="K61" s="7" t="n"/>
      <c r="L61" s="7" t="n"/>
      <c r="M61" s="7" t="n"/>
      <c r="N61" s="12" t="n"/>
    </row>
    <row r="62" ht="15.75" customHeight="1">
      <c r="A62" s="28" t="n">
        <v>56</v>
      </c>
      <c r="B62" s="20" t="inlineStr">
        <is>
          <t>Night</t>
        </is>
      </c>
      <c r="C62" s="21">
        <f>C61</f>
        <v/>
      </c>
      <c r="D62" s="22" t="n"/>
      <c r="E62" s="22" t="n"/>
      <c r="F62" s="24" t="n"/>
      <c r="G62" s="192" t="n"/>
      <c r="H62" s="16" t="n"/>
      <c r="I62" s="16" t="n"/>
      <c r="J62" s="7" t="n"/>
      <c r="K62" s="7" t="n"/>
      <c r="L62" s="7" t="n"/>
      <c r="M62" s="7" t="n"/>
      <c r="N62" s="12" t="n"/>
    </row>
    <row r="63" ht="15.75" customHeight="1">
      <c r="A63" s="28" t="n">
        <v>57</v>
      </c>
      <c r="B63" s="20" t="inlineStr">
        <is>
          <t>Day</t>
        </is>
      </c>
      <c r="C63" s="21">
        <f>C61+1</f>
        <v/>
      </c>
      <c r="D63" s="22" t="n"/>
      <c r="E63" s="22" t="n"/>
      <c r="F63" s="24" t="n"/>
      <c r="G63" s="191">
        <f>F63+F64</f>
        <v/>
      </c>
      <c r="H63" s="16" t="n"/>
      <c r="I63" s="16" t="n"/>
      <c r="J63" s="7" t="n"/>
      <c r="K63" s="7" t="n"/>
      <c r="L63" s="7" t="n"/>
      <c r="M63" s="7" t="n"/>
      <c r="N63" s="12" t="n"/>
    </row>
    <row r="64" ht="15.75" customHeight="1">
      <c r="A64" s="28" t="n">
        <v>58</v>
      </c>
      <c r="B64" s="20" t="inlineStr">
        <is>
          <t>Night</t>
        </is>
      </c>
      <c r="C64" s="21">
        <f>C63</f>
        <v/>
      </c>
      <c r="D64" s="22" t="n"/>
      <c r="E64" s="22" t="n"/>
      <c r="F64" s="24" t="n"/>
      <c r="G64" s="192" t="n"/>
      <c r="H64" s="16" t="n"/>
      <c r="I64" s="16" t="n"/>
      <c r="J64" s="7" t="n"/>
      <c r="K64" s="7" t="n"/>
      <c r="L64" s="7" t="n"/>
      <c r="M64" s="7" t="n"/>
      <c r="N64" s="12" t="n"/>
    </row>
    <row r="65" ht="15.75" customHeight="1">
      <c r="A65" s="28" t="n">
        <v>59</v>
      </c>
      <c r="B65" s="27" t="inlineStr">
        <is>
          <t>Day</t>
        </is>
      </c>
      <c r="C65" s="21">
        <f>C63+1</f>
        <v/>
      </c>
      <c r="D65" s="22" t="n"/>
      <c r="E65" s="22" t="n"/>
      <c r="F65" s="24" t="n"/>
      <c r="G65" s="191">
        <f>F65+F66</f>
        <v/>
      </c>
      <c r="H65" s="16" t="n"/>
      <c r="I65" s="16" t="n"/>
      <c r="J65" s="7" t="n"/>
      <c r="K65" s="7" t="n"/>
      <c r="L65" s="7" t="n"/>
      <c r="M65" s="7" t="n"/>
      <c r="N65" s="12" t="n"/>
    </row>
    <row r="66" ht="15.75" customHeight="1">
      <c r="A66" s="31" t="n">
        <v>60</v>
      </c>
      <c r="B66" s="29" t="inlineStr">
        <is>
          <t>Night</t>
        </is>
      </c>
      <c r="C66" s="21">
        <f>C64+1</f>
        <v/>
      </c>
      <c r="D66" s="22" t="n">
        <v>1042</v>
      </c>
      <c r="E66" s="22" t="n">
        <v>1042</v>
      </c>
      <c r="F66" s="24">
        <f>E66-D66</f>
        <v/>
      </c>
      <c r="G66" s="192" t="n"/>
      <c r="H66" s="16" t="n"/>
      <c r="I66" s="16" t="n"/>
      <c r="J66" s="7" t="n"/>
      <c r="K66" s="7" t="n">
        <v>25</v>
      </c>
      <c r="L66" s="7" t="n"/>
      <c r="M66" s="7" t="n"/>
      <c r="N66" s="12" t="n"/>
    </row>
    <row r="67" ht="15.75" customHeight="1">
      <c r="A67" s="31" t="n">
        <v>61</v>
      </c>
      <c r="B67" s="29" t="inlineStr">
        <is>
          <t>Day</t>
        </is>
      </c>
      <c r="C67" s="21">
        <f>C65+1</f>
        <v/>
      </c>
      <c r="D67" s="22">
        <f>E66</f>
        <v/>
      </c>
      <c r="E67" s="22" t="n">
        <v>1046</v>
      </c>
      <c r="F67" s="24">
        <f>E67-D67</f>
        <v/>
      </c>
      <c r="G67" s="191">
        <f>F67+F68</f>
        <v/>
      </c>
      <c r="H67" s="16" t="n"/>
      <c r="I67" s="16" t="n"/>
      <c r="J67" s="7" t="n"/>
      <c r="K67" s="7" t="n"/>
      <c r="L67" s="7" t="n"/>
      <c r="M67" s="7" t="n"/>
      <c r="N67" s="12" t="n"/>
    </row>
    <row r="68" ht="16.5" customHeight="1" thickBot="1">
      <c r="A68" s="31" t="n">
        <v>62</v>
      </c>
      <c r="B68" s="27" t="inlineStr">
        <is>
          <t>Night</t>
        </is>
      </c>
      <c r="C68" s="21">
        <f>C66+1</f>
        <v/>
      </c>
      <c r="D68" s="22">
        <f>E67</f>
        <v/>
      </c>
      <c r="E68" s="22" t="n">
        <v>1047</v>
      </c>
      <c r="F68" s="24">
        <f>E68-D68</f>
        <v/>
      </c>
      <c r="G68" s="192" t="n"/>
      <c r="H68" s="16" t="n"/>
      <c r="I68" s="16" t="n"/>
      <c r="J68" s="7" t="n"/>
      <c r="K68" s="7" t="n"/>
      <c r="L68" s="7" t="n"/>
      <c r="M68" s="7" t="n"/>
      <c r="N68" s="12" t="n"/>
    </row>
    <row r="69" ht="16.5" customHeight="1" thickBot="1">
      <c r="A69" s="207" t="inlineStr">
        <is>
          <t>Total</t>
        </is>
      </c>
      <c r="B69" s="208" t="n"/>
      <c r="C69" s="208" t="n"/>
      <c r="D69" s="208" t="n"/>
      <c r="E69" s="209" t="n"/>
      <c r="F69" s="32">
        <f>SUM(F7:F68)</f>
        <v/>
      </c>
      <c r="G69" s="33">
        <f>SUM(G7:G68)</f>
        <v/>
      </c>
      <c r="H69" s="34" t="n"/>
      <c r="I69" s="35" t="n"/>
      <c r="J69" s="36" t="n"/>
      <c r="K69" s="36">
        <f>SUM(K7:K68)</f>
        <v/>
      </c>
      <c r="L69" s="36" t="n"/>
      <c r="M69" s="36" t="n"/>
      <c r="N69" s="37" t="n"/>
    </row>
    <row r="72">
      <c r="F72" s="215" t="inlineStr">
        <is>
          <t>Billed No.</t>
        </is>
      </c>
      <c r="G72" s="190" t="n"/>
      <c r="H72" s="121" t="inlineStr">
        <is>
          <t>GJ/25-26/H/093</t>
        </is>
      </c>
      <c r="I72" s="216" t="inlineStr">
        <is>
          <t>AS per Mayur</t>
        </is>
      </c>
      <c r="J72" s="190" t="n"/>
    </row>
    <row r="73">
      <c r="F73" s="213" t="inlineStr">
        <is>
          <t>Monthly Hiring Charges</t>
        </is>
      </c>
      <c r="G73" s="190" t="n"/>
      <c r="H73" s="213" t="n">
        <v>240000</v>
      </c>
      <c r="I73" s="133" t="inlineStr">
        <is>
          <t>Monthly</t>
        </is>
      </c>
      <c r="J73" s="134" t="n">
        <v>240000</v>
      </c>
    </row>
    <row r="74">
      <c r="F74" s="213" t="inlineStr">
        <is>
          <t>Per Day Charges (31 Days)</t>
        </is>
      </c>
      <c r="G74" s="190" t="n"/>
      <c r="H74" s="125">
        <f>H73/29</f>
        <v/>
      </c>
      <c r="I74" s="134" t="inlineStr">
        <is>
          <t>Per Day Charges (31 Days)</t>
        </is>
      </c>
      <c r="J74" s="135">
        <f>J73/31</f>
        <v/>
      </c>
    </row>
    <row r="75">
      <c r="F75" s="213" t="inlineStr">
        <is>
          <t>Billed Amount for 2 Days</t>
        </is>
      </c>
      <c r="G75" s="190" t="n"/>
      <c r="H75" s="125">
        <f>H74*2</f>
        <v/>
      </c>
      <c r="I75" s="133" t="inlineStr">
        <is>
          <t>2 Days Working</t>
        </is>
      </c>
      <c r="J75" s="136">
        <f>J74*2</f>
        <v/>
      </c>
    </row>
    <row r="76">
      <c r="F76" s="217" t="inlineStr">
        <is>
          <t>18% GST</t>
        </is>
      </c>
      <c r="G76" s="190" t="n"/>
      <c r="H76" s="126">
        <f>H75*18%</f>
        <v/>
      </c>
      <c r="I76" s="133" t="inlineStr">
        <is>
          <t>18 % GST</t>
        </is>
      </c>
      <c r="J76" s="136">
        <f>J75*18%</f>
        <v/>
      </c>
    </row>
    <row r="77">
      <c r="F77" s="217" t="inlineStr">
        <is>
          <t>Net Billed</t>
        </is>
      </c>
      <c r="G77" s="190" t="n"/>
      <c r="H77" s="126">
        <f>H75+H76</f>
        <v/>
      </c>
      <c r="I77" s="133" t="inlineStr">
        <is>
          <t>Final Bill Amount</t>
        </is>
      </c>
      <c r="J77" s="136">
        <f>J75+J76</f>
        <v/>
      </c>
    </row>
    <row r="78">
      <c r="F78" s="215" t="inlineStr">
        <is>
          <t>Hold Amount</t>
        </is>
      </c>
      <c r="G78" s="190" t="n"/>
      <c r="H78" s="215" t="n">
        <v>1573</v>
      </c>
      <c r="I78" s="133" t="inlineStr">
        <is>
          <t>TDS</t>
        </is>
      </c>
      <c r="J78" s="133" t="n">
        <v>310</v>
      </c>
    </row>
    <row r="79">
      <c r="F79" s="217" t="inlineStr">
        <is>
          <t>Received</t>
        </is>
      </c>
      <c r="G79" s="190" t="n"/>
      <c r="H79" s="126">
        <f>H77-H78</f>
        <v/>
      </c>
      <c r="I79" s="133" t="inlineStr">
        <is>
          <t>Received</t>
        </is>
      </c>
      <c r="J79" s="133">
        <f>J77-J78</f>
        <v/>
      </c>
    </row>
    <row r="81">
      <c r="H81" s="137" t="inlineStr">
        <is>
          <t>Hold Amount</t>
        </is>
      </c>
      <c r="I81" s="137" t="inlineStr">
        <is>
          <t>CN (Hold Amt-TDS)</t>
        </is>
      </c>
    </row>
    <row r="82">
      <c r="H82" s="137">
        <f>H78</f>
        <v/>
      </c>
      <c r="I82" s="137">
        <f>H82-J78</f>
        <v/>
      </c>
    </row>
  </sheetData>
  <mergeCells count="51">
    <mergeCell ref="F73:G73"/>
    <mergeCell ref="A5:D5"/>
    <mergeCell ref="G67:G68"/>
    <mergeCell ref="G43:G44"/>
    <mergeCell ref="G17:G18"/>
    <mergeCell ref="F78:G78"/>
    <mergeCell ref="G61:G62"/>
    <mergeCell ref="G57:G58"/>
    <mergeCell ref="G23:G24"/>
    <mergeCell ref="A4:D4"/>
    <mergeCell ref="G13:G14"/>
    <mergeCell ref="G7:G8"/>
    <mergeCell ref="G39:G40"/>
    <mergeCell ref="G19:G20"/>
    <mergeCell ref="F74:G74"/>
    <mergeCell ref="A69:E69"/>
    <mergeCell ref="G53:G54"/>
    <mergeCell ref="G65:G66"/>
    <mergeCell ref="I72:J72"/>
    <mergeCell ref="F76:G76"/>
    <mergeCell ref="E3:N3"/>
    <mergeCell ref="G37:G38"/>
    <mergeCell ref="G15:G16"/>
    <mergeCell ref="G55:G56"/>
    <mergeCell ref="F79:G79"/>
    <mergeCell ref="G49:G50"/>
    <mergeCell ref="G29:G30"/>
    <mergeCell ref="F75:G75"/>
    <mergeCell ref="A1:D1"/>
    <mergeCell ref="E5:N5"/>
    <mergeCell ref="G63:G64"/>
    <mergeCell ref="G33:G34"/>
    <mergeCell ref="F72:G72"/>
    <mergeCell ref="G51:G52"/>
    <mergeCell ref="E4:N4"/>
    <mergeCell ref="G45:G46"/>
    <mergeCell ref="G25:G26"/>
    <mergeCell ref="G41:G42"/>
    <mergeCell ref="G59:G60"/>
    <mergeCell ref="G35:G36"/>
    <mergeCell ref="E1:N1"/>
    <mergeCell ref="F77:G77"/>
    <mergeCell ref="G9:G10"/>
    <mergeCell ref="G27:G28"/>
    <mergeCell ref="G47:G48"/>
    <mergeCell ref="A3:D3"/>
    <mergeCell ref="G21:G22"/>
    <mergeCell ref="A2:D2"/>
    <mergeCell ref="G11:G12"/>
    <mergeCell ref="G31:G32"/>
    <mergeCell ref="E2:N2"/>
  </mergeCells>
  <pageMargins left="0.25" right="0.7" top="0.29" bottom="0.75" header="0.3" footer="0.3"/>
  <pageSetup orientation="portrait" scale="4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84"/>
  <sheetViews>
    <sheetView topLeftCell="A55" zoomScale="85" zoomScaleNormal="85" workbookViewId="0">
      <selection activeCell="H75" sqref="H75:I75"/>
    </sheetView>
  </sheetViews>
  <sheetFormatPr baseColWidth="8" defaultRowHeight="15"/>
  <cols>
    <col width="9.140625" customWidth="1" style="211" min="1" max="1"/>
    <col width="11.28515625" customWidth="1" style="211" min="2" max="2"/>
    <col width="9.140625" customWidth="1" style="211" min="3" max="5"/>
    <col width="9.7109375" bestFit="1" customWidth="1" style="211" min="6" max="7"/>
    <col width="9.140625" customWidth="1" style="211" min="8" max="8"/>
    <col width="21.42578125" customWidth="1" style="211" min="9" max="9"/>
    <col width="15" bestFit="1" customWidth="1" style="211" min="10" max="10"/>
    <col width="24.85546875" bestFit="1" customWidth="1" style="211" min="11" max="11"/>
    <col width="12.28515625" bestFit="1" customWidth="1" style="211" min="12" max="12"/>
    <col width="15" bestFit="1" customWidth="1" style="211" min="13" max="13"/>
    <col width="19.42578125" customWidth="1" style="211" min="14" max="14"/>
    <col width="9.140625" customWidth="1" style="211" min="15" max="20"/>
    <col width="9.140625" customWidth="1" style="211" min="21" max="16384"/>
  </cols>
  <sheetData>
    <row r="1" ht="15" customHeight="1">
      <c r="A1" s="194" t="inlineStr">
        <is>
          <t xml:space="preserve">Vendor Description  </t>
        </is>
      </c>
      <c r="B1" s="189" t="n"/>
      <c r="C1" s="189" t="n"/>
      <c r="D1" s="190" t="n"/>
      <c r="E1" s="204" t="inlineStr">
        <is>
          <t>EKTA ENTERPRISES</t>
        </is>
      </c>
      <c r="F1" s="205" t="n"/>
      <c r="G1" s="205" t="n"/>
      <c r="H1" s="205" t="n"/>
      <c r="I1" s="205" t="n"/>
      <c r="J1" s="205" t="n"/>
      <c r="K1" s="205" t="n"/>
      <c r="L1" s="205" t="n"/>
      <c r="M1" s="205" t="n"/>
      <c r="N1" s="206" t="n"/>
    </row>
    <row r="2" ht="15" customHeight="1">
      <c r="A2" s="194" t="inlineStr">
        <is>
          <t xml:space="preserve">Asset  Discription  </t>
        </is>
      </c>
      <c r="B2" s="189" t="n"/>
      <c r="C2" s="189" t="n"/>
      <c r="D2" s="190" t="n"/>
      <c r="E2" s="197" t="inlineStr">
        <is>
          <t xml:space="preserve">XCMG Crawler CRANE </t>
        </is>
      </c>
      <c r="F2" s="198" t="n"/>
      <c r="G2" s="198" t="n"/>
      <c r="H2" s="198" t="n"/>
      <c r="I2" s="198" t="n"/>
      <c r="J2" s="198" t="n"/>
      <c r="K2" s="198" t="n"/>
      <c r="L2" s="198" t="n"/>
      <c r="M2" s="198" t="n"/>
      <c r="N2" s="199" t="n"/>
    </row>
    <row r="3" ht="18.75" customHeight="1">
      <c r="A3" s="194" t="inlineStr">
        <is>
          <t xml:space="preserve">Asset  Capacity  </t>
        </is>
      </c>
      <c r="B3" s="189" t="n"/>
      <c r="C3" s="189" t="n"/>
      <c r="D3" s="190" t="n"/>
      <c r="E3" s="197" t="inlineStr">
        <is>
          <t>45 Ton</t>
        </is>
      </c>
      <c r="F3" s="198" t="n"/>
      <c r="G3" s="198" t="n"/>
      <c r="H3" s="198" t="n"/>
      <c r="I3" s="198" t="n"/>
      <c r="J3" s="198" t="n"/>
      <c r="K3" s="198" t="n"/>
      <c r="L3" s="198" t="n"/>
      <c r="M3" s="198" t="n"/>
      <c r="N3" s="199" t="n"/>
    </row>
    <row r="4" ht="18.75" customHeight="1">
      <c r="A4" s="194" t="inlineStr">
        <is>
          <t xml:space="preserve">Billing Period  </t>
        </is>
      </c>
      <c r="B4" s="189" t="n"/>
      <c r="C4" s="189" t="n"/>
      <c r="D4" s="190" t="n"/>
      <c r="E4" s="203" t="inlineStr">
        <is>
          <t>01-1-2026 TO 31-1-2026</t>
        </is>
      </c>
      <c r="F4" s="198" t="n"/>
      <c r="G4" s="198" t="n"/>
      <c r="H4" s="198" t="n"/>
      <c r="I4" s="198" t="n"/>
      <c r="J4" s="198" t="n"/>
      <c r="K4" s="198" t="n"/>
      <c r="L4" s="198" t="n"/>
      <c r="M4" s="198" t="n"/>
      <c r="N4" s="199" t="n"/>
    </row>
    <row r="5" ht="18.75" customHeight="1" thickBot="1">
      <c r="A5" s="214" t="inlineStr">
        <is>
          <t>COMPANY  NAME</t>
        </is>
      </c>
      <c r="B5" s="189" t="n"/>
      <c r="C5" s="189" t="n"/>
      <c r="D5" s="190" t="n"/>
      <c r="E5" s="218" t="inlineStr">
        <is>
          <t>Sygnific infra Pvt. Ltd. Ahemdabaad</t>
        </is>
      </c>
      <c r="F5" s="201" t="n"/>
      <c r="G5" s="201" t="n"/>
      <c r="H5" s="201" t="n"/>
      <c r="I5" s="201" t="n"/>
      <c r="J5" s="201" t="n"/>
      <c r="K5" s="201" t="n"/>
      <c r="L5" s="201" t="n"/>
      <c r="M5" s="201" t="n"/>
      <c r="N5" s="202" t="n"/>
    </row>
    <row r="6" ht="45.75" customHeight="1" thickBot="1">
      <c r="A6" s="53" t="inlineStr">
        <is>
          <t>SR. NO.</t>
        </is>
      </c>
      <c r="B6" s="53" t="inlineStr">
        <is>
          <t>Shift</t>
        </is>
      </c>
      <c r="C6" s="54" t="inlineStr">
        <is>
          <t>Date</t>
        </is>
      </c>
      <c r="D6" s="54" t="inlineStr">
        <is>
          <t>Starting HMR</t>
        </is>
      </c>
      <c r="E6" s="55" t="inlineStr">
        <is>
          <t>Closing    HMR</t>
        </is>
      </c>
      <c r="F6" s="56" t="inlineStr">
        <is>
          <t>HMR</t>
        </is>
      </c>
      <c r="G6" s="57" t="inlineStr">
        <is>
          <t>Normal  Shift
Hours</t>
        </is>
      </c>
      <c r="H6" s="58" t="inlineStr">
        <is>
          <t>BD Start</t>
        </is>
      </c>
      <c r="I6" s="59" t="inlineStr">
        <is>
          <t>BD End</t>
        </is>
      </c>
      <c r="J6" s="60" t="inlineStr">
        <is>
          <t>Total B/D</t>
        </is>
      </c>
      <c r="K6" s="61" t="inlineStr">
        <is>
          <t>Diesel  issued</t>
        </is>
      </c>
      <c r="L6" s="60" t="inlineStr">
        <is>
          <t>Diesel HMR</t>
        </is>
      </c>
      <c r="M6" s="60" t="inlineStr">
        <is>
          <t>Hours</t>
        </is>
      </c>
      <c r="N6" s="60" t="inlineStr">
        <is>
          <t>Remark</t>
        </is>
      </c>
    </row>
    <row r="7">
      <c r="A7" s="62" t="n">
        <v>1</v>
      </c>
      <c r="B7" s="63" t="inlineStr">
        <is>
          <t>Day</t>
        </is>
      </c>
      <c r="C7" s="21" t="n">
        <v>46023</v>
      </c>
      <c r="D7" s="64" t="n">
        <v>1047</v>
      </c>
      <c r="E7" s="65" t="n">
        <v>1049</v>
      </c>
      <c r="F7" s="24">
        <f>E7-D7</f>
        <v/>
      </c>
      <c r="G7" s="196">
        <f>F7+F8</f>
        <v/>
      </c>
      <c r="H7" s="6" t="n"/>
      <c r="I7" s="6" t="n"/>
      <c r="J7" s="6" t="n"/>
      <c r="K7" s="6" t="n">
        <v>26</v>
      </c>
      <c r="L7" s="39" t="n">
        <v>1047</v>
      </c>
      <c r="M7" s="8" t="n"/>
      <c r="N7" s="66" t="n"/>
    </row>
    <row r="8" customFormat="1" s="43">
      <c r="A8" s="62" t="n">
        <v>2</v>
      </c>
      <c r="B8" s="63" t="inlineStr">
        <is>
          <t>Night</t>
        </is>
      </c>
      <c r="C8" s="21">
        <f>C7</f>
        <v/>
      </c>
      <c r="D8" s="64">
        <f>E7</f>
        <v/>
      </c>
      <c r="E8" s="65" t="n">
        <v>1053</v>
      </c>
      <c r="F8" s="24">
        <f>E8-D8</f>
        <v/>
      </c>
      <c r="G8" s="192" t="n"/>
      <c r="H8" s="40" t="n"/>
      <c r="I8" s="40" t="n"/>
      <c r="J8" s="41" t="n"/>
      <c r="K8" s="41" t="n"/>
      <c r="L8" s="39" t="n"/>
      <c r="M8" s="39" t="n"/>
      <c r="N8" s="42" t="n"/>
    </row>
    <row r="9" customFormat="1" s="45">
      <c r="A9" s="62" t="n">
        <v>3</v>
      </c>
      <c r="B9" s="63" t="inlineStr">
        <is>
          <t>Day</t>
        </is>
      </c>
      <c r="C9" s="21">
        <f>C7+1</f>
        <v/>
      </c>
      <c r="D9" s="64">
        <f>E8</f>
        <v/>
      </c>
      <c r="E9" s="65" t="n">
        <v>1056</v>
      </c>
      <c r="F9" s="24">
        <f>E9-D9</f>
        <v/>
      </c>
      <c r="G9" s="191">
        <f>F9+F10</f>
        <v/>
      </c>
      <c r="H9" s="44" t="n"/>
      <c r="I9" s="44" t="n"/>
      <c r="J9" s="41" t="n"/>
      <c r="K9" s="41" t="n">
        <v>50</v>
      </c>
      <c r="L9" s="41" t="n">
        <v>1053</v>
      </c>
      <c r="M9" s="41" t="n"/>
      <c r="N9" s="42" t="n"/>
    </row>
    <row r="10" customFormat="1" s="45">
      <c r="A10" s="62" t="n">
        <v>4</v>
      </c>
      <c r="B10" s="63" t="inlineStr">
        <is>
          <t>Night</t>
        </is>
      </c>
      <c r="C10" s="21">
        <f>C9</f>
        <v/>
      </c>
      <c r="D10" s="64">
        <f>E9</f>
        <v/>
      </c>
      <c r="E10" s="65" t="n">
        <v>1060</v>
      </c>
      <c r="F10" s="24">
        <f>E10-D10</f>
        <v/>
      </c>
      <c r="G10" s="192" t="n"/>
      <c r="H10" s="44" t="n"/>
      <c r="I10" s="44" t="n"/>
      <c r="J10" s="41" t="n"/>
      <c r="K10" s="41" t="n"/>
      <c r="L10" s="41" t="n"/>
      <c r="M10" s="41" t="n"/>
      <c r="N10" s="42" t="n"/>
    </row>
    <row r="11" customFormat="1" s="45">
      <c r="A11" s="62" t="n">
        <v>5</v>
      </c>
      <c r="B11" s="63" t="inlineStr">
        <is>
          <t>Day</t>
        </is>
      </c>
      <c r="C11" s="21">
        <f>C9+1</f>
        <v/>
      </c>
      <c r="D11" s="64">
        <f>E10</f>
        <v/>
      </c>
      <c r="E11" s="75" t="n">
        <v>1064</v>
      </c>
      <c r="F11" s="24">
        <f>E11-D11</f>
        <v/>
      </c>
      <c r="G11" s="191">
        <f>F11+F12</f>
        <v/>
      </c>
      <c r="H11" s="44" t="n"/>
      <c r="I11" s="44" t="n"/>
      <c r="J11" s="46" t="n"/>
      <c r="K11" s="41" t="n">
        <v>50</v>
      </c>
      <c r="L11" s="41" t="n">
        <v>1060</v>
      </c>
      <c r="M11" s="41" t="n"/>
      <c r="N11" s="47" t="n"/>
    </row>
    <row r="12" customFormat="1" s="45">
      <c r="A12" s="62" t="n">
        <v>6</v>
      </c>
      <c r="B12" s="63" t="inlineStr">
        <is>
          <t>Night</t>
        </is>
      </c>
      <c r="C12" s="21">
        <f>C11</f>
        <v/>
      </c>
      <c r="D12" s="64">
        <f>E11</f>
        <v/>
      </c>
      <c r="E12" s="77" t="n">
        <v>1064</v>
      </c>
      <c r="F12" s="24">
        <f>E12-D12</f>
        <v/>
      </c>
      <c r="G12" s="192" t="n"/>
      <c r="H12" s="44" t="n"/>
      <c r="I12" s="44" t="n"/>
      <c r="J12" s="41" t="n"/>
      <c r="K12" s="41" t="n"/>
      <c r="L12" s="41" t="n"/>
      <c r="M12" s="41" t="n"/>
      <c r="N12" s="47" t="n"/>
    </row>
    <row r="13" customFormat="1" s="45">
      <c r="A13" s="86" t="n">
        <v>7</v>
      </c>
      <c r="B13" s="87" t="inlineStr">
        <is>
          <t>Day</t>
        </is>
      </c>
      <c r="C13" s="88">
        <f>C11+1</f>
        <v/>
      </c>
      <c r="D13" s="76" t="n">
        <v>1066</v>
      </c>
      <c r="E13" s="77" t="n">
        <v>1069</v>
      </c>
      <c r="F13" s="89">
        <f>E13-D13</f>
        <v/>
      </c>
      <c r="G13" s="219">
        <f>F13+F14</f>
        <v/>
      </c>
      <c r="H13" s="90" t="n"/>
      <c r="I13" s="90" t="n"/>
      <c r="J13" s="91" t="n"/>
      <c r="K13" s="91" t="n"/>
      <c r="L13" s="91" t="n"/>
      <c r="M13" s="91" t="n"/>
      <c r="N13" s="92" t="n"/>
    </row>
    <row r="14" customFormat="1" s="45">
      <c r="A14" s="86" t="n">
        <v>8</v>
      </c>
      <c r="B14" s="87" t="inlineStr">
        <is>
          <t>Night</t>
        </is>
      </c>
      <c r="C14" s="88">
        <f>C13</f>
        <v/>
      </c>
      <c r="D14" s="76">
        <f>E13</f>
        <v/>
      </c>
      <c r="E14" s="77" t="n">
        <v>1074</v>
      </c>
      <c r="F14" s="89">
        <f>E14-D14</f>
        <v/>
      </c>
      <c r="G14" s="192" t="n"/>
      <c r="H14" s="90" t="n"/>
      <c r="I14" s="90" t="n"/>
      <c r="J14" s="91" t="n"/>
      <c r="K14" s="91" t="n"/>
      <c r="L14" s="91" t="n"/>
      <c r="M14" s="91" t="n"/>
      <c r="N14" s="92" t="n"/>
    </row>
    <row r="15" customFormat="1" s="45">
      <c r="A15" s="62" t="n">
        <v>9</v>
      </c>
      <c r="B15" s="63" t="inlineStr">
        <is>
          <t>Day</t>
        </is>
      </c>
      <c r="C15" s="21">
        <f>C13+1</f>
        <v/>
      </c>
      <c r="D15" s="64">
        <f>E14</f>
        <v/>
      </c>
      <c r="E15" s="65" t="n">
        <v>1079</v>
      </c>
      <c r="F15" s="24">
        <f>E15-D15</f>
        <v/>
      </c>
      <c r="G15" s="191">
        <f>F15+F16</f>
        <v/>
      </c>
      <c r="H15" s="44" t="n"/>
      <c r="I15" s="44" t="n"/>
      <c r="J15" s="41" t="n"/>
      <c r="K15" s="41" t="n">
        <v>50</v>
      </c>
      <c r="L15" s="41" t="n">
        <v>1074</v>
      </c>
      <c r="M15" s="41" t="n"/>
      <c r="N15" s="47" t="n"/>
    </row>
    <row r="16" customFormat="1" s="45">
      <c r="A16" s="62" t="n">
        <v>10</v>
      </c>
      <c r="B16" s="63" t="inlineStr">
        <is>
          <t>Night</t>
        </is>
      </c>
      <c r="C16" s="21">
        <f>C15</f>
        <v/>
      </c>
      <c r="D16" s="64">
        <f>E15</f>
        <v/>
      </c>
      <c r="E16" s="65" t="n">
        <v>1083</v>
      </c>
      <c r="F16" s="24">
        <f>E16-D16</f>
        <v/>
      </c>
      <c r="G16" s="192" t="n"/>
      <c r="H16" s="44" t="n"/>
      <c r="I16" s="44" t="n"/>
      <c r="J16" s="41" t="n"/>
      <c r="K16" s="41" t="n"/>
      <c r="L16" s="41" t="n"/>
      <c r="M16" s="41" t="n"/>
      <c r="N16" s="47" t="n"/>
    </row>
    <row r="17" customFormat="1" s="45">
      <c r="A17" s="62" t="n">
        <v>11</v>
      </c>
      <c r="B17" s="63" t="inlineStr">
        <is>
          <t>Day</t>
        </is>
      </c>
      <c r="C17" s="21">
        <f>C15+1</f>
        <v/>
      </c>
      <c r="D17" s="64">
        <f>E16</f>
        <v/>
      </c>
      <c r="E17" s="65" t="n">
        <v>1088</v>
      </c>
      <c r="F17" s="24">
        <f>E17-D17</f>
        <v/>
      </c>
      <c r="G17" s="191">
        <f>F17+F18</f>
        <v/>
      </c>
      <c r="H17" s="44" t="n"/>
      <c r="I17" s="44" t="n"/>
      <c r="J17" s="41" t="n"/>
      <c r="K17" s="41" t="n">
        <v>50</v>
      </c>
      <c r="L17" s="41" t="n">
        <v>1084</v>
      </c>
      <c r="M17" s="41" t="n"/>
      <c r="N17" s="47" t="n"/>
    </row>
    <row r="18" customFormat="1" s="45">
      <c r="A18" s="62" t="n">
        <v>12</v>
      </c>
      <c r="B18" s="63" t="inlineStr">
        <is>
          <t>Night</t>
        </is>
      </c>
      <c r="C18" s="21">
        <f>C17</f>
        <v/>
      </c>
      <c r="D18" s="64">
        <f>E17</f>
        <v/>
      </c>
      <c r="E18" s="65" t="n">
        <v>1094</v>
      </c>
      <c r="F18" s="24">
        <f>E18-D18</f>
        <v/>
      </c>
      <c r="G18" s="192" t="n"/>
      <c r="H18" s="44" t="n"/>
      <c r="I18" s="44" t="n"/>
      <c r="J18" s="41" t="n"/>
      <c r="K18" s="41" t="n"/>
      <c r="L18" s="41" t="n"/>
      <c r="M18" s="41" t="n"/>
      <c r="N18" s="47" t="n"/>
    </row>
    <row r="19" customFormat="1" s="45">
      <c r="A19" s="62" t="n">
        <v>13</v>
      </c>
      <c r="B19" s="63" t="inlineStr">
        <is>
          <t>Day</t>
        </is>
      </c>
      <c r="C19" s="21">
        <f>C17+1</f>
        <v/>
      </c>
      <c r="D19" s="64">
        <f>E18</f>
        <v/>
      </c>
      <c r="E19" s="67" t="n">
        <v>1098</v>
      </c>
      <c r="F19" s="24">
        <f>E19-D19</f>
        <v/>
      </c>
      <c r="G19" s="191">
        <f>F19+F20</f>
        <v/>
      </c>
      <c r="H19" s="44" t="n"/>
      <c r="I19" s="44" t="n"/>
      <c r="J19" s="41" t="n"/>
      <c r="K19" s="41" t="n">
        <v>50</v>
      </c>
      <c r="L19" s="41" t="n">
        <v>1096.1</v>
      </c>
      <c r="M19" s="41" t="n"/>
      <c r="N19" s="47" t="n"/>
    </row>
    <row r="20" customFormat="1" s="45">
      <c r="A20" s="62" t="n">
        <v>14</v>
      </c>
      <c r="B20" s="63" t="inlineStr">
        <is>
          <t>Night</t>
        </is>
      </c>
      <c r="C20" s="21">
        <f>C19</f>
        <v/>
      </c>
      <c r="D20" s="64">
        <f>E19</f>
        <v/>
      </c>
      <c r="E20" s="67" t="n">
        <v>1100</v>
      </c>
      <c r="F20" s="24">
        <f>E20-D20</f>
        <v/>
      </c>
      <c r="G20" s="192" t="n"/>
      <c r="H20" s="44" t="n"/>
      <c r="I20" s="44" t="n"/>
      <c r="J20" s="41" t="n"/>
      <c r="K20" s="41" t="n"/>
      <c r="L20" s="41" t="n"/>
      <c r="M20" s="41" t="n"/>
      <c r="N20" s="47" t="n"/>
    </row>
    <row r="21" customFormat="1" s="45">
      <c r="A21" s="62" t="n">
        <v>15</v>
      </c>
      <c r="B21" s="63" t="inlineStr">
        <is>
          <t>Day</t>
        </is>
      </c>
      <c r="C21" s="21">
        <f>C19+1</f>
        <v/>
      </c>
      <c r="D21" s="64">
        <f>E20</f>
        <v/>
      </c>
      <c r="E21" s="67" t="n">
        <v>1107</v>
      </c>
      <c r="F21" s="24">
        <f>E21-D21</f>
        <v/>
      </c>
      <c r="G21" s="191">
        <f>F21+F22</f>
        <v/>
      </c>
      <c r="H21" s="44" t="n"/>
      <c r="I21" s="44" t="n"/>
      <c r="J21" s="41" t="n"/>
      <c r="K21" s="41" t="n"/>
      <c r="L21" s="41" t="n"/>
      <c r="M21" s="41" t="n"/>
      <c r="N21" s="47" t="n"/>
    </row>
    <row r="22" customFormat="1" s="45">
      <c r="A22" s="62" t="n">
        <v>16</v>
      </c>
      <c r="B22" s="63" t="inlineStr">
        <is>
          <t>Night</t>
        </is>
      </c>
      <c r="C22" s="21">
        <f>C21</f>
        <v/>
      </c>
      <c r="D22" s="64">
        <f>E21</f>
        <v/>
      </c>
      <c r="E22" s="67" t="n">
        <v>1109</v>
      </c>
      <c r="F22" s="24">
        <f>E22-D22</f>
        <v/>
      </c>
      <c r="G22" s="192" t="n"/>
      <c r="H22" s="44" t="n"/>
      <c r="I22" s="44" t="n"/>
      <c r="J22" s="41" t="n"/>
      <c r="K22" s="41" t="n">
        <v>25</v>
      </c>
      <c r="L22" s="41" t="n">
        <v>1107</v>
      </c>
      <c r="M22" s="41" t="n"/>
      <c r="N22" s="47" t="n"/>
    </row>
    <row r="23" customFormat="1" s="45">
      <c r="A23" s="62" t="n">
        <v>17</v>
      </c>
      <c r="B23" s="63" t="inlineStr">
        <is>
          <t>Day</t>
        </is>
      </c>
      <c r="C23" s="21">
        <f>C21+1</f>
        <v/>
      </c>
      <c r="D23" s="64">
        <f>E22</f>
        <v/>
      </c>
      <c r="E23" s="67" t="n">
        <v>1113</v>
      </c>
      <c r="F23" s="24">
        <f>E23-D23</f>
        <v/>
      </c>
      <c r="G23" s="191">
        <f>F23+F24</f>
        <v/>
      </c>
      <c r="H23" s="44" t="n"/>
      <c r="I23" s="44" t="n"/>
      <c r="J23" s="41" t="n"/>
      <c r="K23" s="41" t="n"/>
      <c r="L23" s="41" t="n"/>
      <c r="M23" s="41" t="n"/>
      <c r="N23" s="47" t="n"/>
    </row>
    <row r="24" customFormat="1" s="45">
      <c r="A24" s="62" t="n">
        <v>18</v>
      </c>
      <c r="B24" s="63" t="inlineStr">
        <is>
          <t>Night</t>
        </is>
      </c>
      <c r="C24" s="21">
        <f>C23</f>
        <v/>
      </c>
      <c r="D24" s="64">
        <f>E23</f>
        <v/>
      </c>
      <c r="E24" s="67" t="n">
        <v>1114</v>
      </c>
      <c r="F24" s="24">
        <f>E24-D24</f>
        <v/>
      </c>
      <c r="G24" s="192" t="n"/>
      <c r="H24" s="44" t="n"/>
      <c r="I24" s="44" t="n"/>
      <c r="J24" s="41" t="n"/>
      <c r="K24" s="41" t="n">
        <v>25</v>
      </c>
      <c r="L24" s="41" t="n">
        <v>1114</v>
      </c>
      <c r="M24" s="41" t="n"/>
      <c r="N24" s="47" t="n"/>
    </row>
    <row r="25" customFormat="1" s="45">
      <c r="A25" s="62" t="n">
        <v>19</v>
      </c>
      <c r="B25" s="63" t="inlineStr">
        <is>
          <t>Day</t>
        </is>
      </c>
      <c r="C25" s="21">
        <f>C23+1</f>
        <v/>
      </c>
      <c r="D25" s="64">
        <f>E24</f>
        <v/>
      </c>
      <c r="E25" s="67" t="n">
        <v>1119</v>
      </c>
      <c r="F25" s="24">
        <f>E25-D25</f>
        <v/>
      </c>
      <c r="G25" s="191">
        <f>F25+F26</f>
        <v/>
      </c>
      <c r="H25" s="44" t="n"/>
      <c r="I25" s="44" t="n"/>
      <c r="J25" s="41" t="n"/>
      <c r="K25" s="41" t="n"/>
      <c r="L25" s="41" t="n"/>
      <c r="M25" s="41" t="n"/>
      <c r="N25" s="47" t="n"/>
    </row>
    <row r="26" customFormat="1" s="45">
      <c r="A26" s="62" t="n">
        <v>20</v>
      </c>
      <c r="B26" s="63" t="inlineStr">
        <is>
          <t>Night</t>
        </is>
      </c>
      <c r="C26" s="21">
        <f>C25</f>
        <v/>
      </c>
      <c r="D26" s="64">
        <f>E25</f>
        <v/>
      </c>
      <c r="E26" s="67" t="n">
        <v>1123</v>
      </c>
      <c r="F26" s="24">
        <f>E26-D26</f>
        <v/>
      </c>
      <c r="G26" s="192" t="n"/>
      <c r="H26" s="44" t="n"/>
      <c r="I26" s="44" t="n"/>
      <c r="J26" s="41" t="n"/>
      <c r="K26" s="41" t="n"/>
      <c r="L26" s="41" t="n"/>
      <c r="M26" s="41" t="n"/>
      <c r="N26" s="47" t="n"/>
    </row>
    <row r="27" customFormat="1" s="45">
      <c r="A27" s="86" t="n">
        <v>21</v>
      </c>
      <c r="B27" s="87" t="inlineStr">
        <is>
          <t>Day</t>
        </is>
      </c>
      <c r="C27" s="88">
        <f>C25+1</f>
        <v/>
      </c>
      <c r="D27" s="76">
        <f>E26</f>
        <v/>
      </c>
      <c r="E27" s="93" t="n">
        <v>1130</v>
      </c>
      <c r="F27" s="89">
        <f>E27-D27</f>
        <v/>
      </c>
      <c r="G27" s="219">
        <f>F27+F28</f>
        <v/>
      </c>
      <c r="H27" s="90" t="n"/>
      <c r="I27" s="90" t="n"/>
      <c r="J27" s="91" t="n"/>
      <c r="K27" s="91" t="n">
        <v>50</v>
      </c>
      <c r="L27" s="91" t="n">
        <v>1124</v>
      </c>
      <c r="M27" s="91" t="n"/>
      <c r="N27" s="92" t="n"/>
    </row>
    <row r="28" customFormat="1" s="45">
      <c r="A28" s="86" t="n">
        <v>22</v>
      </c>
      <c r="B28" s="87" t="inlineStr">
        <is>
          <t>Night</t>
        </is>
      </c>
      <c r="C28" s="88">
        <f>C27</f>
        <v/>
      </c>
      <c r="D28" s="76">
        <f>E27</f>
        <v/>
      </c>
      <c r="E28" s="93" t="n">
        <v>1134</v>
      </c>
      <c r="F28" s="89">
        <f>E28-D28</f>
        <v/>
      </c>
      <c r="G28" s="192" t="n"/>
      <c r="H28" s="90" t="n"/>
      <c r="I28" s="90" t="n"/>
      <c r="J28" s="91" t="n"/>
      <c r="K28" s="91" t="n">
        <v>20</v>
      </c>
      <c r="L28" s="91" t="n">
        <v>1134</v>
      </c>
      <c r="M28" s="91" t="n"/>
      <c r="N28" s="92" t="n"/>
    </row>
    <row r="29" customFormat="1" s="45">
      <c r="A29" s="62" t="n">
        <v>23</v>
      </c>
      <c r="B29" s="63" t="inlineStr">
        <is>
          <t>Day</t>
        </is>
      </c>
      <c r="C29" s="21">
        <f>C27+1</f>
        <v/>
      </c>
      <c r="D29" s="64">
        <f>E28</f>
        <v/>
      </c>
      <c r="E29" s="67" t="n">
        <v>1140</v>
      </c>
      <c r="F29" s="24">
        <f>E29-D29</f>
        <v/>
      </c>
      <c r="G29" s="191">
        <f>F29+F30</f>
        <v/>
      </c>
      <c r="H29" s="44" t="n"/>
      <c r="I29" s="44" t="n"/>
      <c r="J29" s="41" t="n"/>
      <c r="K29" s="41" t="n"/>
      <c r="L29" s="41" t="n"/>
      <c r="M29" s="41" t="n"/>
      <c r="N29" s="47" t="n"/>
    </row>
    <row r="30" customFormat="1" s="45">
      <c r="A30" s="62" t="n">
        <v>24</v>
      </c>
      <c r="B30" s="63" t="inlineStr">
        <is>
          <t>Night</t>
        </is>
      </c>
      <c r="C30" s="21">
        <f>C29</f>
        <v/>
      </c>
      <c r="D30" s="64">
        <f>E29</f>
        <v/>
      </c>
      <c r="E30" s="67" t="n">
        <v>1145</v>
      </c>
      <c r="F30" s="24">
        <f>E30-D30</f>
        <v/>
      </c>
      <c r="G30" s="192" t="n"/>
      <c r="H30" s="44" t="n"/>
      <c r="I30" s="44" t="n"/>
      <c r="J30" s="41" t="n"/>
      <c r="K30" s="41" t="n">
        <v>25</v>
      </c>
      <c r="L30" s="41" t="n">
        <v>1142</v>
      </c>
      <c r="M30" s="41" t="n"/>
      <c r="N30" s="47" t="n"/>
    </row>
    <row r="31" customFormat="1" s="45">
      <c r="A31" s="62" t="n">
        <v>25</v>
      </c>
      <c r="B31" s="63" t="inlineStr">
        <is>
          <t>Day</t>
        </is>
      </c>
      <c r="C31" s="21">
        <f>C29+1</f>
        <v/>
      </c>
      <c r="D31" s="64">
        <f>E30</f>
        <v/>
      </c>
      <c r="E31" s="67" t="n">
        <v>1153</v>
      </c>
      <c r="F31" s="24">
        <f>E31-D31</f>
        <v/>
      </c>
      <c r="G31" s="191">
        <f>F31+F32</f>
        <v/>
      </c>
      <c r="H31" s="44" t="n"/>
      <c r="I31" s="44" t="n"/>
      <c r="J31" s="41" t="n"/>
      <c r="K31" s="41" t="n">
        <v>25</v>
      </c>
      <c r="L31" s="41" t="n">
        <v>1148</v>
      </c>
      <c r="M31" s="41" t="n"/>
      <c r="N31" s="47" t="n"/>
    </row>
    <row r="32" customFormat="1" s="45">
      <c r="A32" s="62" t="n">
        <v>26</v>
      </c>
      <c r="B32" s="63" t="inlineStr">
        <is>
          <t>Night</t>
        </is>
      </c>
      <c r="C32" s="21">
        <f>C31</f>
        <v/>
      </c>
      <c r="D32" s="64">
        <f>E31</f>
        <v/>
      </c>
      <c r="E32" s="67" t="n">
        <v>1158</v>
      </c>
      <c r="F32" s="24">
        <f>E32-D32</f>
        <v/>
      </c>
      <c r="G32" s="192" t="n"/>
      <c r="H32" s="44" t="n"/>
      <c r="I32" s="44" t="n"/>
      <c r="J32" s="41" t="n"/>
      <c r="K32" s="41" t="n">
        <v>60</v>
      </c>
      <c r="L32" s="41" t="n">
        <v>1154</v>
      </c>
      <c r="M32" s="41" t="n"/>
      <c r="N32" s="47" t="n"/>
    </row>
    <row r="33" customFormat="1" s="45">
      <c r="A33" s="62" t="n">
        <v>27</v>
      </c>
      <c r="B33" s="63" t="inlineStr">
        <is>
          <t>Day</t>
        </is>
      </c>
      <c r="C33" s="21">
        <f>C31+1</f>
        <v/>
      </c>
      <c r="D33" s="64">
        <f>E32</f>
        <v/>
      </c>
      <c r="E33" s="67" t="n">
        <v>1164</v>
      </c>
      <c r="F33" s="24">
        <f>E33-D33</f>
        <v/>
      </c>
      <c r="G33" s="191">
        <f>F33+F34</f>
        <v/>
      </c>
      <c r="H33" s="44" t="n"/>
      <c r="I33" s="44" t="n"/>
      <c r="J33" s="41" t="n"/>
      <c r="K33" s="41" t="n"/>
      <c r="L33" s="41" t="n"/>
      <c r="M33" s="41" t="n"/>
      <c r="N33" s="47" t="n"/>
    </row>
    <row r="34" customFormat="1" s="45">
      <c r="A34" s="62" t="n">
        <v>28</v>
      </c>
      <c r="B34" s="63" t="inlineStr">
        <is>
          <t>Night</t>
        </is>
      </c>
      <c r="C34" s="21">
        <f>C33</f>
        <v/>
      </c>
      <c r="D34" s="64">
        <f>E33</f>
        <v/>
      </c>
      <c r="E34" s="67" t="n">
        <v>1166</v>
      </c>
      <c r="F34" s="24">
        <f>E34-D34</f>
        <v/>
      </c>
      <c r="G34" s="192" t="n"/>
      <c r="H34" s="44" t="n"/>
      <c r="I34" s="44" t="n"/>
      <c r="J34" s="41" t="n"/>
      <c r="K34" s="41" t="n">
        <v>25</v>
      </c>
      <c r="L34" s="41" t="n">
        <v>1164</v>
      </c>
      <c r="M34" s="41" t="n"/>
      <c r="N34" s="47" t="n"/>
    </row>
    <row r="35" customFormat="1" s="45">
      <c r="A35" s="62" t="n">
        <v>29</v>
      </c>
      <c r="B35" s="63" t="inlineStr">
        <is>
          <t>Day</t>
        </is>
      </c>
      <c r="C35" s="21">
        <f>C33+1</f>
        <v/>
      </c>
      <c r="D35" s="64">
        <f>E34</f>
        <v/>
      </c>
      <c r="E35" s="64" t="n">
        <v>1168</v>
      </c>
      <c r="F35" s="24">
        <f>E35-D35</f>
        <v/>
      </c>
      <c r="G35" s="191">
        <f>F35+F36</f>
        <v/>
      </c>
      <c r="H35" s="44" t="n"/>
      <c r="I35" s="44" t="n"/>
      <c r="J35" s="41" t="n"/>
      <c r="K35" s="41" t="n"/>
      <c r="L35" s="41" t="n"/>
      <c r="M35" s="41" t="n"/>
      <c r="N35" s="47" t="n"/>
    </row>
    <row r="36" customFormat="1" s="45">
      <c r="A36" s="62" t="n">
        <v>30</v>
      </c>
      <c r="B36" s="63" t="inlineStr">
        <is>
          <t>Night</t>
        </is>
      </c>
      <c r="C36" s="21">
        <f>C35</f>
        <v/>
      </c>
      <c r="D36" s="64">
        <f>E35</f>
        <v/>
      </c>
      <c r="E36" s="64" t="n">
        <v>1174</v>
      </c>
      <c r="F36" s="24">
        <f>E36-D36</f>
        <v/>
      </c>
      <c r="G36" s="192" t="n"/>
      <c r="H36" s="44" t="n"/>
      <c r="I36" s="44" t="n"/>
      <c r="J36" s="41" t="n"/>
      <c r="K36" s="41" t="n">
        <v>25</v>
      </c>
      <c r="L36" s="41" t="n">
        <v>1169</v>
      </c>
      <c r="M36" s="41" t="n"/>
      <c r="N36" s="47" t="n"/>
    </row>
    <row r="37" customFormat="1" s="45">
      <c r="A37" s="62" t="n">
        <v>31</v>
      </c>
      <c r="B37" s="63" t="inlineStr">
        <is>
          <t>Day</t>
        </is>
      </c>
      <c r="C37" s="21">
        <f>C35+1</f>
        <v/>
      </c>
      <c r="D37" s="64">
        <f>E36</f>
        <v/>
      </c>
      <c r="E37" s="64" t="n">
        <v>1179</v>
      </c>
      <c r="F37" s="24">
        <f>E37-D37</f>
        <v/>
      </c>
      <c r="G37" s="191">
        <f>F37+F38</f>
        <v/>
      </c>
      <c r="H37" s="44" t="n"/>
      <c r="I37" s="44" t="n"/>
      <c r="J37" s="41" t="n"/>
      <c r="K37" s="41" t="n">
        <v>20</v>
      </c>
      <c r="L37" s="41" t="n">
        <v>1176</v>
      </c>
      <c r="M37" s="41" t="n"/>
      <c r="N37" s="47" t="n"/>
    </row>
    <row r="38" customFormat="1" s="45">
      <c r="A38" s="62" t="n">
        <v>32</v>
      </c>
      <c r="B38" s="63" t="inlineStr">
        <is>
          <t>Night</t>
        </is>
      </c>
      <c r="C38" s="21">
        <f>C37</f>
        <v/>
      </c>
      <c r="D38" s="64">
        <f>E37</f>
        <v/>
      </c>
      <c r="E38" s="64" t="n">
        <v>1185</v>
      </c>
      <c r="F38" s="24">
        <f>E38-D38</f>
        <v/>
      </c>
      <c r="G38" s="192" t="n"/>
      <c r="H38" s="48" t="n"/>
      <c r="I38" s="48" t="n"/>
      <c r="J38" s="39" t="n"/>
      <c r="K38" s="39" t="n">
        <v>25</v>
      </c>
      <c r="L38" s="39" t="n">
        <v>1180</v>
      </c>
      <c r="M38" s="39" t="n"/>
      <c r="N38" s="42" t="n"/>
    </row>
    <row r="39">
      <c r="A39" s="62" t="n">
        <v>33</v>
      </c>
      <c r="B39" s="63" t="inlineStr">
        <is>
          <t>Day</t>
        </is>
      </c>
      <c r="C39" s="21">
        <f>C37+1</f>
        <v/>
      </c>
      <c r="D39" s="64">
        <f>E38</f>
        <v/>
      </c>
      <c r="E39" s="64" t="n">
        <v>1188</v>
      </c>
      <c r="F39" s="24">
        <f>E39-D39</f>
        <v/>
      </c>
      <c r="G39" s="191">
        <f>F39+F40</f>
        <v/>
      </c>
      <c r="H39" s="48" t="n"/>
      <c r="I39" s="48" t="n"/>
      <c r="J39" s="39" t="n"/>
      <c r="K39" s="39" t="n">
        <v>50</v>
      </c>
      <c r="L39" s="39" t="n">
        <v>1187</v>
      </c>
      <c r="M39" s="39" t="n"/>
      <c r="N39" s="42" t="n"/>
    </row>
    <row r="40">
      <c r="A40" s="62" t="n">
        <v>34</v>
      </c>
      <c r="B40" s="63" t="inlineStr">
        <is>
          <t>Night</t>
        </is>
      </c>
      <c r="C40" s="21">
        <f>C39</f>
        <v/>
      </c>
      <c r="D40" s="64">
        <f>E39</f>
        <v/>
      </c>
      <c r="E40" s="64" t="n">
        <v>1192</v>
      </c>
      <c r="F40" s="24">
        <f>E40-D40</f>
        <v/>
      </c>
      <c r="G40" s="192" t="n"/>
      <c r="H40" s="48" t="n"/>
      <c r="I40" s="48" t="n"/>
      <c r="J40" s="39" t="n"/>
      <c r="K40" s="39" t="n"/>
      <c r="L40" s="39" t="n"/>
      <c r="M40" s="39" t="n"/>
      <c r="N40" s="42" t="n"/>
    </row>
    <row r="41">
      <c r="A41" s="86" t="n">
        <v>35</v>
      </c>
      <c r="B41" s="87" t="inlineStr">
        <is>
          <t>Day</t>
        </is>
      </c>
      <c r="C41" s="88">
        <f>C39+1</f>
        <v/>
      </c>
      <c r="D41" s="76">
        <f>E40</f>
        <v/>
      </c>
      <c r="E41" s="76" t="n">
        <v>1196</v>
      </c>
      <c r="F41" s="89">
        <f>E41-D41</f>
        <v/>
      </c>
      <c r="G41" s="219">
        <f>F41+F42</f>
        <v/>
      </c>
      <c r="H41" s="94" t="n"/>
      <c r="I41" s="94" t="n"/>
      <c r="J41" s="95" t="n"/>
      <c r="K41" s="95" t="n"/>
      <c r="L41" s="95" t="n"/>
      <c r="M41" s="95" t="n"/>
      <c r="N41" s="96" t="n"/>
    </row>
    <row r="42">
      <c r="A42" s="86" t="n">
        <v>36</v>
      </c>
      <c r="B42" s="87" t="inlineStr">
        <is>
          <t>Night</t>
        </is>
      </c>
      <c r="C42" s="88">
        <f>C41</f>
        <v/>
      </c>
      <c r="D42" s="76">
        <f>E41</f>
        <v/>
      </c>
      <c r="E42" s="76" t="n">
        <v>1198</v>
      </c>
      <c r="F42" s="89">
        <f>E42-D42</f>
        <v/>
      </c>
      <c r="G42" s="192" t="n"/>
      <c r="H42" s="94" t="n"/>
      <c r="I42" s="94" t="n"/>
      <c r="J42" s="95" t="n"/>
      <c r="K42" s="95" t="n"/>
      <c r="L42" s="95" t="n"/>
      <c r="M42" s="95" t="n"/>
      <c r="N42" s="96" t="n"/>
    </row>
    <row r="43">
      <c r="A43" s="62" t="n">
        <v>37</v>
      </c>
      <c r="B43" s="63" t="inlineStr">
        <is>
          <t>Day</t>
        </is>
      </c>
      <c r="C43" s="21">
        <f>C41+1</f>
        <v/>
      </c>
      <c r="D43" s="64">
        <f>E42</f>
        <v/>
      </c>
      <c r="E43" s="64" t="n">
        <v>1202</v>
      </c>
      <c r="F43" s="24">
        <f>E43-D43</f>
        <v/>
      </c>
      <c r="G43" s="191">
        <f>F43+F44</f>
        <v/>
      </c>
      <c r="H43" s="48" t="n"/>
      <c r="I43" s="48" t="n"/>
      <c r="J43" s="39" t="n"/>
      <c r="K43" s="39" t="n">
        <v>40</v>
      </c>
      <c r="L43" s="39" t="n">
        <v>1199</v>
      </c>
      <c r="M43" s="39" t="n"/>
      <c r="N43" s="42" t="n"/>
    </row>
    <row r="44">
      <c r="A44" s="68" t="n">
        <v>38</v>
      </c>
      <c r="B44" s="69" t="inlineStr">
        <is>
          <t>Night</t>
        </is>
      </c>
      <c r="C44" s="21">
        <f>C43</f>
        <v/>
      </c>
      <c r="D44" s="64">
        <f>E43</f>
        <v/>
      </c>
      <c r="E44" s="64" t="n">
        <v>1206</v>
      </c>
      <c r="F44" s="24">
        <f>E44-D44</f>
        <v/>
      </c>
      <c r="G44" s="192" t="n"/>
      <c r="H44" s="48" t="n"/>
      <c r="I44" s="48" t="n"/>
      <c r="J44" s="39" t="n"/>
      <c r="K44" s="39" t="n"/>
      <c r="L44" s="39" t="n"/>
      <c r="M44" s="39" t="n"/>
      <c r="N44" s="42" t="n"/>
    </row>
    <row r="45">
      <c r="A45" s="70" t="n">
        <v>39</v>
      </c>
      <c r="B45" s="71" t="inlineStr">
        <is>
          <t>Day</t>
        </is>
      </c>
      <c r="C45" s="21">
        <f>C43+1</f>
        <v/>
      </c>
      <c r="D45" s="64">
        <f>E44</f>
        <v/>
      </c>
      <c r="E45" s="64" t="n">
        <v>1211</v>
      </c>
      <c r="F45" s="24">
        <f>E45-D45</f>
        <v/>
      </c>
      <c r="G45" s="191">
        <f>F45+F46</f>
        <v/>
      </c>
      <c r="H45" s="48" t="n"/>
      <c r="I45" s="48" t="n"/>
      <c r="J45" s="39" t="n"/>
      <c r="K45" s="39" t="n">
        <v>25</v>
      </c>
      <c r="L45" s="39" t="n">
        <v>1210</v>
      </c>
      <c r="M45" s="39" t="n"/>
      <c r="N45" s="42" t="n"/>
    </row>
    <row r="46">
      <c r="A46" s="70" t="n">
        <v>40</v>
      </c>
      <c r="B46" s="71" t="inlineStr">
        <is>
          <t>Night</t>
        </is>
      </c>
      <c r="C46" s="21">
        <f>C45</f>
        <v/>
      </c>
      <c r="D46" s="64">
        <f>E45</f>
        <v/>
      </c>
      <c r="E46" s="64" t="n">
        <v>1216</v>
      </c>
      <c r="F46" s="24">
        <f>E46-D46</f>
        <v/>
      </c>
      <c r="G46" s="192" t="n"/>
      <c r="H46" s="48" t="n"/>
      <c r="I46" s="48" t="n"/>
      <c r="J46" s="39" t="n"/>
      <c r="K46" s="39" t="n">
        <v>25</v>
      </c>
      <c r="L46" s="39" t="n">
        <v>1215</v>
      </c>
      <c r="M46" s="39" t="n"/>
      <c r="N46" s="42" t="n"/>
    </row>
    <row r="47">
      <c r="A47" s="72" t="n">
        <v>41</v>
      </c>
      <c r="B47" s="63" t="inlineStr">
        <is>
          <t>Day</t>
        </is>
      </c>
      <c r="C47" s="21">
        <f>C45+1</f>
        <v/>
      </c>
      <c r="D47" s="64">
        <f>E46</f>
        <v/>
      </c>
      <c r="E47" s="64" t="n">
        <v>1221</v>
      </c>
      <c r="F47" s="24">
        <f>E47-D47</f>
        <v/>
      </c>
      <c r="G47" s="191">
        <f>F47+F48</f>
        <v/>
      </c>
      <c r="H47" s="48" t="n"/>
      <c r="I47" s="48" t="n"/>
      <c r="J47" s="39" t="n"/>
      <c r="K47" s="39" t="n"/>
      <c r="L47" s="39" t="n"/>
      <c r="M47" s="39" t="n"/>
      <c r="N47" s="42" t="n"/>
    </row>
    <row r="48">
      <c r="A48" s="70" t="n">
        <v>42</v>
      </c>
      <c r="B48" s="63" t="inlineStr">
        <is>
          <t>Night</t>
        </is>
      </c>
      <c r="C48" s="21">
        <f>C47</f>
        <v/>
      </c>
      <c r="D48" s="64">
        <f>E47</f>
        <v/>
      </c>
      <c r="E48" s="64" t="n">
        <v>1223</v>
      </c>
      <c r="F48" s="24">
        <f>E48-D48</f>
        <v/>
      </c>
      <c r="G48" s="192" t="n"/>
      <c r="H48" s="48" t="n"/>
      <c r="I48" s="48" t="n"/>
      <c r="J48" s="39" t="n"/>
      <c r="K48" s="39" t="n">
        <v>25</v>
      </c>
      <c r="L48" s="39" t="n">
        <v>1221</v>
      </c>
      <c r="M48" s="39" t="n"/>
      <c r="N48" s="42" t="n"/>
    </row>
    <row r="49">
      <c r="A49" s="70" t="n">
        <v>43</v>
      </c>
      <c r="B49" s="63" t="inlineStr">
        <is>
          <t>Day</t>
        </is>
      </c>
      <c r="C49" s="21">
        <f>C47+1</f>
        <v/>
      </c>
      <c r="D49" s="64">
        <f>E48</f>
        <v/>
      </c>
      <c r="E49" s="64" t="n">
        <v>1226</v>
      </c>
      <c r="F49" s="24">
        <f>E49-D49</f>
        <v/>
      </c>
      <c r="G49" s="191">
        <f>F49+F50</f>
        <v/>
      </c>
      <c r="H49" s="48" t="n"/>
      <c r="I49" s="48" t="n"/>
      <c r="J49" s="39" t="n"/>
      <c r="K49" s="39" t="n"/>
      <c r="L49" s="39" t="n"/>
      <c r="M49" s="39" t="n"/>
      <c r="N49" s="42" t="n"/>
    </row>
    <row r="50">
      <c r="A50" s="70" t="n">
        <v>44</v>
      </c>
      <c r="B50" s="63" t="inlineStr">
        <is>
          <t>Night</t>
        </is>
      </c>
      <c r="C50" s="21">
        <f>C49</f>
        <v/>
      </c>
      <c r="D50" s="64">
        <f>E49</f>
        <v/>
      </c>
      <c r="E50" s="64" t="n">
        <v>1230</v>
      </c>
      <c r="F50" s="24">
        <f>E50-D50</f>
        <v/>
      </c>
      <c r="G50" s="192" t="n"/>
      <c r="H50" s="48" t="n"/>
      <c r="I50" s="48" t="n"/>
      <c r="J50" s="39" t="n"/>
      <c r="K50" s="39" t="n">
        <v>25</v>
      </c>
      <c r="L50" s="39" t="n">
        <v>1227</v>
      </c>
      <c r="M50" s="39" t="n"/>
      <c r="N50" s="42" t="n"/>
    </row>
    <row r="51">
      <c r="A51" s="70" t="n">
        <v>45</v>
      </c>
      <c r="B51" s="63" t="inlineStr">
        <is>
          <t>Day</t>
        </is>
      </c>
      <c r="C51" s="21">
        <f>C49+1</f>
        <v/>
      </c>
      <c r="D51" s="64">
        <f>E50</f>
        <v/>
      </c>
      <c r="E51" s="64" t="n">
        <v>1233</v>
      </c>
      <c r="F51" s="24">
        <f>E51-D51</f>
        <v/>
      </c>
      <c r="G51" s="191">
        <f>F51+F52</f>
        <v/>
      </c>
      <c r="H51" s="48" t="n"/>
      <c r="I51" s="48" t="n"/>
      <c r="J51" s="39" t="n"/>
      <c r="K51" s="39" t="n"/>
      <c r="L51" s="39" t="n"/>
      <c r="M51" s="39" t="n"/>
      <c r="N51" s="42" t="n"/>
    </row>
    <row r="52">
      <c r="A52" s="70" t="n">
        <v>46</v>
      </c>
      <c r="B52" s="63" t="inlineStr">
        <is>
          <t>Night</t>
        </is>
      </c>
      <c r="C52" s="21">
        <f>C51</f>
        <v/>
      </c>
      <c r="D52" s="64">
        <f>E51</f>
        <v/>
      </c>
      <c r="E52" s="64" t="n">
        <v>1234</v>
      </c>
      <c r="F52" s="24">
        <f>E52-D52</f>
        <v/>
      </c>
      <c r="G52" s="192" t="n"/>
      <c r="H52" s="48" t="n"/>
      <c r="I52" s="48" t="n"/>
      <c r="J52" s="39" t="n"/>
      <c r="K52" s="39" t="n"/>
      <c r="L52" s="39" t="n"/>
      <c r="M52" s="39" t="n"/>
      <c r="N52" s="42" t="n"/>
    </row>
    <row r="53">
      <c r="A53" s="70" t="n">
        <v>47</v>
      </c>
      <c r="B53" s="63" t="inlineStr">
        <is>
          <t>Day</t>
        </is>
      </c>
      <c r="C53" s="21">
        <f>C51+1</f>
        <v/>
      </c>
      <c r="D53" s="64">
        <f>E52</f>
        <v/>
      </c>
      <c r="E53" s="64" t="n">
        <v>1236</v>
      </c>
      <c r="F53" s="24">
        <f>E53-D53</f>
        <v/>
      </c>
      <c r="G53" s="191">
        <f>F53+F54</f>
        <v/>
      </c>
      <c r="H53" s="48" t="n"/>
      <c r="I53" s="48" t="n"/>
      <c r="J53" s="39" t="n"/>
      <c r="K53" s="39" t="n">
        <v>50</v>
      </c>
      <c r="L53" s="39" t="n">
        <v>1234</v>
      </c>
      <c r="M53" s="39" t="n"/>
      <c r="N53" s="42" t="n"/>
    </row>
    <row r="54">
      <c r="A54" s="70" t="n">
        <v>48</v>
      </c>
      <c r="B54" s="63" t="inlineStr">
        <is>
          <t>Night</t>
        </is>
      </c>
      <c r="C54" s="21">
        <f>C53</f>
        <v/>
      </c>
      <c r="D54" s="64">
        <f>E53</f>
        <v/>
      </c>
      <c r="E54" s="64" t="n">
        <v>1238</v>
      </c>
      <c r="F54" s="24">
        <f>E54-D54</f>
        <v/>
      </c>
      <c r="G54" s="192" t="n"/>
      <c r="H54" s="48" t="n"/>
      <c r="I54" s="48" t="n"/>
      <c r="J54" s="39" t="n"/>
      <c r="K54" s="39" t="n"/>
      <c r="L54" s="39" t="n"/>
      <c r="M54" s="39" t="n"/>
      <c r="N54" s="42" t="n"/>
    </row>
    <row r="55">
      <c r="A55" s="97" t="n">
        <v>49</v>
      </c>
      <c r="B55" s="87" t="inlineStr">
        <is>
          <t>Day</t>
        </is>
      </c>
      <c r="C55" s="88">
        <f>C53+1</f>
        <v/>
      </c>
      <c r="D55" s="76">
        <f>E54</f>
        <v/>
      </c>
      <c r="E55" s="76" t="n">
        <v>1239</v>
      </c>
      <c r="F55" s="89">
        <f>E55-D55</f>
        <v/>
      </c>
      <c r="G55" s="219">
        <f>F55+F56</f>
        <v/>
      </c>
      <c r="H55" s="94" t="n"/>
      <c r="I55" s="94" t="n"/>
      <c r="J55" s="95" t="n"/>
      <c r="K55" s="95" t="n"/>
      <c r="L55" s="95" t="n"/>
      <c r="M55" s="95" t="n"/>
      <c r="N55" s="96" t="n"/>
    </row>
    <row r="56">
      <c r="A56" s="97" t="n">
        <v>50</v>
      </c>
      <c r="B56" s="87" t="inlineStr">
        <is>
          <t>Night</t>
        </is>
      </c>
      <c r="C56" s="88">
        <f>C55</f>
        <v/>
      </c>
      <c r="D56" s="76">
        <f>E55</f>
        <v/>
      </c>
      <c r="E56" s="76" t="n">
        <v>1245</v>
      </c>
      <c r="F56" s="89">
        <f>E56-D56</f>
        <v/>
      </c>
      <c r="G56" s="192" t="n"/>
      <c r="H56" s="94" t="n"/>
      <c r="I56" s="94" t="n"/>
      <c r="J56" s="95" t="n"/>
      <c r="K56" s="95" t="n"/>
      <c r="L56" s="95" t="n"/>
      <c r="M56" s="95" t="n"/>
      <c r="N56" s="96" t="n"/>
    </row>
    <row r="57">
      <c r="A57" s="70" t="n">
        <v>51</v>
      </c>
      <c r="B57" s="63" t="inlineStr">
        <is>
          <t>Day</t>
        </is>
      </c>
      <c r="C57" s="21">
        <f>C55+1</f>
        <v/>
      </c>
      <c r="D57" s="64">
        <f>E56</f>
        <v/>
      </c>
      <c r="E57" s="64" t="n">
        <v>1246</v>
      </c>
      <c r="F57" s="24">
        <f>E57-D57</f>
        <v/>
      </c>
      <c r="G57" s="191">
        <f>F57+F58</f>
        <v/>
      </c>
      <c r="H57" s="48" t="n"/>
      <c r="I57" s="48" t="n"/>
      <c r="J57" s="39" t="n"/>
      <c r="K57" s="39" t="n"/>
      <c r="L57" s="39" t="n"/>
      <c r="M57" s="39" t="n"/>
      <c r="N57" s="42" t="n"/>
    </row>
    <row r="58">
      <c r="A58" s="70" t="n">
        <v>52</v>
      </c>
      <c r="B58" s="63" t="inlineStr">
        <is>
          <t>Night</t>
        </is>
      </c>
      <c r="C58" s="21">
        <f>C57</f>
        <v/>
      </c>
      <c r="D58" s="64">
        <f>E57</f>
        <v/>
      </c>
      <c r="E58" s="64" t="n">
        <v>1247</v>
      </c>
      <c r="F58" s="24">
        <f>E58-D58</f>
        <v/>
      </c>
      <c r="G58" s="192" t="n"/>
      <c r="H58" s="48" t="n"/>
      <c r="I58" s="48" t="n"/>
      <c r="J58" s="39" t="n"/>
      <c r="K58" s="39" t="n">
        <v>25</v>
      </c>
      <c r="L58" s="39" t="n">
        <v>1246</v>
      </c>
      <c r="M58" s="39" t="n"/>
      <c r="N58" s="42" t="n"/>
    </row>
    <row r="59">
      <c r="A59" s="70" t="n">
        <v>53</v>
      </c>
      <c r="B59" s="63" t="inlineStr">
        <is>
          <t>Day</t>
        </is>
      </c>
      <c r="C59" s="21">
        <f>C57+1</f>
        <v/>
      </c>
      <c r="D59" s="64">
        <f>E58</f>
        <v/>
      </c>
      <c r="E59" s="64" t="n">
        <v>1250</v>
      </c>
      <c r="F59" s="24">
        <f>E59-D59</f>
        <v/>
      </c>
      <c r="G59" s="191">
        <f>F59+F60</f>
        <v/>
      </c>
      <c r="H59" s="48" t="n"/>
      <c r="I59" s="48" t="n"/>
      <c r="J59" s="39" t="n"/>
      <c r="K59" s="39" t="n">
        <v>25</v>
      </c>
      <c r="L59" s="39" t="n">
        <v>1248</v>
      </c>
      <c r="M59" s="39" t="n"/>
      <c r="N59" s="42" t="n"/>
    </row>
    <row r="60">
      <c r="A60" s="70" t="n">
        <v>54</v>
      </c>
      <c r="B60" s="63" t="inlineStr">
        <is>
          <t>Night</t>
        </is>
      </c>
      <c r="C60" s="21">
        <f>C59</f>
        <v/>
      </c>
      <c r="D60" s="64">
        <f>E59</f>
        <v/>
      </c>
      <c r="E60" s="64" t="n">
        <v>1253</v>
      </c>
      <c r="F60" s="24">
        <f>E60-D60</f>
        <v/>
      </c>
      <c r="G60" s="192" t="n"/>
      <c r="H60" s="48" t="n"/>
      <c r="I60" s="48" t="n"/>
      <c r="J60" s="39" t="n"/>
      <c r="K60" s="39" t="n"/>
      <c r="L60" s="39" t="n"/>
      <c r="M60" s="39" t="n"/>
      <c r="N60" s="42" t="n"/>
    </row>
    <row r="61">
      <c r="A61" s="70" t="n">
        <v>55</v>
      </c>
      <c r="B61" s="63" t="inlineStr">
        <is>
          <t>Day</t>
        </is>
      </c>
      <c r="C61" s="21">
        <f>C59+1</f>
        <v/>
      </c>
      <c r="D61" s="64">
        <f>E60</f>
        <v/>
      </c>
      <c r="E61" s="64" t="n">
        <v>1258</v>
      </c>
      <c r="F61" s="24">
        <f>E61-D61</f>
        <v/>
      </c>
      <c r="G61" s="191">
        <f>F61+F62</f>
        <v/>
      </c>
      <c r="H61" s="48" t="n"/>
      <c r="I61" s="48" t="n"/>
      <c r="J61" s="39" t="n"/>
      <c r="K61" s="39" t="n">
        <v>25</v>
      </c>
      <c r="L61" s="39" t="n">
        <v>1254</v>
      </c>
      <c r="M61" s="39" t="n"/>
      <c r="N61" s="42" t="n"/>
    </row>
    <row r="62">
      <c r="A62" s="70" t="n">
        <v>56</v>
      </c>
      <c r="B62" s="63" t="inlineStr">
        <is>
          <t>Night</t>
        </is>
      </c>
      <c r="C62" s="21">
        <f>C61</f>
        <v/>
      </c>
      <c r="D62" s="64">
        <f>E61</f>
        <v/>
      </c>
      <c r="E62" s="64" t="n">
        <v>1260</v>
      </c>
      <c r="F62" s="24">
        <f>E62-D62</f>
        <v/>
      </c>
      <c r="G62" s="192" t="n"/>
      <c r="H62" s="48" t="n"/>
      <c r="I62" s="48" t="n"/>
      <c r="J62" s="39" t="n"/>
      <c r="K62" s="39" t="n"/>
      <c r="L62" s="39" t="n"/>
      <c r="M62" s="39" t="n"/>
      <c r="N62" s="42" t="n"/>
    </row>
    <row r="63">
      <c r="A63" s="70" t="n">
        <v>57</v>
      </c>
      <c r="B63" s="63" t="inlineStr">
        <is>
          <t>Day</t>
        </is>
      </c>
      <c r="C63" s="21">
        <f>C61+1</f>
        <v/>
      </c>
      <c r="D63" s="64">
        <f>E62</f>
        <v/>
      </c>
      <c r="E63" s="64" t="n">
        <v>1264</v>
      </c>
      <c r="F63" s="24">
        <f>E63-D63</f>
        <v/>
      </c>
      <c r="G63" s="191">
        <f>F63+F64</f>
        <v/>
      </c>
      <c r="H63" s="48" t="n"/>
      <c r="I63" s="48" t="n"/>
      <c r="J63" s="39" t="n"/>
      <c r="K63" s="39" t="n">
        <v>20</v>
      </c>
      <c r="L63" s="39" t="n">
        <v>1260</v>
      </c>
      <c r="M63" s="39" t="n"/>
      <c r="N63" s="42" t="n"/>
    </row>
    <row r="64">
      <c r="A64" s="70" t="n">
        <v>58</v>
      </c>
      <c r="B64" s="63" t="inlineStr">
        <is>
          <t>Night</t>
        </is>
      </c>
      <c r="C64" s="21">
        <f>C63</f>
        <v/>
      </c>
      <c r="D64" s="64">
        <f>E63</f>
        <v/>
      </c>
      <c r="E64" s="64" t="n">
        <v>1268</v>
      </c>
      <c r="F64" s="24">
        <f>E64-D64</f>
        <v/>
      </c>
      <c r="G64" s="192" t="n"/>
      <c r="H64" s="48" t="n"/>
      <c r="I64" s="48" t="n"/>
      <c r="J64" s="39" t="n"/>
      <c r="K64" s="39" t="n">
        <v>25</v>
      </c>
      <c r="L64" s="39" t="n">
        <v>1265</v>
      </c>
      <c r="M64" s="39" t="n"/>
      <c r="N64" s="42" t="n"/>
    </row>
    <row r="65">
      <c r="A65" s="70" t="n">
        <v>59</v>
      </c>
      <c r="B65" s="69" t="inlineStr">
        <is>
          <t>Day</t>
        </is>
      </c>
      <c r="C65" s="21">
        <f>C63+1</f>
        <v/>
      </c>
      <c r="D65" s="64">
        <f>E64</f>
        <v/>
      </c>
      <c r="E65" s="64" t="n">
        <v>1272</v>
      </c>
      <c r="F65" s="24">
        <f>E65-D65</f>
        <v/>
      </c>
      <c r="G65" s="191">
        <f>F65+F66</f>
        <v/>
      </c>
      <c r="H65" s="48" t="n"/>
      <c r="I65" s="48" t="n"/>
      <c r="J65" s="39" t="n"/>
      <c r="K65" s="39" t="n">
        <v>50</v>
      </c>
      <c r="L65" s="39" t="n">
        <v>1270</v>
      </c>
      <c r="M65" s="39" t="n"/>
      <c r="N65" s="42" t="n"/>
    </row>
    <row r="66">
      <c r="A66" s="73" t="n">
        <v>60</v>
      </c>
      <c r="B66" s="71" t="inlineStr">
        <is>
          <t>Night</t>
        </is>
      </c>
      <c r="C66" s="21">
        <f>C64+1</f>
        <v/>
      </c>
      <c r="D66" s="64">
        <f>E65</f>
        <v/>
      </c>
      <c r="E66" s="64" t="n">
        <v>1273</v>
      </c>
      <c r="F66" s="24">
        <f>E66-D66</f>
        <v/>
      </c>
      <c r="G66" s="192" t="n"/>
      <c r="H66" s="48" t="n"/>
      <c r="I66" s="48" t="n"/>
      <c r="J66" s="39" t="n"/>
      <c r="K66" s="39" t="n"/>
      <c r="L66" s="39" t="n"/>
      <c r="M66" s="39" t="n"/>
      <c r="N66" s="42" t="n"/>
    </row>
    <row r="67">
      <c r="A67" s="73" t="n">
        <v>61</v>
      </c>
      <c r="B67" s="71" t="inlineStr">
        <is>
          <t>Day</t>
        </is>
      </c>
      <c r="C67" s="21">
        <f>C65+1</f>
        <v/>
      </c>
      <c r="D67" s="64">
        <f>E66</f>
        <v/>
      </c>
      <c r="E67" s="64" t="n">
        <v>1278</v>
      </c>
      <c r="F67" s="24">
        <f>E67-D67</f>
        <v/>
      </c>
      <c r="G67" s="191">
        <f>F67+F68</f>
        <v/>
      </c>
      <c r="H67" s="48" t="n"/>
      <c r="I67" s="48" t="n"/>
      <c r="J67" s="39" t="n"/>
      <c r="K67" s="39" t="n"/>
      <c r="L67" s="39" t="n"/>
      <c r="M67" s="39" t="n"/>
      <c r="N67" s="42" t="n"/>
    </row>
    <row r="68" ht="15.75" customHeight="1" thickBot="1">
      <c r="A68" s="73" t="n">
        <v>62</v>
      </c>
      <c r="B68" s="69" t="inlineStr">
        <is>
          <t>Night</t>
        </is>
      </c>
      <c r="C68" s="21">
        <f>C66+1</f>
        <v/>
      </c>
      <c r="D68" s="64">
        <f>E67</f>
        <v/>
      </c>
      <c r="E68" s="64" t="n">
        <v>1279</v>
      </c>
      <c r="F68" s="24">
        <f>E68-D68</f>
        <v/>
      </c>
      <c r="G68" s="192" t="n"/>
      <c r="H68" s="48" t="n"/>
      <c r="I68" s="48" t="n"/>
      <c r="J68" s="39" t="n"/>
      <c r="K68" s="39" t="n"/>
      <c r="L68" s="39" t="n"/>
      <c r="M68" s="39" t="n"/>
      <c r="N68" s="42" t="n"/>
    </row>
    <row r="69" ht="15.75" customHeight="1" thickBot="1">
      <c r="A69" s="220" t="inlineStr">
        <is>
          <t>Total</t>
        </is>
      </c>
      <c r="B69" s="208" t="n"/>
      <c r="C69" s="208" t="n"/>
      <c r="D69" s="208" t="n"/>
      <c r="E69" s="209" t="n"/>
      <c r="F69" s="74">
        <f>SUM(F7:F68)</f>
        <v/>
      </c>
      <c r="G69" s="74">
        <f>SUM(G7:G68)</f>
        <v/>
      </c>
      <c r="H69" s="49" t="n"/>
      <c r="I69" s="50" t="n"/>
      <c r="J69" s="51" t="n"/>
      <c r="K69" s="74">
        <f>SUM(K7:K68)</f>
        <v/>
      </c>
      <c r="L69" s="51" t="n"/>
      <c r="M69" s="51" t="n"/>
      <c r="N69" s="52" t="n"/>
    </row>
    <row r="72" ht="15.75" customHeight="1">
      <c r="D72" s="195" t="inlineStr">
        <is>
          <t>Max hsd as per loi(5-6)</t>
        </is>
      </c>
      <c r="E72" s="189" t="n"/>
      <c r="F72" s="190" t="n"/>
      <c r="G72" s="195">
        <f>F69*6</f>
        <v/>
      </c>
    </row>
    <row r="73" ht="15.75" customHeight="1">
      <c r="D73" s="195" t="inlineStr">
        <is>
          <t>Actual diesel cosumption</t>
        </is>
      </c>
      <c r="E73" s="189" t="n"/>
      <c r="F73" s="190" t="n"/>
      <c r="G73" s="195">
        <f>K69</f>
        <v/>
      </c>
      <c r="H73" s="215" t="inlineStr">
        <is>
          <t>Billed No.</t>
        </is>
      </c>
      <c r="I73" s="190" t="n"/>
      <c r="J73" s="121" t="inlineStr">
        <is>
          <t>GJ/25-26/H/094</t>
        </is>
      </c>
      <c r="K73" s="216" t="inlineStr">
        <is>
          <t>AS per Mayur</t>
        </is>
      </c>
      <c r="L73" s="190" t="n"/>
    </row>
    <row r="74" ht="15.75" customHeight="1">
      <c r="D74" s="195" t="inlineStr">
        <is>
          <t>Fuel ecxess</t>
        </is>
      </c>
      <c r="E74" s="189" t="n"/>
      <c r="F74" s="190" t="n"/>
      <c r="G74" s="98">
        <f>G73-G72</f>
        <v/>
      </c>
      <c r="H74" s="213" t="inlineStr">
        <is>
          <t>Monthly Hiring Charges</t>
        </is>
      </c>
      <c r="I74" s="190" t="n"/>
      <c r="J74" s="222" t="n">
        <v>240000</v>
      </c>
      <c r="K74" s="133" t="inlineStr">
        <is>
          <t>Monthly</t>
        </is>
      </c>
      <c r="L74" s="134" t="n">
        <v>240000</v>
      </c>
    </row>
    <row r="75">
      <c r="H75" s="213" t="inlineStr">
        <is>
          <t>Per Day Charges (29 Days)</t>
        </is>
      </c>
      <c r="I75" s="190" t="n"/>
      <c r="J75" s="122">
        <f>J74/29</f>
        <v/>
      </c>
      <c r="K75" s="134" t="inlineStr">
        <is>
          <t>Per Day Charges (31 Days)</t>
        </is>
      </c>
      <c r="L75" s="135">
        <f>L74/31</f>
        <v/>
      </c>
    </row>
    <row r="76">
      <c r="H76" s="213" t="inlineStr">
        <is>
          <t>2 Days OT</t>
        </is>
      </c>
      <c r="I76" s="190" t="n"/>
      <c r="J76" s="122">
        <f>J75*2</f>
        <v/>
      </c>
      <c r="K76" s="133" t="inlineStr">
        <is>
          <t>18 % GST</t>
        </is>
      </c>
      <c r="L76" s="138">
        <f>L74*18%</f>
        <v/>
      </c>
    </row>
    <row r="77">
      <c r="H77" s="213" t="inlineStr">
        <is>
          <t>Billed Amount</t>
        </is>
      </c>
      <c r="I77" s="190" t="n"/>
      <c r="J77" s="122">
        <f>J74+J76</f>
        <v/>
      </c>
      <c r="K77" s="133" t="inlineStr">
        <is>
          <t>Final Bill Amount</t>
        </is>
      </c>
      <c r="L77" s="136">
        <f>L74+L76</f>
        <v/>
      </c>
    </row>
    <row r="78">
      <c r="H78" s="217" t="inlineStr">
        <is>
          <t>18% GST</t>
        </is>
      </c>
      <c r="I78" s="190" t="n"/>
      <c r="J78" s="122">
        <f>J77*18%</f>
        <v/>
      </c>
      <c r="K78" s="133" t="inlineStr">
        <is>
          <t>TDS</t>
        </is>
      </c>
      <c r="L78" s="133" t="n">
        <v>4800</v>
      </c>
    </row>
    <row r="79">
      <c r="H79" s="217" t="inlineStr">
        <is>
          <t>Net Billed</t>
        </is>
      </c>
      <c r="I79" s="190" t="n"/>
      <c r="J79" s="122">
        <f>J77+J78</f>
        <v/>
      </c>
      <c r="K79" s="133" t="inlineStr">
        <is>
          <t>Received</t>
        </is>
      </c>
      <c r="L79" s="133">
        <f>L77-L78</f>
        <v/>
      </c>
    </row>
    <row r="80">
      <c r="H80" s="215" t="inlineStr">
        <is>
          <t>Hold Amount</t>
        </is>
      </c>
      <c r="I80" s="190" t="n"/>
      <c r="J80" s="124" t="n">
        <v>24331</v>
      </c>
    </row>
    <row r="81">
      <c r="H81" s="217" t="inlineStr">
        <is>
          <t>Received</t>
        </is>
      </c>
      <c r="I81" s="190" t="n"/>
      <c r="J81" s="123">
        <f>J79-J80</f>
        <v/>
      </c>
    </row>
    <row r="83">
      <c r="J83" s="137" t="inlineStr">
        <is>
          <t>Hold Amount</t>
        </is>
      </c>
      <c r="K83" s="137" t="inlineStr">
        <is>
          <t>CN (Hold Amt-TDS)</t>
        </is>
      </c>
    </row>
    <row r="84">
      <c r="J84" s="137">
        <f>J80</f>
        <v/>
      </c>
      <c r="K84" s="137">
        <f>J84-L78</f>
        <v/>
      </c>
    </row>
  </sheetData>
  <mergeCells count="55">
    <mergeCell ref="A5:D5"/>
    <mergeCell ref="G67:G68"/>
    <mergeCell ref="G43:G44"/>
    <mergeCell ref="G23:G24"/>
    <mergeCell ref="G61:G62"/>
    <mergeCell ref="G57:G58"/>
    <mergeCell ref="G17:G18"/>
    <mergeCell ref="H78:I78"/>
    <mergeCell ref="A4:D4"/>
    <mergeCell ref="G13:G14"/>
    <mergeCell ref="G7:G8"/>
    <mergeCell ref="G39:G40"/>
    <mergeCell ref="G19:G20"/>
    <mergeCell ref="H74:I74"/>
    <mergeCell ref="D72:F72"/>
    <mergeCell ref="A69:E69"/>
    <mergeCell ref="G53:G54"/>
    <mergeCell ref="H73:I73"/>
    <mergeCell ref="G65:G66"/>
    <mergeCell ref="E3:N3"/>
    <mergeCell ref="G37:G38"/>
    <mergeCell ref="G15:G16"/>
    <mergeCell ref="D74:F74"/>
    <mergeCell ref="G55:G56"/>
    <mergeCell ref="G49:G50"/>
    <mergeCell ref="H79:I79"/>
    <mergeCell ref="D73:F73"/>
    <mergeCell ref="G29:G30"/>
    <mergeCell ref="A1:D1"/>
    <mergeCell ref="E5:N5"/>
    <mergeCell ref="G63:G64"/>
    <mergeCell ref="G33:G34"/>
    <mergeCell ref="G51:G52"/>
    <mergeCell ref="E4:N4"/>
    <mergeCell ref="H81:I81"/>
    <mergeCell ref="H75:I75"/>
    <mergeCell ref="G45:G46"/>
    <mergeCell ref="G25:G26"/>
    <mergeCell ref="G41:G42"/>
    <mergeCell ref="G59:G60"/>
    <mergeCell ref="H80:I80"/>
    <mergeCell ref="G35:G36"/>
    <mergeCell ref="E1:N1"/>
    <mergeCell ref="G9:G10"/>
    <mergeCell ref="H77:I77"/>
    <mergeCell ref="K73:L73"/>
    <mergeCell ref="G27:G28"/>
    <mergeCell ref="G47:G48"/>
    <mergeCell ref="A3:D3"/>
    <mergeCell ref="H76:I76"/>
    <mergeCell ref="G21:G22"/>
    <mergeCell ref="G31:G32"/>
    <mergeCell ref="A2:D2"/>
    <mergeCell ref="G11:G12"/>
    <mergeCell ref="E2:N2"/>
  </mergeCells>
  <pageMargins left="0.22" right="0.17" top="0.75" bottom="0.75" header="0.3" footer="0.3"/>
  <pageSetup orientation="portrait" scale="54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77"/>
  <sheetViews>
    <sheetView topLeftCell="A46" zoomScale="85" zoomScaleNormal="85" workbookViewId="0">
      <selection activeCell="C67" sqref="C67"/>
    </sheetView>
  </sheetViews>
  <sheetFormatPr baseColWidth="8" defaultRowHeight="15"/>
  <cols>
    <col width="16.5703125" customWidth="1" min="1" max="1"/>
    <col width="7.85546875" bestFit="1" customWidth="1" min="4" max="4"/>
    <col width="8.7109375" customWidth="1" min="8" max="8"/>
    <col width="36.5703125" bestFit="1" customWidth="1" min="9" max="9"/>
    <col width="9.28515625" bestFit="1" customWidth="1" min="10" max="10"/>
  </cols>
  <sheetData>
    <row r="1" ht="15" customHeight="1">
      <c r="A1" s="194" t="inlineStr">
        <is>
          <t xml:space="preserve">Vendor Description  </t>
        </is>
      </c>
      <c r="B1" s="189" t="n"/>
      <c r="C1" s="189" t="n"/>
      <c r="D1" s="190" t="n"/>
      <c r="E1" s="204" t="inlineStr">
        <is>
          <t>EKTA ENTERPRISES</t>
        </is>
      </c>
      <c r="F1" s="205" t="n"/>
      <c r="G1" s="205" t="n"/>
      <c r="H1" s="205" t="n"/>
      <c r="I1" s="205" t="n"/>
      <c r="J1" s="205" t="n"/>
      <c r="K1" s="205" t="n"/>
      <c r="L1" s="205" t="n"/>
      <c r="M1" s="205" t="n"/>
      <c r="N1" s="206" t="n"/>
    </row>
    <row r="2" ht="15" customHeight="1">
      <c r="A2" s="194" t="inlineStr">
        <is>
          <t xml:space="preserve">Asset  Discription  </t>
        </is>
      </c>
      <c r="B2" s="189" t="n"/>
      <c r="C2" s="189" t="n"/>
      <c r="D2" s="190" t="n"/>
      <c r="E2" s="197" t="inlineStr">
        <is>
          <t xml:space="preserve">XCMG Crawler CRANE </t>
        </is>
      </c>
      <c r="F2" s="198" t="n"/>
      <c r="G2" s="198" t="n"/>
      <c r="H2" s="198" t="n"/>
      <c r="I2" s="198" t="n"/>
      <c r="J2" s="198" t="n"/>
      <c r="K2" s="198" t="n"/>
      <c r="L2" s="198" t="n"/>
      <c r="M2" s="198" t="n"/>
      <c r="N2" s="199" t="n"/>
    </row>
    <row r="3" ht="15" customHeight="1">
      <c r="A3" s="194" t="inlineStr">
        <is>
          <t xml:space="preserve">Asset  Capacity  </t>
        </is>
      </c>
      <c r="B3" s="189" t="n"/>
      <c r="C3" s="189" t="n"/>
      <c r="D3" s="190" t="n"/>
      <c r="E3" s="197" t="inlineStr">
        <is>
          <t>45 Ton</t>
        </is>
      </c>
      <c r="F3" s="198" t="n"/>
      <c r="G3" s="198" t="n"/>
      <c r="H3" s="198" t="n"/>
      <c r="I3" s="198" t="n"/>
      <c r="J3" s="198" t="n"/>
      <c r="K3" s="198" t="n"/>
      <c r="L3" s="198" t="n"/>
      <c r="M3" s="198" t="n"/>
      <c r="N3" s="199" t="n"/>
    </row>
    <row r="4" ht="15" customHeight="1">
      <c r="A4" s="194" t="inlineStr">
        <is>
          <t xml:space="preserve">Billing Period  </t>
        </is>
      </c>
      <c r="B4" s="189" t="n"/>
      <c r="C4" s="189" t="n"/>
      <c r="D4" s="190" t="n"/>
      <c r="E4" s="203" t="inlineStr">
        <is>
          <t>01-2-2026 TO 28-2-2026</t>
        </is>
      </c>
      <c r="F4" s="198" t="n"/>
      <c r="G4" s="198" t="n"/>
      <c r="H4" s="198" t="n"/>
      <c r="I4" s="198" t="n"/>
      <c r="J4" s="198" t="n"/>
      <c r="K4" s="198" t="n"/>
      <c r="L4" s="198" t="n"/>
      <c r="M4" s="198" t="n"/>
      <c r="N4" s="199" t="n"/>
    </row>
    <row r="5" ht="21.75" customHeight="1" thickBot="1">
      <c r="A5" s="214" t="inlineStr">
        <is>
          <t>COMPANY  NAME</t>
        </is>
      </c>
      <c r="B5" s="189" t="n"/>
      <c r="C5" s="189" t="n"/>
      <c r="D5" s="190" t="n"/>
      <c r="E5" s="218" t="inlineStr">
        <is>
          <t>Sygnific infra Pvt. Ltd. Ahemdabaad</t>
        </is>
      </c>
      <c r="F5" s="201" t="n"/>
      <c r="G5" s="201" t="n"/>
      <c r="H5" s="201" t="n"/>
      <c r="I5" s="201" t="n"/>
      <c r="J5" s="201" t="n"/>
      <c r="K5" s="201" t="n"/>
      <c r="L5" s="201" t="n"/>
      <c r="M5" s="201" t="n"/>
      <c r="N5" s="202" t="n"/>
    </row>
    <row r="6" ht="45.75" customHeight="1" thickBot="1">
      <c r="A6" s="53" t="inlineStr">
        <is>
          <t>SR. NO.</t>
        </is>
      </c>
      <c r="B6" s="53" t="inlineStr">
        <is>
          <t>Shift</t>
        </is>
      </c>
      <c r="C6" s="54" t="inlineStr">
        <is>
          <t>Date</t>
        </is>
      </c>
      <c r="D6" s="54" t="inlineStr">
        <is>
          <t>Starting HMR</t>
        </is>
      </c>
      <c r="E6" s="55" t="inlineStr">
        <is>
          <t>Closing    HMR</t>
        </is>
      </c>
      <c r="F6" s="56" t="inlineStr">
        <is>
          <t>HMR</t>
        </is>
      </c>
      <c r="G6" s="57" t="inlineStr">
        <is>
          <t>Normal  Shift
Hours</t>
        </is>
      </c>
      <c r="H6" s="58" t="inlineStr">
        <is>
          <t>BD Start</t>
        </is>
      </c>
      <c r="I6" s="59" t="inlineStr">
        <is>
          <t>BD End</t>
        </is>
      </c>
      <c r="J6" s="60" t="inlineStr">
        <is>
          <t>Total B/D</t>
        </is>
      </c>
      <c r="K6" s="61" t="inlineStr">
        <is>
          <t>Diesel  issued</t>
        </is>
      </c>
      <c r="L6" s="60" t="inlineStr">
        <is>
          <t>Diesel HMR</t>
        </is>
      </c>
      <c r="M6" s="60" t="inlineStr">
        <is>
          <t>Hours</t>
        </is>
      </c>
      <c r="N6" s="60" t="inlineStr">
        <is>
          <t>Remark</t>
        </is>
      </c>
    </row>
    <row r="7">
      <c r="A7" s="86" t="n">
        <v>1</v>
      </c>
      <c r="B7" s="87" t="inlineStr">
        <is>
          <t>Day</t>
        </is>
      </c>
      <c r="C7" s="88" t="n">
        <v>46054</v>
      </c>
      <c r="D7" s="76" t="n">
        <v>1279</v>
      </c>
      <c r="E7" s="77" t="n">
        <v>1282</v>
      </c>
      <c r="F7" s="89">
        <f>E7-D7</f>
        <v/>
      </c>
      <c r="G7" s="221">
        <f>F7+F8</f>
        <v/>
      </c>
      <c r="H7" s="117" t="n"/>
      <c r="I7" s="117" t="n"/>
      <c r="J7" s="117" t="n"/>
      <c r="K7" s="117" t="n">
        <v>25</v>
      </c>
      <c r="L7" s="95" t="n">
        <v>1282</v>
      </c>
      <c r="M7" s="118" t="n"/>
      <c r="N7" s="119" t="n"/>
    </row>
    <row r="8">
      <c r="A8" s="86" t="n">
        <v>2</v>
      </c>
      <c r="B8" s="87" t="inlineStr">
        <is>
          <t>Night</t>
        </is>
      </c>
      <c r="C8" s="88">
        <f>C7</f>
        <v/>
      </c>
      <c r="D8" s="76">
        <f>E7</f>
        <v/>
      </c>
      <c r="E8" s="77" t="n">
        <v>1286</v>
      </c>
      <c r="F8" s="89">
        <f>E8-D8</f>
        <v/>
      </c>
      <c r="G8" s="192" t="n"/>
      <c r="H8" s="120" t="n"/>
      <c r="I8" s="120" t="n"/>
      <c r="J8" s="91" t="n"/>
      <c r="K8" s="91" t="n"/>
      <c r="L8" s="95" t="n"/>
      <c r="M8" s="95" t="n"/>
      <c r="N8" s="96" t="n"/>
    </row>
    <row r="9">
      <c r="A9" s="62" t="n">
        <v>3</v>
      </c>
      <c r="B9" s="63" t="inlineStr">
        <is>
          <t>Day</t>
        </is>
      </c>
      <c r="C9" s="21">
        <f>C7+1</f>
        <v/>
      </c>
      <c r="D9" s="64">
        <f>E8</f>
        <v/>
      </c>
      <c r="E9" s="65" t="n">
        <v>1290</v>
      </c>
      <c r="F9" s="24">
        <f>E9-D9</f>
        <v/>
      </c>
      <c r="G9" s="191">
        <f>F9+F10</f>
        <v/>
      </c>
      <c r="H9" s="44" t="n"/>
      <c r="I9" s="44" t="n"/>
      <c r="J9" s="41" t="n"/>
      <c r="K9" s="41" t="n">
        <v>30</v>
      </c>
      <c r="L9" s="41" t="n">
        <v>1287</v>
      </c>
      <c r="M9" s="41" t="n"/>
      <c r="N9" s="42" t="n"/>
    </row>
    <row r="10">
      <c r="A10" s="62" t="n">
        <v>4</v>
      </c>
      <c r="B10" s="63" t="inlineStr">
        <is>
          <t>Night</t>
        </is>
      </c>
      <c r="C10" s="21">
        <f>C9</f>
        <v/>
      </c>
      <c r="D10" s="64">
        <f>E9</f>
        <v/>
      </c>
      <c r="E10" s="65" t="n">
        <v>1297</v>
      </c>
      <c r="F10" s="24">
        <f>E10-D10</f>
        <v/>
      </c>
      <c r="G10" s="192" t="n"/>
      <c r="H10" s="44" t="n"/>
      <c r="I10" s="44" t="n"/>
      <c r="J10" s="41" t="n"/>
      <c r="K10" s="41" t="n">
        <v>25</v>
      </c>
      <c r="L10" s="41" t="n">
        <v>1294</v>
      </c>
      <c r="M10" s="41" t="n"/>
      <c r="N10" s="42" t="n"/>
    </row>
    <row r="11">
      <c r="A11" s="62" t="n">
        <v>5</v>
      </c>
      <c r="B11" s="63" t="inlineStr">
        <is>
          <t>Day</t>
        </is>
      </c>
      <c r="C11" s="21">
        <f>C9+1</f>
        <v/>
      </c>
      <c r="D11" s="64">
        <f>E10</f>
        <v/>
      </c>
      <c r="E11" s="65" t="n">
        <v>1301</v>
      </c>
      <c r="F11" s="24">
        <f>E11-D11</f>
        <v/>
      </c>
      <c r="G11" s="191">
        <f>F11+F12</f>
        <v/>
      </c>
      <c r="H11" s="99" t="n"/>
      <c r="I11" s="99" t="n"/>
      <c r="J11" s="100" t="n"/>
      <c r="K11" s="101" t="n"/>
      <c r="L11" s="101" t="n"/>
      <c r="M11" s="101" t="n"/>
      <c r="N11" s="102" t="n"/>
    </row>
    <row r="12">
      <c r="A12" s="62" t="n">
        <v>6</v>
      </c>
      <c r="B12" s="63" t="inlineStr">
        <is>
          <t>Night</t>
        </is>
      </c>
      <c r="C12" s="21">
        <f>C11</f>
        <v/>
      </c>
      <c r="D12" s="64">
        <f>E11</f>
        <v/>
      </c>
      <c r="E12" s="65" t="n">
        <v>1303</v>
      </c>
      <c r="F12" s="24">
        <f>E12-D12</f>
        <v/>
      </c>
      <c r="G12" s="192" t="n"/>
      <c r="H12" s="99" t="n"/>
      <c r="I12" s="99" t="n"/>
      <c r="J12" s="101" t="n"/>
      <c r="K12" s="101" t="n">
        <v>20</v>
      </c>
      <c r="L12" s="101" t="n">
        <v>1301</v>
      </c>
      <c r="M12" s="101" t="n"/>
      <c r="N12" s="102" t="n"/>
    </row>
    <row r="13">
      <c r="A13" s="62" t="n">
        <v>7</v>
      </c>
      <c r="B13" s="63" t="inlineStr">
        <is>
          <t>Day</t>
        </is>
      </c>
      <c r="C13" s="21">
        <f>C11+1</f>
        <v/>
      </c>
      <c r="D13" s="64">
        <f>E12</f>
        <v/>
      </c>
      <c r="E13" s="65" t="n">
        <v>1309</v>
      </c>
      <c r="F13" s="24">
        <f>E13-D13</f>
        <v/>
      </c>
      <c r="G13" s="191">
        <f>F13+F14</f>
        <v/>
      </c>
      <c r="H13" s="99" t="n"/>
      <c r="I13" s="99" t="n"/>
      <c r="J13" s="101" t="n"/>
      <c r="K13" s="101" t="n">
        <v>50</v>
      </c>
      <c r="L13" s="101" t="n">
        <v>1303</v>
      </c>
      <c r="M13" s="101" t="n"/>
      <c r="N13" s="102" t="n"/>
    </row>
    <row r="14">
      <c r="A14" s="62" t="n">
        <v>8</v>
      </c>
      <c r="B14" s="63" t="inlineStr">
        <is>
          <t>Night</t>
        </is>
      </c>
      <c r="C14" s="21">
        <f>C13</f>
        <v/>
      </c>
      <c r="D14" s="64">
        <f>E13</f>
        <v/>
      </c>
      <c r="E14" s="65" t="n">
        <v>1310</v>
      </c>
      <c r="F14" s="24">
        <f>E14-D14</f>
        <v/>
      </c>
      <c r="G14" s="192" t="n"/>
      <c r="H14" s="99" t="n"/>
      <c r="I14" s="99" t="n"/>
      <c r="J14" s="101" t="n"/>
      <c r="K14" s="101" t="n"/>
      <c r="L14" s="101" t="n"/>
      <c r="M14" s="101" t="n"/>
      <c r="N14" s="102" t="n"/>
    </row>
    <row r="15">
      <c r="A15" s="62" t="n">
        <v>9</v>
      </c>
      <c r="B15" s="63" t="inlineStr">
        <is>
          <t>Day</t>
        </is>
      </c>
      <c r="C15" s="21">
        <f>C13+1</f>
        <v/>
      </c>
      <c r="D15" s="64">
        <f>E14</f>
        <v/>
      </c>
      <c r="E15" s="65" t="n">
        <v>1314</v>
      </c>
      <c r="F15" s="24">
        <f>E15-D15</f>
        <v/>
      </c>
      <c r="G15" s="191">
        <f>F15+F16</f>
        <v/>
      </c>
      <c r="H15" s="99" t="n"/>
      <c r="I15" s="99" t="n"/>
      <c r="J15" s="101" t="n"/>
      <c r="K15" s="101" t="n"/>
      <c r="L15" s="101" t="n"/>
      <c r="M15" s="101" t="n"/>
      <c r="N15" s="102" t="n"/>
    </row>
    <row r="16">
      <c r="A16" s="62" t="n">
        <v>10</v>
      </c>
      <c r="B16" s="63" t="inlineStr">
        <is>
          <t>Night</t>
        </is>
      </c>
      <c r="C16" s="21">
        <f>C15</f>
        <v/>
      </c>
      <c r="D16" s="64">
        <f>E15</f>
        <v/>
      </c>
      <c r="E16" s="65" t="n">
        <v>1318</v>
      </c>
      <c r="F16" s="24">
        <f>E16-D16</f>
        <v/>
      </c>
      <c r="G16" s="192" t="n"/>
      <c r="H16" s="99" t="n"/>
      <c r="I16" s="99" t="n"/>
      <c r="J16" s="101" t="n"/>
      <c r="K16" s="101" t="n">
        <v>25</v>
      </c>
      <c r="L16" s="101" t="n">
        <v>1317</v>
      </c>
      <c r="M16" s="101" t="n"/>
      <c r="N16" s="102" t="n"/>
    </row>
    <row r="17">
      <c r="A17" s="62" t="n">
        <v>11</v>
      </c>
      <c r="B17" s="63" t="inlineStr">
        <is>
          <t>Day</t>
        </is>
      </c>
      <c r="C17" s="21">
        <f>C15+1</f>
        <v/>
      </c>
      <c r="D17" s="64">
        <f>E16</f>
        <v/>
      </c>
      <c r="E17" s="65" t="n">
        <v>1325</v>
      </c>
      <c r="F17" s="24">
        <f>E17-D17</f>
        <v/>
      </c>
      <c r="G17" s="191">
        <f>F17+F18</f>
        <v/>
      </c>
      <c r="H17" s="99" t="n"/>
      <c r="I17" s="99" t="n"/>
      <c r="J17" s="101" t="n"/>
      <c r="K17" s="101" t="n">
        <v>25</v>
      </c>
      <c r="L17" s="101" t="n">
        <v>1323</v>
      </c>
      <c r="M17" s="101" t="n"/>
      <c r="N17" s="102" t="n"/>
    </row>
    <row r="18">
      <c r="A18" s="62" t="n">
        <v>12</v>
      </c>
      <c r="B18" s="63" t="inlineStr">
        <is>
          <t>Night</t>
        </is>
      </c>
      <c r="C18" s="21">
        <f>C17</f>
        <v/>
      </c>
      <c r="D18" s="64">
        <f>E17</f>
        <v/>
      </c>
      <c r="E18" s="65" t="n">
        <v>1329</v>
      </c>
      <c r="F18" s="24">
        <f>E18-D18</f>
        <v/>
      </c>
      <c r="G18" s="192" t="n"/>
      <c r="H18" s="99" t="n"/>
      <c r="I18" s="99" t="n"/>
      <c r="J18" s="101" t="n"/>
      <c r="K18" s="101" t="n">
        <v>25</v>
      </c>
      <c r="L18" s="101" t="n">
        <v>1328</v>
      </c>
      <c r="M18" s="101" t="n"/>
      <c r="N18" s="102" t="n"/>
    </row>
    <row r="19">
      <c r="A19" s="62" t="n">
        <v>13</v>
      </c>
      <c r="B19" s="63" t="inlineStr">
        <is>
          <t>Day</t>
        </is>
      </c>
      <c r="C19" s="21">
        <f>C17+1</f>
        <v/>
      </c>
      <c r="D19" s="64">
        <f>E18</f>
        <v/>
      </c>
      <c r="E19" s="67" t="n">
        <v>1333</v>
      </c>
      <c r="F19" s="24">
        <f>E19-D19</f>
        <v/>
      </c>
      <c r="G19" s="191">
        <f>F19+F20</f>
        <v/>
      </c>
      <c r="H19" s="99" t="n"/>
      <c r="I19" s="99" t="n"/>
      <c r="J19" s="101" t="n"/>
      <c r="K19" s="101" t="n">
        <v>25</v>
      </c>
      <c r="L19" s="101" t="n">
        <v>1332</v>
      </c>
      <c r="M19" s="101" t="n"/>
      <c r="N19" s="102" t="n"/>
    </row>
    <row r="20">
      <c r="A20" s="62" t="n">
        <v>14</v>
      </c>
      <c r="B20" s="63" t="inlineStr">
        <is>
          <t>Night</t>
        </is>
      </c>
      <c r="C20" s="21">
        <f>C19</f>
        <v/>
      </c>
      <c r="D20" s="64">
        <f>E19</f>
        <v/>
      </c>
      <c r="E20" s="67" t="n">
        <v>1336</v>
      </c>
      <c r="F20" s="24">
        <f>E20-D20</f>
        <v/>
      </c>
      <c r="G20" s="192" t="n"/>
      <c r="H20" s="99" t="n"/>
      <c r="I20" s="99" t="n"/>
      <c r="J20" s="101" t="n"/>
      <c r="K20" s="101" t="n"/>
      <c r="L20" s="101" t="n"/>
      <c r="M20" s="101" t="n"/>
      <c r="N20" s="102" t="n"/>
    </row>
    <row r="21">
      <c r="A21" s="86" t="n">
        <v>15</v>
      </c>
      <c r="B21" s="87" t="inlineStr">
        <is>
          <t>Day</t>
        </is>
      </c>
      <c r="C21" s="88">
        <f>C19+1</f>
        <v/>
      </c>
      <c r="D21" s="76">
        <f>E20</f>
        <v/>
      </c>
      <c r="E21" s="93" t="n">
        <v>1340</v>
      </c>
      <c r="F21" s="89">
        <f>E21-D21</f>
        <v/>
      </c>
      <c r="G21" s="193">
        <f>F21+F22</f>
        <v/>
      </c>
      <c r="H21" s="90" t="n"/>
      <c r="I21" s="90" t="n"/>
      <c r="J21" s="91" t="n"/>
      <c r="K21" s="91" t="n"/>
      <c r="L21" s="91" t="n"/>
      <c r="M21" s="91" t="n"/>
      <c r="N21" s="92" t="n"/>
    </row>
    <row r="22">
      <c r="A22" s="86" t="n">
        <v>16</v>
      </c>
      <c r="B22" s="87" t="inlineStr">
        <is>
          <t>Night</t>
        </is>
      </c>
      <c r="C22" s="88">
        <f>C21</f>
        <v/>
      </c>
      <c r="D22" s="76">
        <f>E21</f>
        <v/>
      </c>
      <c r="E22" s="93" t="n">
        <v>1350</v>
      </c>
      <c r="F22" s="89">
        <f>E22-D22</f>
        <v/>
      </c>
      <c r="G22" s="192" t="n"/>
      <c r="H22" s="90" t="n"/>
      <c r="I22" s="90" t="n"/>
      <c r="J22" s="91" t="n"/>
      <c r="K22" s="91" t="n">
        <v>25</v>
      </c>
      <c r="L22" s="91" t="n">
        <v>1345</v>
      </c>
      <c r="M22" s="91" t="n"/>
      <c r="N22" s="92" t="n"/>
    </row>
    <row r="23">
      <c r="A23" s="62" t="n">
        <v>17</v>
      </c>
      <c r="B23" s="63" t="inlineStr">
        <is>
          <t>Day</t>
        </is>
      </c>
      <c r="C23" s="21">
        <f>C21+1</f>
        <v/>
      </c>
      <c r="D23" s="64">
        <f>E22</f>
        <v/>
      </c>
      <c r="E23" s="67" t="n">
        <v>1353</v>
      </c>
      <c r="F23" s="24">
        <f>E23-D23</f>
        <v/>
      </c>
      <c r="G23" s="191">
        <f>F23+F24</f>
        <v/>
      </c>
      <c r="H23" s="99" t="n"/>
      <c r="I23" s="99" t="n"/>
      <c r="J23" s="101" t="n"/>
      <c r="K23" s="101" t="n">
        <v>25</v>
      </c>
      <c r="L23" s="101" t="n">
        <v>1350</v>
      </c>
      <c r="M23" s="101" t="n"/>
      <c r="N23" s="102" t="n"/>
    </row>
    <row r="24">
      <c r="A24" s="62" t="n">
        <v>18</v>
      </c>
      <c r="B24" s="63" t="inlineStr">
        <is>
          <t>Night</t>
        </is>
      </c>
      <c r="C24" s="21">
        <f>C23</f>
        <v/>
      </c>
      <c r="D24" s="64">
        <f>E23</f>
        <v/>
      </c>
      <c r="E24" s="67" t="n">
        <v>1355</v>
      </c>
      <c r="F24" s="24">
        <f>E24-D24</f>
        <v/>
      </c>
      <c r="G24" s="192" t="n"/>
      <c r="H24" s="99" t="n"/>
      <c r="I24" s="99" t="n"/>
      <c r="J24" s="101" t="n"/>
      <c r="K24" s="101" t="n"/>
      <c r="L24" s="101" t="n"/>
      <c r="M24" s="101" t="n"/>
      <c r="N24" s="102" t="n"/>
    </row>
    <row r="25">
      <c r="A25" s="62" t="n">
        <v>19</v>
      </c>
      <c r="B25" s="63" t="inlineStr">
        <is>
          <t>Day</t>
        </is>
      </c>
      <c r="C25" s="21">
        <f>C23+1</f>
        <v/>
      </c>
      <c r="D25" s="64">
        <f>E24</f>
        <v/>
      </c>
      <c r="E25" s="67" t="n">
        <v>1359</v>
      </c>
      <c r="F25" s="24">
        <f>E25-D25</f>
        <v/>
      </c>
      <c r="G25" s="191">
        <f>F25+F26</f>
        <v/>
      </c>
      <c r="H25" s="99" t="n"/>
      <c r="I25" s="99" t="n"/>
      <c r="J25" s="101" t="n"/>
      <c r="K25" s="101" t="n">
        <v>25</v>
      </c>
      <c r="L25" s="101" t="n">
        <v>1355</v>
      </c>
      <c r="M25" s="101" t="n"/>
      <c r="N25" s="102" t="n"/>
    </row>
    <row r="26">
      <c r="A26" s="62" t="n">
        <v>20</v>
      </c>
      <c r="B26" s="63" t="inlineStr">
        <is>
          <t>Night</t>
        </is>
      </c>
      <c r="C26" s="21">
        <f>C25</f>
        <v/>
      </c>
      <c r="D26" s="64">
        <f>E25</f>
        <v/>
      </c>
      <c r="E26" s="67" t="n">
        <v>1363</v>
      </c>
      <c r="F26" s="24">
        <f>E26-D26</f>
        <v/>
      </c>
      <c r="G26" s="192" t="n"/>
      <c r="H26" s="99" t="n"/>
      <c r="I26" s="99" t="n"/>
      <c r="J26" s="101" t="n"/>
      <c r="K26" s="101" t="n">
        <v>25</v>
      </c>
      <c r="L26" s="101" t="n">
        <v>1359</v>
      </c>
      <c r="M26" s="101" t="n"/>
      <c r="N26" s="102" t="n"/>
    </row>
    <row r="27">
      <c r="A27" s="62" t="n">
        <v>21</v>
      </c>
      <c r="B27" s="63" t="inlineStr">
        <is>
          <t>Day</t>
        </is>
      </c>
      <c r="C27" s="21">
        <f>C25+1</f>
        <v/>
      </c>
      <c r="D27" s="64">
        <f>E26</f>
        <v/>
      </c>
      <c r="E27" s="67" t="n">
        <v>1365</v>
      </c>
      <c r="F27" s="24">
        <f>E27-D27</f>
        <v/>
      </c>
      <c r="G27" s="191">
        <f>F27+F28</f>
        <v/>
      </c>
      <c r="H27" s="99" t="n"/>
      <c r="I27" s="99" t="n"/>
      <c r="J27" s="101" t="n"/>
      <c r="K27" s="101" t="n"/>
      <c r="L27" s="101" t="n"/>
      <c r="M27" s="101" t="n"/>
      <c r="N27" s="102" t="n"/>
    </row>
    <row r="28">
      <c r="A28" s="62" t="n">
        <v>22</v>
      </c>
      <c r="B28" s="63" t="inlineStr">
        <is>
          <t>Night</t>
        </is>
      </c>
      <c r="C28" s="21">
        <f>C27</f>
        <v/>
      </c>
      <c r="D28" s="64">
        <f>E27</f>
        <v/>
      </c>
      <c r="E28" s="67" t="n">
        <v>1366</v>
      </c>
      <c r="F28" s="24">
        <f>E28-D28</f>
        <v/>
      </c>
      <c r="G28" s="192" t="n"/>
      <c r="H28" s="99" t="n"/>
      <c r="I28" s="99" t="n"/>
      <c r="J28" s="101" t="n"/>
      <c r="K28" s="101" t="n"/>
      <c r="L28" s="101" t="n"/>
      <c r="M28" s="101" t="n"/>
      <c r="N28" s="102" t="n"/>
    </row>
    <row r="29">
      <c r="A29" s="62" t="n">
        <v>23</v>
      </c>
      <c r="B29" s="63" t="inlineStr">
        <is>
          <t>Day</t>
        </is>
      </c>
      <c r="C29" s="21">
        <f>C27+1</f>
        <v/>
      </c>
      <c r="D29" s="64">
        <f>E28</f>
        <v/>
      </c>
      <c r="E29" s="67" t="n">
        <v>1369</v>
      </c>
      <c r="F29" s="24">
        <f>E29-D29</f>
        <v/>
      </c>
      <c r="G29" s="191">
        <f>F29+F30</f>
        <v/>
      </c>
      <c r="H29" s="99" t="n"/>
      <c r="I29" s="99" t="n"/>
      <c r="J29" s="101" t="n"/>
      <c r="K29" s="101" t="n">
        <v>25</v>
      </c>
      <c r="L29" s="101" t="n">
        <v>1366</v>
      </c>
      <c r="M29" s="101" t="n"/>
      <c r="N29" s="102" t="n"/>
    </row>
    <row r="30">
      <c r="A30" s="62" t="n">
        <v>24</v>
      </c>
      <c r="B30" s="63" t="inlineStr">
        <is>
          <t>Night</t>
        </is>
      </c>
      <c r="C30" s="21">
        <f>C29</f>
        <v/>
      </c>
      <c r="D30" s="64">
        <f>E29</f>
        <v/>
      </c>
      <c r="E30" s="67" t="n">
        <v>1370</v>
      </c>
      <c r="F30" s="24">
        <f>E30-D30</f>
        <v/>
      </c>
      <c r="G30" s="192" t="n"/>
      <c r="H30" s="99" t="n"/>
      <c r="I30" s="99" t="n"/>
      <c r="J30" s="101" t="n"/>
      <c r="K30" s="101" t="n"/>
      <c r="L30" s="101" t="n"/>
      <c r="M30" s="101" t="n"/>
      <c r="N30" s="102" t="n"/>
    </row>
    <row r="31">
      <c r="A31" s="62" t="n">
        <v>25</v>
      </c>
      <c r="B31" s="63" t="inlineStr">
        <is>
          <t>Day</t>
        </is>
      </c>
      <c r="C31" s="21">
        <f>C29+1</f>
        <v/>
      </c>
      <c r="D31" s="64">
        <f>E30</f>
        <v/>
      </c>
      <c r="E31" s="67" t="n">
        <v>1372</v>
      </c>
      <c r="F31" s="24">
        <f>E31-D31</f>
        <v/>
      </c>
      <c r="G31" s="191">
        <f>F31+F32</f>
        <v/>
      </c>
      <c r="H31" s="99" t="n"/>
      <c r="I31" s="99" t="n"/>
      <c r="J31" s="101" t="n"/>
      <c r="K31" s="101" t="n">
        <v>25</v>
      </c>
      <c r="L31" s="101" t="n">
        <v>1370</v>
      </c>
      <c r="M31" s="101" t="n"/>
      <c r="N31" s="102" t="n"/>
    </row>
    <row r="32">
      <c r="A32" s="62" t="n">
        <v>26</v>
      </c>
      <c r="B32" s="63" t="inlineStr">
        <is>
          <t>Night</t>
        </is>
      </c>
      <c r="C32" s="21">
        <f>C31</f>
        <v/>
      </c>
      <c r="D32" s="64">
        <f>E31</f>
        <v/>
      </c>
      <c r="E32" s="67" t="n">
        <v>1372</v>
      </c>
      <c r="F32" s="24">
        <f>E32-D32</f>
        <v/>
      </c>
      <c r="G32" s="192" t="n"/>
      <c r="H32" s="99" t="n"/>
      <c r="I32" s="99" t="n"/>
      <c r="J32" s="101" t="n"/>
      <c r="K32" s="101" t="n"/>
      <c r="L32" s="101" t="n"/>
      <c r="M32" s="101" t="n"/>
      <c r="N32" s="102" t="n"/>
    </row>
    <row r="33">
      <c r="A33" s="62" t="n">
        <v>27</v>
      </c>
      <c r="B33" s="63" t="inlineStr">
        <is>
          <t>Day</t>
        </is>
      </c>
      <c r="C33" s="21">
        <f>C31+1</f>
        <v/>
      </c>
      <c r="D33" s="64">
        <f>E32</f>
        <v/>
      </c>
      <c r="E33" s="67" t="n">
        <v>1375</v>
      </c>
      <c r="F33" s="24">
        <f>E33-D33</f>
        <v/>
      </c>
      <c r="G33" s="191">
        <f>F33+F34</f>
        <v/>
      </c>
      <c r="H33" s="99" t="n"/>
      <c r="I33" s="99" t="n"/>
      <c r="J33" s="101" t="n"/>
      <c r="K33" s="101" t="n"/>
      <c r="L33" s="101" t="n"/>
      <c r="M33" s="101" t="n"/>
      <c r="N33" s="102" t="n"/>
    </row>
    <row r="34">
      <c r="A34" s="62" t="n">
        <v>28</v>
      </c>
      <c r="B34" s="63" t="inlineStr">
        <is>
          <t>Night</t>
        </is>
      </c>
      <c r="C34" s="21">
        <f>C33</f>
        <v/>
      </c>
      <c r="D34" s="64">
        <f>E33</f>
        <v/>
      </c>
      <c r="E34" s="67" t="n">
        <v>1376</v>
      </c>
      <c r="F34" s="24">
        <f>E34-D34</f>
        <v/>
      </c>
      <c r="G34" s="192" t="n"/>
      <c r="H34" s="99" t="n"/>
      <c r="I34" s="99" t="n"/>
      <c r="J34" s="101" t="n"/>
      <c r="K34" s="101" t="n">
        <v>25</v>
      </c>
      <c r="L34" s="101" t="n">
        <v>1375</v>
      </c>
      <c r="M34" s="101" t="n"/>
      <c r="N34" s="102" t="n"/>
    </row>
    <row r="35">
      <c r="A35" s="86" t="n">
        <v>29</v>
      </c>
      <c r="B35" s="87" t="inlineStr">
        <is>
          <t>Day</t>
        </is>
      </c>
      <c r="C35" s="88">
        <f>C33+1</f>
        <v/>
      </c>
      <c r="D35" s="76">
        <f>E34</f>
        <v/>
      </c>
      <c r="E35" s="76" t="n">
        <v>1378</v>
      </c>
      <c r="F35" s="89">
        <f>E35-D35</f>
        <v/>
      </c>
      <c r="G35" s="193">
        <f>F35+F36</f>
        <v/>
      </c>
      <c r="H35" s="90" t="n"/>
      <c r="I35" s="90" t="n"/>
      <c r="J35" s="91" t="n"/>
      <c r="K35" s="91" t="n"/>
      <c r="L35" s="91" t="n"/>
      <c r="M35" s="91" t="n"/>
      <c r="N35" s="92" t="n"/>
    </row>
    <row r="36">
      <c r="A36" s="86" t="n">
        <v>30</v>
      </c>
      <c r="B36" s="87" t="inlineStr">
        <is>
          <t>Night</t>
        </is>
      </c>
      <c r="C36" s="88">
        <f>C35</f>
        <v/>
      </c>
      <c r="D36" s="76">
        <f>E35</f>
        <v/>
      </c>
      <c r="E36" s="76" t="n">
        <v>1381</v>
      </c>
      <c r="F36" s="89">
        <f>E36-D36</f>
        <v/>
      </c>
      <c r="G36" s="192" t="n"/>
      <c r="H36" s="90" t="n"/>
      <c r="I36" s="90" t="n"/>
      <c r="J36" s="91" t="n"/>
      <c r="K36" s="91" t="n">
        <v>25</v>
      </c>
      <c r="L36" s="91" t="n">
        <v>1378</v>
      </c>
      <c r="M36" s="91" t="n"/>
      <c r="N36" s="92" t="n"/>
    </row>
    <row r="37">
      <c r="A37" s="62" t="n">
        <v>31</v>
      </c>
      <c r="B37" s="63" t="inlineStr">
        <is>
          <t>Day</t>
        </is>
      </c>
      <c r="C37" s="21">
        <f>C35+1</f>
        <v/>
      </c>
      <c r="D37" s="64">
        <f>E36</f>
        <v/>
      </c>
      <c r="E37" s="64" t="n">
        <v>1382</v>
      </c>
      <c r="F37" s="24">
        <f>E37-D37</f>
        <v/>
      </c>
      <c r="G37" s="191">
        <f>F37+F38</f>
        <v/>
      </c>
      <c r="H37" s="99" t="n"/>
      <c r="I37" s="99" t="n"/>
      <c r="J37" s="101" t="n"/>
      <c r="K37" s="101" t="n"/>
      <c r="L37" s="101" t="n"/>
      <c r="M37" s="101" t="n"/>
      <c r="N37" s="102" t="n"/>
    </row>
    <row r="38">
      <c r="A38" s="62" t="n">
        <v>32</v>
      </c>
      <c r="B38" s="63" t="inlineStr">
        <is>
          <t>Night</t>
        </is>
      </c>
      <c r="C38" s="21">
        <f>C37</f>
        <v/>
      </c>
      <c r="D38" s="64">
        <f>E37</f>
        <v/>
      </c>
      <c r="E38" s="64" t="n">
        <v>1382</v>
      </c>
      <c r="F38" s="24">
        <f>E38-D38</f>
        <v/>
      </c>
      <c r="G38" s="192" t="n"/>
      <c r="H38" s="103" t="n"/>
      <c r="I38" s="103" t="n"/>
      <c r="J38" s="104" t="n"/>
      <c r="K38" s="104" t="n"/>
      <c r="L38" s="104" t="n"/>
      <c r="M38" s="104" t="n"/>
      <c r="N38" s="102" t="n"/>
    </row>
    <row r="39">
      <c r="A39" s="62" t="n">
        <v>33</v>
      </c>
      <c r="B39" s="63" t="inlineStr">
        <is>
          <t>Day</t>
        </is>
      </c>
      <c r="C39" s="21">
        <f>C37+1</f>
        <v/>
      </c>
      <c r="D39" s="64">
        <f>E38</f>
        <v/>
      </c>
      <c r="E39" s="64" t="n">
        <v>1384</v>
      </c>
      <c r="F39" s="24">
        <f>E39-D39</f>
        <v/>
      </c>
      <c r="G39" s="191">
        <f>F39+F40</f>
        <v/>
      </c>
      <c r="H39" s="103" t="n"/>
      <c r="I39" s="103" t="n"/>
      <c r="J39" s="104" t="n"/>
      <c r="K39" s="104" t="n"/>
      <c r="L39" s="104" t="n"/>
      <c r="M39" s="104" t="n"/>
      <c r="N39" s="102" t="n"/>
    </row>
    <row r="40">
      <c r="A40" s="62" t="n">
        <v>34</v>
      </c>
      <c r="B40" s="63" t="inlineStr">
        <is>
          <t>Night</t>
        </is>
      </c>
      <c r="C40" s="21">
        <f>C39</f>
        <v/>
      </c>
      <c r="D40" s="64">
        <f>E39</f>
        <v/>
      </c>
      <c r="E40" s="64" t="n">
        <v>1385</v>
      </c>
      <c r="F40" s="24">
        <f>E40-D40</f>
        <v/>
      </c>
      <c r="G40" s="192" t="n"/>
      <c r="H40" s="103" t="n"/>
      <c r="I40" s="103" t="n"/>
      <c r="J40" s="104" t="n"/>
      <c r="K40" s="104" t="n"/>
      <c r="L40" s="104" t="n"/>
      <c r="M40" s="104" t="n"/>
      <c r="N40" s="102" t="n"/>
    </row>
    <row r="41">
      <c r="A41" s="62" t="n">
        <v>35</v>
      </c>
      <c r="B41" s="63" t="inlineStr">
        <is>
          <t>Day</t>
        </is>
      </c>
      <c r="C41" s="21">
        <f>C39+1</f>
        <v/>
      </c>
      <c r="D41" s="64">
        <f>E40</f>
        <v/>
      </c>
      <c r="E41" s="64" t="n">
        <v>1386</v>
      </c>
      <c r="F41" s="24">
        <f>E41-D41</f>
        <v/>
      </c>
      <c r="G41" s="191">
        <f>F41+F42</f>
        <v/>
      </c>
      <c r="H41" s="103" t="n"/>
      <c r="I41" s="103" t="n"/>
      <c r="J41" s="104" t="n"/>
      <c r="K41" s="104" t="n">
        <v>25</v>
      </c>
      <c r="L41" s="104" t="n">
        <v>1385</v>
      </c>
      <c r="M41" s="104" t="n"/>
      <c r="N41" s="102" t="n"/>
    </row>
    <row r="42">
      <c r="A42" s="62" t="n">
        <v>36</v>
      </c>
      <c r="B42" s="63" t="inlineStr">
        <is>
          <t>Night</t>
        </is>
      </c>
      <c r="C42" s="21">
        <f>C41</f>
        <v/>
      </c>
      <c r="D42" s="64">
        <f>E41</f>
        <v/>
      </c>
      <c r="E42" s="64" t="n">
        <v>1386</v>
      </c>
      <c r="F42" s="24">
        <f>E42-D42</f>
        <v/>
      </c>
      <c r="G42" s="192" t="n"/>
      <c r="H42" s="103" t="n"/>
      <c r="I42" s="103" t="n"/>
      <c r="J42" s="104" t="n"/>
      <c r="K42" s="104" t="n"/>
      <c r="L42" s="104" t="n"/>
      <c r="M42" s="104" t="n"/>
      <c r="N42" s="102" t="n"/>
    </row>
    <row r="43">
      <c r="A43" s="62" t="n">
        <v>37</v>
      </c>
      <c r="B43" s="63" t="inlineStr">
        <is>
          <t>Day</t>
        </is>
      </c>
      <c r="C43" s="21">
        <f>C41+1</f>
        <v/>
      </c>
      <c r="D43" s="64">
        <f>E42</f>
        <v/>
      </c>
      <c r="E43" s="64" t="n">
        <v>1390</v>
      </c>
      <c r="F43" s="24">
        <f>E43-D43</f>
        <v/>
      </c>
      <c r="G43" s="191">
        <f>F43+F44</f>
        <v/>
      </c>
      <c r="H43" s="103" t="n"/>
      <c r="I43" s="103" t="n"/>
      <c r="J43" s="104" t="n"/>
      <c r="K43" s="104" t="n"/>
      <c r="L43" s="104" t="n"/>
      <c r="M43" s="104" t="n"/>
      <c r="N43" s="102" t="n"/>
    </row>
    <row r="44">
      <c r="A44" s="68" t="n">
        <v>38</v>
      </c>
      <c r="B44" s="69" t="inlineStr">
        <is>
          <t>Night</t>
        </is>
      </c>
      <c r="C44" s="21">
        <f>C43</f>
        <v/>
      </c>
      <c r="D44" s="64">
        <f>E43</f>
        <v/>
      </c>
      <c r="E44" s="64" t="n">
        <v>1391</v>
      </c>
      <c r="F44" s="24">
        <f>E44-D44</f>
        <v/>
      </c>
      <c r="G44" s="192" t="n"/>
      <c r="H44" s="103" t="n"/>
      <c r="I44" s="103" t="n"/>
      <c r="J44" s="104" t="n"/>
      <c r="K44" s="104" t="n"/>
      <c r="L44" s="104" t="n"/>
      <c r="M44" s="104" t="n"/>
      <c r="N44" s="102" t="n"/>
    </row>
    <row r="45">
      <c r="A45" s="70" t="n">
        <v>39</v>
      </c>
      <c r="B45" s="71" t="inlineStr">
        <is>
          <t>Day</t>
        </is>
      </c>
      <c r="C45" s="21">
        <f>C43+1</f>
        <v/>
      </c>
      <c r="D45" s="64">
        <f>E44</f>
        <v/>
      </c>
      <c r="E45" s="64" t="n">
        <v>1394</v>
      </c>
      <c r="F45" s="24">
        <f>E45-D45</f>
        <v/>
      </c>
      <c r="G45" s="191">
        <f>F45+F46</f>
        <v/>
      </c>
      <c r="H45" s="103" t="n"/>
      <c r="I45" s="103" t="n"/>
      <c r="J45" s="104" t="n"/>
      <c r="K45" s="104" t="n">
        <v>10</v>
      </c>
      <c r="L45" s="104" t="n">
        <v>1393</v>
      </c>
      <c r="M45" s="104" t="n"/>
      <c r="N45" s="102" t="n"/>
    </row>
    <row r="46">
      <c r="A46" s="70" t="n">
        <v>40</v>
      </c>
      <c r="B46" s="71" t="inlineStr">
        <is>
          <t>Night</t>
        </is>
      </c>
      <c r="C46" s="21">
        <f>C45</f>
        <v/>
      </c>
      <c r="D46" s="64">
        <f>E45</f>
        <v/>
      </c>
      <c r="E46" s="64" t="n">
        <v>1399</v>
      </c>
      <c r="F46" s="24">
        <f>E46-D46</f>
        <v/>
      </c>
      <c r="G46" s="192" t="n"/>
      <c r="H46" s="103" t="n"/>
      <c r="I46" s="103" t="n"/>
      <c r="J46" s="104" t="n"/>
      <c r="K46" s="104" t="n">
        <v>15</v>
      </c>
      <c r="L46" s="104" t="n">
        <v>1394</v>
      </c>
      <c r="M46" s="104" t="n"/>
      <c r="N46" s="102" t="n"/>
    </row>
    <row r="47">
      <c r="A47" s="72" t="n">
        <v>41</v>
      </c>
      <c r="B47" s="63" t="inlineStr">
        <is>
          <t>Day</t>
        </is>
      </c>
      <c r="C47" s="21">
        <f>C45+1</f>
        <v/>
      </c>
      <c r="D47" s="64">
        <f>E46</f>
        <v/>
      </c>
      <c r="E47" s="64" t="n">
        <v>1400</v>
      </c>
      <c r="F47" s="24">
        <f>E47-D47</f>
        <v/>
      </c>
      <c r="G47" s="191">
        <f>F47+F48</f>
        <v/>
      </c>
      <c r="H47" s="103" t="n"/>
      <c r="I47" s="103" t="n"/>
      <c r="J47" s="104" t="n"/>
      <c r="K47" s="104" t="n">
        <v>50</v>
      </c>
      <c r="L47" s="104" t="n">
        <v>1399</v>
      </c>
      <c r="M47" s="104" t="n"/>
      <c r="N47" s="102" t="n"/>
    </row>
    <row r="48">
      <c r="A48" s="70" t="n">
        <v>42</v>
      </c>
      <c r="B48" s="63" t="inlineStr">
        <is>
          <t>Night</t>
        </is>
      </c>
      <c r="C48" s="21">
        <f>C47</f>
        <v/>
      </c>
      <c r="D48" s="64">
        <f>E47</f>
        <v/>
      </c>
      <c r="E48" s="64" t="n">
        <v>1400</v>
      </c>
      <c r="F48" s="24">
        <f>E48-D48</f>
        <v/>
      </c>
      <c r="G48" s="192" t="n"/>
      <c r="H48" s="103" t="n"/>
      <c r="I48" s="103" t="n"/>
      <c r="J48" s="104" t="n"/>
      <c r="K48" s="104" t="n"/>
      <c r="L48" s="104" t="n"/>
      <c r="M48" s="104" t="n"/>
      <c r="N48" s="102" t="n"/>
    </row>
    <row r="49">
      <c r="A49" s="97" t="n">
        <v>43</v>
      </c>
      <c r="B49" s="87" t="inlineStr">
        <is>
          <t>Day</t>
        </is>
      </c>
      <c r="C49" s="88">
        <f>C47+1</f>
        <v/>
      </c>
      <c r="D49" s="76">
        <f>E48</f>
        <v/>
      </c>
      <c r="E49" s="76" t="n">
        <v>1404</v>
      </c>
      <c r="F49" s="89">
        <f>E49-D49</f>
        <v/>
      </c>
      <c r="G49" s="193">
        <f>F49+F50</f>
        <v/>
      </c>
      <c r="H49" s="94" t="n"/>
      <c r="I49" s="94" t="n"/>
      <c r="J49" s="95" t="n"/>
      <c r="K49" s="95" t="n"/>
      <c r="L49" s="95" t="n"/>
      <c r="M49" s="95" t="n"/>
      <c r="N49" s="92" t="n"/>
    </row>
    <row r="50">
      <c r="A50" s="97" t="n">
        <v>44</v>
      </c>
      <c r="B50" s="87" t="inlineStr">
        <is>
          <t>Night</t>
        </is>
      </c>
      <c r="C50" s="88">
        <f>C49</f>
        <v/>
      </c>
      <c r="D50" s="76">
        <f>E49</f>
        <v/>
      </c>
      <c r="E50" s="76" t="n">
        <v>1404</v>
      </c>
      <c r="F50" s="89">
        <f>E50-D50</f>
        <v/>
      </c>
      <c r="G50" s="192" t="n"/>
      <c r="H50" s="94" t="n"/>
      <c r="I50" s="94" t="n"/>
      <c r="J50" s="95" t="n"/>
      <c r="K50" s="95" t="n"/>
      <c r="L50" s="95" t="n"/>
      <c r="M50" s="95" t="n"/>
      <c r="N50" s="92" t="n"/>
    </row>
    <row r="51">
      <c r="A51" s="70" t="n">
        <v>45</v>
      </c>
      <c r="B51" s="63" t="inlineStr">
        <is>
          <t>Day</t>
        </is>
      </c>
      <c r="C51" s="21">
        <f>C49+1</f>
        <v/>
      </c>
      <c r="D51" s="64">
        <f>E50</f>
        <v/>
      </c>
      <c r="E51" s="64" t="n">
        <v>1407</v>
      </c>
      <c r="F51" s="24">
        <f>E51-D51</f>
        <v/>
      </c>
      <c r="G51" s="191">
        <f>F51+F52</f>
        <v/>
      </c>
      <c r="H51" s="103" t="n"/>
      <c r="I51" s="103" t="n"/>
      <c r="J51" s="104" t="n"/>
      <c r="K51" s="104" t="n"/>
      <c r="L51" s="104" t="n"/>
      <c r="M51" s="104" t="n"/>
      <c r="N51" s="102" t="n"/>
    </row>
    <row r="52">
      <c r="A52" s="70" t="n">
        <v>46</v>
      </c>
      <c r="B52" s="63" t="inlineStr">
        <is>
          <t>Night</t>
        </is>
      </c>
      <c r="C52" s="21">
        <f>C51</f>
        <v/>
      </c>
      <c r="D52" s="64">
        <f>E51</f>
        <v/>
      </c>
      <c r="E52" s="64" t="n">
        <v>1407</v>
      </c>
      <c r="F52" s="24">
        <f>E52-D52</f>
        <v/>
      </c>
      <c r="G52" s="192" t="n"/>
      <c r="H52" s="103" t="n"/>
      <c r="I52" s="103" t="n"/>
      <c r="J52" s="104" t="n"/>
      <c r="K52" s="104" t="n"/>
      <c r="L52" s="104" t="n"/>
      <c r="M52" s="104" t="n"/>
      <c r="N52" s="102" t="n"/>
    </row>
    <row r="53">
      <c r="A53" s="70" t="n">
        <v>47</v>
      </c>
      <c r="B53" s="63" t="inlineStr">
        <is>
          <t>Day</t>
        </is>
      </c>
      <c r="C53" s="21">
        <f>C51+1</f>
        <v/>
      </c>
      <c r="D53" s="64">
        <f>E52</f>
        <v/>
      </c>
      <c r="E53" s="64" t="n">
        <v>1410</v>
      </c>
      <c r="F53" s="24">
        <f>E53-D53</f>
        <v/>
      </c>
      <c r="G53" s="191">
        <f>F53+F54</f>
        <v/>
      </c>
      <c r="H53" s="103" t="n"/>
      <c r="I53" s="103" t="n"/>
      <c r="J53" s="104" t="n"/>
      <c r="K53" s="104" t="n"/>
      <c r="L53" s="104" t="n"/>
      <c r="M53" s="104" t="n"/>
      <c r="N53" s="102" t="n"/>
    </row>
    <row r="54">
      <c r="A54" s="70" t="n">
        <v>48</v>
      </c>
      <c r="B54" s="63" t="inlineStr">
        <is>
          <t>Night</t>
        </is>
      </c>
      <c r="C54" s="21">
        <f>C53</f>
        <v/>
      </c>
      <c r="D54" s="64">
        <f>E53</f>
        <v/>
      </c>
      <c r="E54" s="64" t="n">
        <v>1410</v>
      </c>
      <c r="F54" s="24">
        <f>E54-D54</f>
        <v/>
      </c>
      <c r="G54" s="192" t="n"/>
      <c r="H54" s="103" t="n"/>
      <c r="I54" s="103" t="n"/>
      <c r="J54" s="104" t="n"/>
      <c r="K54" s="104" t="n"/>
      <c r="L54" s="104" t="n"/>
      <c r="M54" s="104" t="n"/>
      <c r="N54" s="102" t="n"/>
    </row>
    <row r="55">
      <c r="A55" s="70" t="n">
        <v>49</v>
      </c>
      <c r="B55" s="63" t="inlineStr">
        <is>
          <t>Day</t>
        </is>
      </c>
      <c r="C55" s="21">
        <f>C53+1</f>
        <v/>
      </c>
      <c r="D55" s="64">
        <f>E54</f>
        <v/>
      </c>
      <c r="E55" s="64" t="n">
        <v>1411</v>
      </c>
      <c r="F55" s="24">
        <f>E55-D55</f>
        <v/>
      </c>
      <c r="G55" s="191">
        <f>F55+F56</f>
        <v/>
      </c>
      <c r="H55" s="103" t="n"/>
      <c r="I55" s="103" t="n"/>
      <c r="J55" s="104" t="n"/>
      <c r="K55" s="104" t="n"/>
      <c r="L55" s="104" t="n"/>
      <c r="M55" s="104" t="n"/>
      <c r="N55" s="102" t="n"/>
    </row>
    <row r="56">
      <c r="A56" s="70" t="n">
        <v>50</v>
      </c>
      <c r="B56" s="63" t="inlineStr">
        <is>
          <t>Night</t>
        </is>
      </c>
      <c r="C56" s="21">
        <f>C55</f>
        <v/>
      </c>
      <c r="D56" s="64">
        <f>E55</f>
        <v/>
      </c>
      <c r="E56" s="64" t="n">
        <v>1411</v>
      </c>
      <c r="F56" s="24">
        <f>E56-D56</f>
        <v/>
      </c>
      <c r="G56" s="192" t="n"/>
      <c r="H56" s="103" t="n"/>
      <c r="I56" s="103" t="n"/>
      <c r="J56" s="104" t="n"/>
      <c r="K56" s="104" t="n"/>
      <c r="L56" s="104" t="n"/>
      <c r="M56" s="104" t="n"/>
      <c r="N56" s="102" t="n"/>
    </row>
    <row r="57">
      <c r="A57" s="70" t="n">
        <v>51</v>
      </c>
      <c r="B57" s="63" t="inlineStr">
        <is>
          <t>Day</t>
        </is>
      </c>
      <c r="C57" s="21">
        <f>C55+1</f>
        <v/>
      </c>
      <c r="D57" s="64">
        <f>E56</f>
        <v/>
      </c>
      <c r="E57" s="64" t="n">
        <v>1411</v>
      </c>
      <c r="F57" s="24">
        <f>E57-D57</f>
        <v/>
      </c>
      <c r="G57" s="191">
        <f>F57+F58</f>
        <v/>
      </c>
      <c r="H57" s="103" t="n"/>
      <c r="I57" s="103" t="n"/>
      <c r="J57" s="104" t="n"/>
      <c r="K57" s="104" t="n"/>
      <c r="L57" s="104" t="n"/>
      <c r="M57" s="104" t="n"/>
      <c r="N57" s="102" t="n"/>
    </row>
    <row r="58">
      <c r="A58" s="70" t="n">
        <v>52</v>
      </c>
      <c r="B58" s="63" t="inlineStr">
        <is>
          <t>Night</t>
        </is>
      </c>
      <c r="C58" s="21">
        <f>C57</f>
        <v/>
      </c>
      <c r="D58" s="64">
        <f>E57</f>
        <v/>
      </c>
      <c r="E58" s="64" t="n">
        <v>1412</v>
      </c>
      <c r="F58" s="24">
        <f>E58-D58</f>
        <v/>
      </c>
      <c r="G58" s="192" t="n"/>
      <c r="H58" s="103" t="n"/>
      <c r="I58" s="103" t="n"/>
      <c r="J58" s="104" t="n"/>
      <c r="K58" s="104" t="n"/>
      <c r="L58" s="104" t="n"/>
      <c r="M58" s="104" t="n"/>
      <c r="N58" s="102" t="n"/>
    </row>
    <row r="59">
      <c r="A59" s="70" t="n">
        <v>53</v>
      </c>
      <c r="B59" s="63" t="inlineStr">
        <is>
          <t>Day</t>
        </is>
      </c>
      <c r="C59" s="21">
        <f>C57+1</f>
        <v/>
      </c>
      <c r="D59" s="64">
        <f>E58</f>
        <v/>
      </c>
      <c r="E59" s="64" t="n">
        <v>1412</v>
      </c>
      <c r="F59" s="24">
        <f>E59-D59</f>
        <v/>
      </c>
      <c r="G59" s="191">
        <f>F59+F60</f>
        <v/>
      </c>
      <c r="H59" s="48" t="n"/>
      <c r="I59" s="48" t="n"/>
      <c r="J59" s="39" t="n"/>
      <c r="K59" s="39" t="n">
        <v>50</v>
      </c>
      <c r="L59" s="39" t="n">
        <v>1412</v>
      </c>
      <c r="M59" s="39" t="n"/>
      <c r="N59" s="102" t="n"/>
    </row>
    <row r="60">
      <c r="A60" s="70" t="n">
        <v>54</v>
      </c>
      <c r="B60" s="63" t="inlineStr">
        <is>
          <t>Night</t>
        </is>
      </c>
      <c r="C60" s="21">
        <f>C59</f>
        <v/>
      </c>
      <c r="D60" s="64">
        <f>E59</f>
        <v/>
      </c>
      <c r="E60" s="64" t="n">
        <v>1412</v>
      </c>
      <c r="F60" s="24">
        <f>E60-D60</f>
        <v/>
      </c>
      <c r="G60" s="192" t="n"/>
      <c r="H60" s="48" t="n"/>
      <c r="I60" s="48" t="n"/>
      <c r="J60" s="39" t="n"/>
      <c r="K60" s="39" t="n"/>
      <c r="L60" s="39" t="n"/>
      <c r="M60" s="39" t="n"/>
      <c r="N60" s="102" t="n"/>
    </row>
    <row r="61">
      <c r="A61" s="70" t="n">
        <v>55</v>
      </c>
      <c r="B61" s="63" t="inlineStr">
        <is>
          <t>Day</t>
        </is>
      </c>
      <c r="C61" s="21">
        <f>C59+1</f>
        <v/>
      </c>
      <c r="D61" s="64">
        <f>E60</f>
        <v/>
      </c>
      <c r="E61" s="64" t="n">
        <v>1413</v>
      </c>
      <c r="F61" s="24">
        <f>E61-D61</f>
        <v/>
      </c>
      <c r="G61" s="191">
        <f>F61+F62</f>
        <v/>
      </c>
      <c r="H61" s="103" t="n"/>
      <c r="I61" s="103" t="n"/>
      <c r="J61" s="104" t="n"/>
      <c r="K61" s="104" t="n"/>
      <c r="L61" s="104" t="n"/>
      <c r="M61" s="104" t="n"/>
      <c r="N61" s="102" t="n"/>
    </row>
    <row r="62" ht="15.75" customHeight="1" thickBot="1">
      <c r="A62" s="70" t="n">
        <v>56</v>
      </c>
      <c r="B62" s="63" t="inlineStr">
        <is>
          <t>Night</t>
        </is>
      </c>
      <c r="C62" s="21">
        <f>C61</f>
        <v/>
      </c>
      <c r="D62" s="64">
        <f>E61</f>
        <v/>
      </c>
      <c r="E62" s="64" t="n">
        <v>1413</v>
      </c>
      <c r="F62" s="24">
        <f>E62-D62</f>
        <v/>
      </c>
      <c r="G62" s="192" t="n"/>
      <c r="H62" s="103" t="n"/>
      <c r="I62" s="103" t="n"/>
      <c r="J62" s="104" t="n"/>
      <c r="K62" s="104" t="n"/>
      <c r="L62" s="104" t="n"/>
      <c r="M62" s="104" t="n"/>
      <c r="N62" s="105" t="n"/>
    </row>
    <row r="63" ht="15.75" customHeight="1" thickBot="1">
      <c r="A63" s="220" t="inlineStr">
        <is>
          <t>Total</t>
        </is>
      </c>
      <c r="B63" s="208" t="n"/>
      <c r="C63" s="208" t="n"/>
      <c r="D63" s="208" t="n"/>
      <c r="E63" s="209" t="n"/>
      <c r="F63" s="74">
        <f>SUM(F7:F62)</f>
        <v/>
      </c>
      <c r="G63" s="74">
        <f>SUM(G7:G62)</f>
        <v/>
      </c>
      <c r="H63" s="49" t="n"/>
      <c r="I63" s="50" t="n"/>
      <c r="J63" s="51" t="n"/>
      <c r="K63" s="74">
        <f>SUM(K7:K62)</f>
        <v/>
      </c>
      <c r="L63" s="51" t="n"/>
      <c r="M63" s="51" t="n"/>
      <c r="N63" s="52" t="n"/>
    </row>
    <row r="64">
      <c r="A64" s="211" t="n"/>
      <c r="B64" s="211" t="n"/>
      <c r="C64" s="211" t="n"/>
      <c r="D64" s="211" t="n"/>
      <c r="E64" s="211" t="n"/>
      <c r="F64" s="211" t="n"/>
      <c r="G64" s="211" t="n"/>
      <c r="H64" s="211" t="n"/>
      <c r="I64" s="211" t="n"/>
      <c r="J64" s="211" t="n"/>
      <c r="K64" s="211" t="n"/>
      <c r="L64" s="211" t="n"/>
      <c r="M64" s="211" t="n"/>
      <c r="N64" s="211" t="n"/>
    </row>
    <row r="65">
      <c r="A65" s="222" t="inlineStr">
        <is>
          <t>Monthly Hiring Charges</t>
        </is>
      </c>
      <c r="B65" s="222" t="n"/>
      <c r="C65" s="222" t="n">
        <v>240000</v>
      </c>
      <c r="D65" s="211" t="n"/>
      <c r="E65" s="211" t="n"/>
      <c r="F65" s="211" t="n"/>
      <c r="G65" s="211" t="n"/>
      <c r="H65" s="211" t="n"/>
      <c r="I65" s="211" t="n"/>
      <c r="J65" s="211" t="n"/>
      <c r="K65" s="211" t="n"/>
      <c r="L65" s="211" t="n"/>
      <c r="M65" s="211" t="n"/>
      <c r="N65" s="211" t="n"/>
    </row>
    <row r="66">
      <c r="A66" s="222" t="inlineStr">
        <is>
          <t>Per Day Charges (31 Days)</t>
        </is>
      </c>
      <c r="B66" s="222" t="n"/>
      <c r="C66" s="222">
        <f>C65/31</f>
        <v/>
      </c>
      <c r="D66" s="211" t="n"/>
      <c r="E66" s="211" t="n"/>
      <c r="F66" s="211" t="n"/>
      <c r="G66" s="211" t="n"/>
      <c r="H66" s="211" t="n"/>
      <c r="M66" s="211" t="n"/>
      <c r="N66" s="211" t="n"/>
    </row>
    <row r="67">
      <c r="A67" s="222" t="inlineStr">
        <is>
          <t>Billed Amount</t>
        </is>
      </c>
      <c r="B67" s="190" t="n"/>
      <c r="C67" s="222">
        <f>C65</f>
        <v/>
      </c>
      <c r="D67" s="211" t="n"/>
      <c r="E67" s="211" t="n"/>
      <c r="F67" s="211" t="n"/>
      <c r="G67" s="211" t="n"/>
      <c r="M67" s="211" t="n"/>
      <c r="N67" s="211" t="n"/>
    </row>
    <row r="68">
      <c r="A68" s="130" t="n"/>
      <c r="B68" s="130" t="n"/>
      <c r="C68" s="211" t="n"/>
      <c r="D68" s="211" t="n"/>
      <c r="E68" s="211" t="n"/>
      <c r="F68" s="211" t="n"/>
      <c r="G68" s="211" t="n"/>
      <c r="M68" s="211" t="n"/>
      <c r="N68" s="211" t="n"/>
    </row>
    <row r="69">
      <c r="A69" s="211" t="n"/>
      <c r="B69" s="211" t="n"/>
      <c r="C69" s="211" t="n"/>
      <c r="D69" s="211" t="n"/>
      <c r="E69" s="211" t="n"/>
      <c r="F69" s="211" t="n"/>
      <c r="G69" s="211" t="n"/>
      <c r="H69" s="211" t="n"/>
      <c r="M69" s="211" t="n"/>
      <c r="N69" s="211" t="n"/>
    </row>
    <row r="70">
      <c r="A70" s="211" t="n"/>
      <c r="B70" s="211" t="n"/>
      <c r="C70" s="211" t="n"/>
      <c r="D70" s="211" t="n"/>
      <c r="E70" s="211" t="n"/>
      <c r="F70" s="211" t="n"/>
      <c r="G70" s="211" t="n"/>
      <c r="H70" s="211" t="n"/>
      <c r="M70" s="211" t="n"/>
      <c r="N70" s="211" t="n"/>
    </row>
    <row r="71">
      <c r="A71" s="211" t="n"/>
      <c r="B71" s="211" t="n"/>
      <c r="C71" s="211" t="n"/>
      <c r="D71" s="211" t="n"/>
      <c r="E71" s="211" t="n"/>
      <c r="F71" s="211" t="n"/>
      <c r="G71" s="211" t="n"/>
      <c r="H71" s="211" t="n"/>
      <c r="M71" s="211" t="n"/>
      <c r="N71" s="211" t="n"/>
    </row>
    <row r="75" ht="15.75" customHeight="1">
      <c r="D75" s="195" t="inlineStr">
        <is>
          <t>Max hsd as per loi(5-6)</t>
        </is>
      </c>
      <c r="E75" s="189" t="n"/>
      <c r="F75" s="190" t="n"/>
      <c r="G75" s="195">
        <f>F72*6</f>
        <v/>
      </c>
    </row>
    <row r="76" ht="15.75" customHeight="1">
      <c r="D76" s="195" t="inlineStr">
        <is>
          <t>Actual diesel cosumption</t>
        </is>
      </c>
      <c r="E76" s="189" t="n"/>
      <c r="F76" s="190" t="n"/>
      <c r="G76" s="195">
        <f>C71</f>
        <v/>
      </c>
    </row>
    <row r="77" ht="15.75" customHeight="1">
      <c r="D77" s="195" t="inlineStr">
        <is>
          <t>Fuel ecxess</t>
        </is>
      </c>
      <c r="E77" s="189" t="n"/>
      <c r="F77" s="190" t="n"/>
      <c r="G77" s="195">
        <f>G76-G75</f>
        <v/>
      </c>
    </row>
  </sheetData>
  <mergeCells count="43">
    <mergeCell ref="A5:D5"/>
    <mergeCell ref="D76:F76"/>
    <mergeCell ref="G17:G18"/>
    <mergeCell ref="G43:G44"/>
    <mergeCell ref="G23:G24"/>
    <mergeCell ref="G57:G58"/>
    <mergeCell ref="G61:G62"/>
    <mergeCell ref="A4:D4"/>
    <mergeCell ref="G13:G14"/>
    <mergeCell ref="G7:G8"/>
    <mergeCell ref="D75:F75"/>
    <mergeCell ref="G39:G40"/>
    <mergeCell ref="G19:G20"/>
    <mergeCell ref="G53:G54"/>
    <mergeCell ref="E3:N3"/>
    <mergeCell ref="G37:G38"/>
    <mergeCell ref="G15:G16"/>
    <mergeCell ref="G55:G56"/>
    <mergeCell ref="G49:G50"/>
    <mergeCell ref="G29:G30"/>
    <mergeCell ref="A1:D1"/>
    <mergeCell ref="E5:N5"/>
    <mergeCell ref="G33:G34"/>
    <mergeCell ref="G51:G52"/>
    <mergeCell ref="E4:N4"/>
    <mergeCell ref="G45:G46"/>
    <mergeCell ref="G25:G26"/>
    <mergeCell ref="G41:G42"/>
    <mergeCell ref="G59:G60"/>
    <mergeCell ref="G35:G36"/>
    <mergeCell ref="E1:N1"/>
    <mergeCell ref="G9:G10"/>
    <mergeCell ref="G27:G28"/>
    <mergeCell ref="G47:G48"/>
    <mergeCell ref="A3:D3"/>
    <mergeCell ref="A63:E63"/>
    <mergeCell ref="G21:G22"/>
    <mergeCell ref="A2:D2"/>
    <mergeCell ref="G11:G12"/>
    <mergeCell ref="G31:G32"/>
    <mergeCell ref="A67:B67"/>
    <mergeCell ref="D77:F77"/>
    <mergeCell ref="E2:N2"/>
  </mergeCells>
  <pageMargins left="0.7" right="0.7" top="0.75" bottom="0.75" header="0.3" footer="0.3"/>
  <pageSetup orientation="portrait" scale="56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C13" sqref="C13:G14"/>
    </sheetView>
  </sheetViews>
  <sheetFormatPr baseColWidth="8" defaultRowHeight="15"/>
  <cols>
    <col width="9.5703125" bestFit="1" customWidth="1" min="2" max="2"/>
    <col width="13.5703125" customWidth="1" min="3" max="3"/>
    <col width="11.7109375" customWidth="1" min="4" max="4"/>
    <col width="9.7109375" bestFit="1" customWidth="1" min="5" max="5"/>
    <col width="13.140625" bestFit="1" customWidth="1" min="7" max="7"/>
    <col width="15" bestFit="1" customWidth="1" min="8" max="8"/>
    <col width="24.85546875" bestFit="1" customWidth="1" min="9" max="9"/>
    <col width="9.140625" bestFit="1" customWidth="1" min="14" max="14"/>
  </cols>
  <sheetData>
    <row r="1" ht="18.75" customHeight="1">
      <c r="A1" s="194" t="inlineStr">
        <is>
          <t xml:space="preserve">Vendor Description  </t>
        </is>
      </c>
      <c r="B1" s="189" t="n"/>
      <c r="C1" s="189" t="n"/>
      <c r="D1" s="190" t="n"/>
      <c r="E1" s="204" t="inlineStr">
        <is>
          <t>EKTA ENTERPRISES</t>
        </is>
      </c>
      <c r="F1" s="205" t="n"/>
      <c r="G1" s="205" t="n"/>
      <c r="H1" s="205" t="n"/>
      <c r="I1" s="205" t="n"/>
      <c r="J1" s="205" t="n"/>
      <c r="K1" s="205" t="n"/>
      <c r="L1" s="205" t="n"/>
      <c r="M1" s="205" t="n"/>
      <c r="N1" s="206" t="n"/>
    </row>
    <row r="2" ht="18.75" customHeight="1">
      <c r="A2" s="194" t="inlineStr">
        <is>
          <t xml:space="preserve">Asset  Discription  </t>
        </is>
      </c>
      <c r="B2" s="189" t="n"/>
      <c r="C2" s="189" t="n"/>
      <c r="D2" s="190" t="n"/>
      <c r="E2" s="197" t="inlineStr">
        <is>
          <t xml:space="preserve">XCMG Crawler CRANE </t>
        </is>
      </c>
      <c r="F2" s="198" t="n"/>
      <c r="G2" s="198" t="n"/>
      <c r="H2" s="198" t="n"/>
      <c r="I2" s="198" t="n"/>
      <c r="J2" s="198" t="n"/>
      <c r="K2" s="198" t="n"/>
      <c r="L2" s="198" t="n"/>
      <c r="M2" s="198" t="n"/>
      <c r="N2" s="199" t="n"/>
    </row>
    <row r="3" ht="18.75" customHeight="1">
      <c r="A3" s="194" t="inlineStr">
        <is>
          <t xml:space="preserve">Asset  Capacity  </t>
        </is>
      </c>
      <c r="B3" s="189" t="n"/>
      <c r="C3" s="189" t="n"/>
      <c r="D3" s="190" t="n"/>
      <c r="E3" s="197" t="inlineStr">
        <is>
          <t>45 Ton</t>
        </is>
      </c>
      <c r="F3" s="198" t="n"/>
      <c r="G3" s="198" t="n"/>
      <c r="H3" s="198" t="n"/>
      <c r="I3" s="198" t="n"/>
      <c r="J3" s="198" t="n"/>
      <c r="K3" s="198" t="n"/>
      <c r="L3" s="198" t="n"/>
      <c r="M3" s="198" t="n"/>
      <c r="N3" s="199" t="n"/>
    </row>
    <row r="4" ht="18.75" customHeight="1">
      <c r="A4" s="194" t="inlineStr">
        <is>
          <t xml:space="preserve">Billing Period  </t>
        </is>
      </c>
      <c r="B4" s="189" t="n"/>
      <c r="C4" s="189" t="n"/>
      <c r="D4" s="190" t="n"/>
      <c r="E4" s="203" t="inlineStr">
        <is>
          <t>04-05-2026 TO 31-05-2026</t>
        </is>
      </c>
      <c r="F4" s="198" t="n"/>
      <c r="G4" s="198" t="n"/>
      <c r="H4" s="198" t="n"/>
      <c r="I4" s="198" t="n"/>
      <c r="J4" s="198" t="n"/>
      <c r="K4" s="198" t="n"/>
      <c r="L4" s="198" t="n"/>
      <c r="M4" s="198" t="n"/>
      <c r="N4" s="199" t="n"/>
    </row>
    <row r="5" ht="18.75" customHeight="1" thickBot="1">
      <c r="A5" s="188" t="inlineStr">
        <is>
          <t>COMPANY  NAME</t>
        </is>
      </c>
      <c r="B5" s="189" t="n"/>
      <c r="C5" s="189" t="n"/>
      <c r="D5" s="190" t="n"/>
      <c r="E5" s="200" t="inlineStr">
        <is>
          <t>Hindustan Infrastructure solution Ahemdabaad</t>
        </is>
      </c>
      <c r="F5" s="201" t="n"/>
      <c r="G5" s="201" t="n"/>
      <c r="H5" s="201" t="n"/>
      <c r="I5" s="201" t="n"/>
      <c r="J5" s="201" t="n"/>
      <c r="K5" s="201" t="n"/>
      <c r="L5" s="201" t="n"/>
      <c r="M5" s="201" t="n"/>
      <c r="N5" s="202" t="n"/>
    </row>
    <row r="6" ht="29.25" customHeight="1" thickBot="1">
      <c r="A6" s="131" t="inlineStr">
        <is>
          <t>SR. NO.</t>
        </is>
      </c>
      <c r="B6" s="131" t="inlineStr">
        <is>
          <t>Shift</t>
        </is>
      </c>
      <c r="C6" s="132" t="inlineStr">
        <is>
          <t>Date</t>
        </is>
      </c>
      <c r="D6" s="132" t="inlineStr">
        <is>
          <t>Starting HMR</t>
        </is>
      </c>
      <c r="E6" s="17" t="inlineStr">
        <is>
          <t>Closing    HMR</t>
        </is>
      </c>
      <c r="F6" s="38" t="inlineStr">
        <is>
          <t>HMR</t>
        </is>
      </c>
      <c r="G6" s="18" t="inlineStr">
        <is>
          <t>Normal  Shift
Hours</t>
        </is>
      </c>
      <c r="H6" s="3" t="inlineStr">
        <is>
          <t>BD Start</t>
        </is>
      </c>
      <c r="I6" s="4" t="inlineStr">
        <is>
          <t>BD End</t>
        </is>
      </c>
      <c r="J6" s="2" t="inlineStr">
        <is>
          <t>Total B/D</t>
        </is>
      </c>
      <c r="K6" s="5" t="inlineStr">
        <is>
          <t>Diesel  issued</t>
        </is>
      </c>
      <c r="L6" s="2" t="inlineStr">
        <is>
          <t>Diesel HMR</t>
        </is>
      </c>
      <c r="M6" s="2" t="inlineStr">
        <is>
          <t>Hours</t>
        </is>
      </c>
      <c r="N6" s="2" t="inlineStr">
        <is>
          <t>Remark</t>
        </is>
      </c>
    </row>
    <row r="7" ht="15.75" customHeight="1">
      <c r="A7" s="19" t="n">
        <v>1</v>
      </c>
      <c r="B7" s="20" t="inlineStr">
        <is>
          <t>Day</t>
        </is>
      </c>
      <c r="C7" s="21" t="n">
        <v>46143</v>
      </c>
      <c r="D7" s="22" t="n"/>
      <c r="E7" s="23" t="n"/>
      <c r="F7" s="24" t="n"/>
      <c r="G7" s="196">
        <f>F7+F8</f>
        <v/>
      </c>
      <c r="H7" s="6" t="n"/>
      <c r="I7" s="6" t="n"/>
      <c r="J7" s="6" t="n"/>
      <c r="K7" s="6" t="n"/>
      <c r="L7" s="7" t="n"/>
      <c r="M7" s="8" t="n"/>
      <c r="N7" s="9" t="n"/>
    </row>
    <row r="8" ht="15.75" customHeight="1">
      <c r="A8" s="19" t="n">
        <v>2</v>
      </c>
      <c r="B8" s="20" t="inlineStr">
        <is>
          <t>Night</t>
        </is>
      </c>
      <c r="C8" s="21">
        <f>C7</f>
        <v/>
      </c>
      <c r="D8" s="22" t="n"/>
      <c r="E8" s="23" t="n"/>
      <c r="F8" s="24" t="n"/>
      <c r="G8" s="192" t="n"/>
      <c r="H8" s="11" t="n"/>
      <c r="I8" s="11" t="n"/>
      <c r="J8" s="10" t="n"/>
      <c r="K8" s="10" t="n"/>
      <c r="L8" s="7" t="n"/>
      <c r="M8" s="7" t="n"/>
      <c r="N8" s="12" t="n"/>
    </row>
    <row r="9" ht="15.75" customHeight="1">
      <c r="A9" s="19" t="n">
        <v>3</v>
      </c>
      <c r="B9" s="20" t="inlineStr">
        <is>
          <t>Day</t>
        </is>
      </c>
      <c r="C9" s="21">
        <f>C7+1</f>
        <v/>
      </c>
      <c r="D9" s="22" t="n"/>
      <c r="E9" s="23" t="n"/>
      <c r="F9" s="24" t="n"/>
      <c r="G9" s="191">
        <f>F9+F10</f>
        <v/>
      </c>
      <c r="H9" s="13" t="n"/>
      <c r="I9" s="13" t="n"/>
      <c r="J9" s="10" t="n"/>
      <c r="K9" s="10" t="n"/>
      <c r="L9" s="10" t="n"/>
      <c r="M9" s="10" t="n"/>
      <c r="N9" s="12" t="n"/>
    </row>
    <row r="10" ht="15.75" customHeight="1">
      <c r="A10" s="19" t="n">
        <v>4</v>
      </c>
      <c r="B10" s="20" t="inlineStr">
        <is>
          <t>Night</t>
        </is>
      </c>
      <c r="C10" s="21">
        <f>C9</f>
        <v/>
      </c>
      <c r="D10" s="22" t="n"/>
      <c r="E10" s="23" t="n"/>
      <c r="F10" s="24" t="n"/>
      <c r="G10" s="192" t="n"/>
      <c r="H10" s="13" t="n"/>
      <c r="I10" s="13" t="n"/>
      <c r="J10" s="10" t="n"/>
      <c r="K10" s="10" t="n"/>
      <c r="L10" s="10" t="n"/>
      <c r="M10" s="10" t="n"/>
      <c r="N10" s="12" t="n"/>
    </row>
    <row r="11" ht="15.75" customHeight="1">
      <c r="A11" s="143" t="n">
        <v>5</v>
      </c>
      <c r="B11" s="144" t="inlineStr">
        <is>
          <t>Day</t>
        </is>
      </c>
      <c r="C11" s="88">
        <f>C9+1</f>
        <v/>
      </c>
      <c r="D11" s="145" t="n"/>
      <c r="E11" s="146" t="n"/>
      <c r="F11" s="89" t="n"/>
      <c r="G11" s="193">
        <f>F11+F12</f>
        <v/>
      </c>
      <c r="H11" s="147" t="n"/>
      <c r="I11" s="147" t="n"/>
      <c r="J11" s="148" t="n"/>
      <c r="K11" s="149" t="n"/>
      <c r="L11" s="149" t="n"/>
      <c r="M11" s="149" t="n"/>
      <c r="N11" s="150" t="inlineStr">
        <is>
          <t>Sunday</t>
        </is>
      </c>
    </row>
    <row r="12" ht="15.75" customHeight="1">
      <c r="A12" s="143" t="n">
        <v>6</v>
      </c>
      <c r="B12" s="144" t="inlineStr">
        <is>
          <t>Night</t>
        </is>
      </c>
      <c r="C12" s="88">
        <f>C11</f>
        <v/>
      </c>
      <c r="D12" s="223" t="inlineStr">
        <is>
          <t>Machine start 04-05-26</t>
        </is>
      </c>
      <c r="E12" s="224" t="n"/>
      <c r="F12" s="225" t="n"/>
      <c r="G12" s="192" t="n"/>
      <c r="H12" s="147" t="n"/>
      <c r="I12" s="147" t="n"/>
      <c r="J12" s="149" t="n"/>
      <c r="K12" s="149" t="n"/>
      <c r="L12" s="149" t="n"/>
      <c r="M12" s="149" t="n"/>
      <c r="N12" s="150" t="n"/>
    </row>
    <row r="13" ht="15.75" customHeight="1">
      <c r="A13" s="19" t="n">
        <v>7</v>
      </c>
      <c r="B13" s="20" t="inlineStr">
        <is>
          <t>Day</t>
        </is>
      </c>
      <c r="C13" s="21">
        <f>C11+1</f>
        <v/>
      </c>
      <c r="D13" s="24" t="n">
        <v>1536</v>
      </c>
      <c r="E13" s="24" t="n">
        <v>1538</v>
      </c>
      <c r="F13" s="24">
        <f>E13-D13</f>
        <v/>
      </c>
      <c r="G13" s="191">
        <f>F13+F14</f>
        <v/>
      </c>
      <c r="H13" s="13" t="n"/>
      <c r="I13" s="13" t="n"/>
      <c r="J13" s="10" t="n"/>
      <c r="K13" s="10" t="n">
        <v>130</v>
      </c>
      <c r="L13" s="10" t="n"/>
      <c r="M13" s="10" t="n"/>
      <c r="N13" s="15" t="n"/>
    </row>
    <row r="14" ht="15.75" customHeight="1">
      <c r="A14" s="19" t="n">
        <v>8</v>
      </c>
      <c r="B14" s="20" t="inlineStr">
        <is>
          <t>Night</t>
        </is>
      </c>
      <c r="C14" s="21">
        <f>C13</f>
        <v/>
      </c>
      <c r="D14" s="24">
        <f>E13</f>
        <v/>
      </c>
      <c r="E14" s="24" t="n">
        <v>1538</v>
      </c>
      <c r="F14" s="24">
        <f>E14-D14</f>
        <v/>
      </c>
      <c r="G14" s="192" t="n"/>
      <c r="H14" s="13" t="n"/>
      <c r="I14" s="13" t="n"/>
      <c r="J14" s="10" t="n"/>
      <c r="K14" s="10" t="n"/>
      <c r="L14" s="10" t="n"/>
      <c r="M14" s="10" t="n"/>
      <c r="N14" s="15" t="n"/>
    </row>
    <row r="15" ht="15.75" customHeight="1">
      <c r="A15" s="19" t="n">
        <v>9</v>
      </c>
      <c r="B15" s="20" t="inlineStr">
        <is>
          <t>Day</t>
        </is>
      </c>
      <c r="C15" s="21">
        <f>C13+1</f>
        <v/>
      </c>
      <c r="D15" s="24">
        <f>E14</f>
        <v/>
      </c>
      <c r="E15" s="24" t="n">
        <v>1541</v>
      </c>
      <c r="F15" s="24">
        <f>E15-D15</f>
        <v/>
      </c>
      <c r="G15" s="191">
        <f>F15+F16</f>
        <v/>
      </c>
      <c r="H15" s="13" t="n"/>
      <c r="I15" s="13" t="n"/>
      <c r="J15" s="10" t="n"/>
      <c r="K15" s="10" t="n"/>
      <c r="L15" s="10" t="n"/>
      <c r="M15" s="10" t="n"/>
      <c r="N15" s="15" t="n"/>
    </row>
    <row r="16" ht="15.75" customHeight="1">
      <c r="A16" s="19" t="n">
        <v>10</v>
      </c>
      <c r="B16" s="20" t="inlineStr">
        <is>
          <t>Night</t>
        </is>
      </c>
      <c r="C16" s="21">
        <f>C15</f>
        <v/>
      </c>
      <c r="D16" s="24">
        <f>E15</f>
        <v/>
      </c>
      <c r="E16" s="24" t="n">
        <v>1544</v>
      </c>
      <c r="F16" s="24">
        <f>E16-D16</f>
        <v/>
      </c>
      <c r="G16" s="192" t="n"/>
      <c r="H16" s="13" t="n"/>
      <c r="I16" s="13" t="n"/>
      <c r="J16" s="10" t="n"/>
      <c r="K16" s="10" t="n"/>
      <c r="L16" s="10" t="n"/>
      <c r="M16" s="10" t="n"/>
      <c r="N16" s="15" t="n"/>
    </row>
    <row r="17" ht="15.75" customHeight="1">
      <c r="A17" s="19" t="n">
        <v>11</v>
      </c>
      <c r="B17" s="20" t="inlineStr">
        <is>
          <t>Day</t>
        </is>
      </c>
      <c r="C17" s="21">
        <f>C15+1</f>
        <v/>
      </c>
      <c r="D17" s="24">
        <f>E16</f>
        <v/>
      </c>
      <c r="E17" s="24" t="n">
        <v>1548</v>
      </c>
      <c r="F17" s="24">
        <f>E17-D17</f>
        <v/>
      </c>
      <c r="G17" s="191">
        <f>F17+F18</f>
        <v/>
      </c>
      <c r="H17" s="13" t="n"/>
      <c r="I17" s="13" t="n"/>
      <c r="J17" s="10" t="n"/>
      <c r="K17" s="10" t="n"/>
      <c r="L17" s="10" t="n"/>
      <c r="M17" s="10" t="n"/>
      <c r="N17" s="15" t="n"/>
    </row>
    <row r="18" ht="15.75" customHeight="1">
      <c r="A18" s="19" t="n">
        <v>12</v>
      </c>
      <c r="B18" s="20" t="inlineStr">
        <is>
          <t>Night</t>
        </is>
      </c>
      <c r="C18" s="21">
        <f>C17</f>
        <v/>
      </c>
      <c r="D18" s="24">
        <f>E17</f>
        <v/>
      </c>
      <c r="E18" s="24" t="n">
        <v>1548</v>
      </c>
      <c r="F18" s="24">
        <f>E18-D18</f>
        <v/>
      </c>
      <c r="G18" s="192" t="n"/>
      <c r="H18" s="13" t="n"/>
      <c r="I18" s="13" t="n"/>
      <c r="J18" s="10" t="n"/>
      <c r="K18" s="10" t="n"/>
      <c r="L18" s="10" t="n"/>
      <c r="M18" s="10" t="n"/>
      <c r="N18" s="15" t="n"/>
    </row>
    <row r="19" ht="15.75" customHeight="1">
      <c r="A19" s="19" t="n">
        <v>13</v>
      </c>
      <c r="B19" s="20" t="inlineStr">
        <is>
          <t>Day</t>
        </is>
      </c>
      <c r="C19" s="21">
        <f>C17+1</f>
        <v/>
      </c>
      <c r="D19" s="24">
        <f>E18</f>
        <v/>
      </c>
      <c r="E19" s="24" t="n">
        <v>1553</v>
      </c>
      <c r="F19" s="24">
        <f>E19-D19</f>
        <v/>
      </c>
      <c r="G19" s="191">
        <f>F19+F20</f>
        <v/>
      </c>
      <c r="H19" s="13" t="n"/>
      <c r="I19" s="13" t="n"/>
      <c r="J19" s="10" t="n"/>
      <c r="K19" s="10" t="n"/>
      <c r="L19" s="10" t="n"/>
      <c r="M19" s="10" t="n"/>
      <c r="N19" s="15" t="n"/>
    </row>
    <row r="20" ht="15.75" customHeight="1">
      <c r="A20" s="19" t="n">
        <v>14</v>
      </c>
      <c r="B20" s="20" t="inlineStr">
        <is>
          <t>Night</t>
        </is>
      </c>
      <c r="C20" s="21">
        <f>C19</f>
        <v/>
      </c>
      <c r="D20" s="24">
        <f>E19</f>
        <v/>
      </c>
      <c r="E20" s="24" t="n">
        <v>1553</v>
      </c>
      <c r="F20" s="24">
        <f>E20-D20</f>
        <v/>
      </c>
      <c r="G20" s="192" t="n"/>
      <c r="H20" s="13" t="n"/>
      <c r="I20" s="13" t="n"/>
      <c r="J20" s="10" t="n"/>
      <c r="K20" s="10" t="n"/>
      <c r="L20" s="10" t="n"/>
      <c r="M20" s="10" t="n"/>
      <c r="N20" s="15" t="n"/>
    </row>
    <row r="21" ht="15.75" customHeight="1">
      <c r="A21" s="19" t="n">
        <v>15</v>
      </c>
      <c r="B21" s="20" t="inlineStr">
        <is>
          <t>Day</t>
        </is>
      </c>
      <c r="C21" s="21">
        <f>C19+1</f>
        <v/>
      </c>
      <c r="D21" s="24">
        <f>E20</f>
        <v/>
      </c>
      <c r="E21" s="24" t="n">
        <v>1554</v>
      </c>
      <c r="F21" s="24">
        <f>E21-D21</f>
        <v/>
      </c>
      <c r="G21" s="191">
        <f>F21+F22</f>
        <v/>
      </c>
      <c r="H21" s="13" t="n"/>
      <c r="I21" s="13" t="n"/>
      <c r="J21" s="10" t="n"/>
      <c r="K21" s="10" t="n"/>
      <c r="L21" s="10" t="n"/>
      <c r="M21" s="10" t="n"/>
      <c r="N21" s="15" t="n"/>
    </row>
    <row r="22" ht="15.75" customHeight="1">
      <c r="A22" s="19" t="n">
        <v>16</v>
      </c>
      <c r="B22" s="20" t="inlineStr">
        <is>
          <t>Night</t>
        </is>
      </c>
      <c r="C22" s="21">
        <f>C21</f>
        <v/>
      </c>
      <c r="D22" s="24">
        <f>E21</f>
        <v/>
      </c>
      <c r="E22" s="24" t="n">
        <v>1555</v>
      </c>
      <c r="F22" s="24">
        <f>E22-D22</f>
        <v/>
      </c>
      <c r="G22" s="192" t="n"/>
      <c r="H22" s="13" t="n"/>
      <c r="I22" s="13" t="n"/>
      <c r="J22" s="10" t="n"/>
      <c r="K22" s="10" t="n"/>
      <c r="L22" s="10" t="n"/>
      <c r="M22" s="10" t="n"/>
      <c r="N22" s="15" t="n"/>
    </row>
    <row r="23" ht="15.75" customHeight="1">
      <c r="A23" s="19" t="n">
        <v>17</v>
      </c>
      <c r="B23" s="20" t="inlineStr">
        <is>
          <t>Day</t>
        </is>
      </c>
      <c r="C23" s="21">
        <f>C21+1</f>
        <v/>
      </c>
      <c r="D23" s="24">
        <f>E22</f>
        <v/>
      </c>
      <c r="E23" s="24" t="n">
        <v>1557</v>
      </c>
      <c r="F23" s="24">
        <f>E23-D23</f>
        <v/>
      </c>
      <c r="G23" s="191">
        <f>F23+F24</f>
        <v/>
      </c>
      <c r="H23" s="13" t="n"/>
      <c r="I23" s="13" t="n"/>
      <c r="J23" s="10" t="n"/>
      <c r="K23" s="10" t="n">
        <v>60</v>
      </c>
      <c r="L23" s="10" t="n"/>
      <c r="M23" s="10" t="n"/>
      <c r="N23" s="15" t="n"/>
    </row>
    <row r="24" ht="15.75" customHeight="1">
      <c r="A24" s="19" t="n">
        <v>18</v>
      </c>
      <c r="B24" s="20" t="inlineStr">
        <is>
          <t>Night</t>
        </is>
      </c>
      <c r="C24" s="21">
        <f>C23</f>
        <v/>
      </c>
      <c r="D24" s="24">
        <f>E23</f>
        <v/>
      </c>
      <c r="E24" s="24" t="n">
        <v>1560</v>
      </c>
      <c r="F24" s="24">
        <f>E24-D24</f>
        <v/>
      </c>
      <c r="G24" s="192" t="n"/>
      <c r="H24" s="13" t="n"/>
      <c r="I24" s="13" t="n"/>
      <c r="J24" s="10" t="n"/>
      <c r="K24" s="10" t="n"/>
      <c r="L24" s="10" t="n"/>
      <c r="M24" s="10" t="n"/>
      <c r="N24" s="15" t="n"/>
    </row>
    <row r="25" ht="15.75" customHeight="1">
      <c r="A25" s="143" t="n">
        <v>19</v>
      </c>
      <c r="B25" s="144" t="inlineStr">
        <is>
          <t>Day</t>
        </is>
      </c>
      <c r="C25" s="88">
        <f>C23+1</f>
        <v/>
      </c>
      <c r="D25" s="89">
        <f>E24</f>
        <v/>
      </c>
      <c r="E25" s="89" t="n">
        <v>1563</v>
      </c>
      <c r="F25" s="89">
        <f>E25-D25</f>
        <v/>
      </c>
      <c r="G25" s="193">
        <f>F25+F26</f>
        <v/>
      </c>
      <c r="H25" s="147" t="n"/>
      <c r="I25" s="147" t="n"/>
      <c r="J25" s="149" t="n"/>
      <c r="K25" s="149" t="n"/>
      <c r="L25" s="149" t="n"/>
      <c r="M25" s="149" t="n"/>
      <c r="N25" s="150" t="inlineStr">
        <is>
          <t>Sunday</t>
        </is>
      </c>
    </row>
    <row r="26" ht="15.75" customHeight="1">
      <c r="A26" s="143" t="n">
        <v>20</v>
      </c>
      <c r="B26" s="144" t="inlineStr">
        <is>
          <t>Night</t>
        </is>
      </c>
      <c r="C26" s="88">
        <f>C25</f>
        <v/>
      </c>
      <c r="D26" s="89">
        <f>E25</f>
        <v/>
      </c>
      <c r="E26" s="89" t="n">
        <v>1566</v>
      </c>
      <c r="F26" s="89">
        <f>E26-D26</f>
        <v/>
      </c>
      <c r="G26" s="192" t="n"/>
      <c r="H26" s="147" t="n"/>
      <c r="I26" s="147" t="n"/>
      <c r="J26" s="149" t="n"/>
      <c r="K26" s="149" t="n"/>
      <c r="L26" s="149" t="n"/>
      <c r="M26" s="149" t="n"/>
      <c r="N26" s="150" t="n"/>
    </row>
    <row r="27" ht="15.75" customHeight="1">
      <c r="A27" s="19" t="n">
        <v>21</v>
      </c>
      <c r="B27" s="20" t="inlineStr">
        <is>
          <t>Day</t>
        </is>
      </c>
      <c r="C27" s="21">
        <f>C25+1</f>
        <v/>
      </c>
      <c r="D27" s="24">
        <f>E26</f>
        <v/>
      </c>
      <c r="E27" s="24" t="n">
        <v>1568</v>
      </c>
      <c r="F27" s="24">
        <f>E27-D27</f>
        <v/>
      </c>
      <c r="G27" s="191">
        <f>F27+F28</f>
        <v/>
      </c>
      <c r="H27" s="13" t="n"/>
      <c r="I27" s="13" t="n"/>
      <c r="J27" s="10" t="n"/>
      <c r="K27" s="10" t="n">
        <v>73</v>
      </c>
      <c r="L27" s="10" t="n"/>
      <c r="M27" s="10" t="n"/>
      <c r="N27" s="15" t="n"/>
    </row>
    <row r="28" ht="15.75" customHeight="1">
      <c r="A28" s="19" t="n">
        <v>22</v>
      </c>
      <c r="B28" s="20" t="inlineStr">
        <is>
          <t>Night</t>
        </is>
      </c>
      <c r="C28" s="21">
        <f>C27</f>
        <v/>
      </c>
      <c r="D28" s="24">
        <f>E27</f>
        <v/>
      </c>
      <c r="E28" s="24" t="n">
        <v>1568</v>
      </c>
      <c r="F28" s="24">
        <f>E28-D28</f>
        <v/>
      </c>
      <c r="G28" s="192" t="n"/>
      <c r="H28" s="13" t="n"/>
      <c r="I28" s="13" t="n"/>
      <c r="J28" s="10" t="n"/>
      <c r="K28" s="10" t="n"/>
      <c r="L28" s="10" t="n"/>
      <c r="M28" s="10" t="n"/>
      <c r="N28" s="15" t="n"/>
    </row>
    <row r="29" ht="15.75" customHeight="1">
      <c r="A29" s="19" t="n">
        <v>23</v>
      </c>
      <c r="B29" s="20" t="inlineStr">
        <is>
          <t>Day</t>
        </is>
      </c>
      <c r="C29" s="21">
        <f>C27+1</f>
        <v/>
      </c>
      <c r="D29" s="24">
        <f>E28</f>
        <v/>
      </c>
      <c r="E29" s="24" t="n">
        <v>1570</v>
      </c>
      <c r="F29" s="24">
        <f>E29-D29</f>
        <v/>
      </c>
      <c r="G29" s="191">
        <f>F29+F30</f>
        <v/>
      </c>
      <c r="H29" s="13" t="n"/>
      <c r="I29" s="13" t="n"/>
      <c r="J29" s="10" t="n"/>
      <c r="K29" s="10" t="n"/>
      <c r="L29" s="10" t="n"/>
      <c r="M29" s="10" t="n"/>
      <c r="N29" s="15" t="n"/>
    </row>
    <row r="30" ht="15.75" customHeight="1">
      <c r="A30" s="19" t="n">
        <v>24</v>
      </c>
      <c r="B30" s="20" t="inlineStr">
        <is>
          <t>Night</t>
        </is>
      </c>
      <c r="C30" s="21">
        <f>C29</f>
        <v/>
      </c>
      <c r="D30" s="24">
        <f>E29</f>
        <v/>
      </c>
      <c r="E30" s="24" t="n">
        <v>1573</v>
      </c>
      <c r="F30" s="24">
        <f>E30-D30</f>
        <v/>
      </c>
      <c r="G30" s="192" t="n"/>
      <c r="H30" s="13" t="n"/>
      <c r="I30" s="13" t="n"/>
      <c r="J30" s="10" t="n"/>
      <c r="K30" s="10" t="n"/>
      <c r="L30" s="10" t="n"/>
      <c r="M30" s="10" t="n"/>
      <c r="N30" s="15" t="n"/>
    </row>
    <row r="31" ht="15.75" customHeight="1">
      <c r="A31" s="19" t="n">
        <v>25</v>
      </c>
      <c r="B31" s="20" t="inlineStr">
        <is>
          <t>Day</t>
        </is>
      </c>
      <c r="C31" s="21">
        <f>C29+1</f>
        <v/>
      </c>
      <c r="D31" s="24">
        <f>E30</f>
        <v/>
      </c>
      <c r="E31" s="24" t="n">
        <v>1575</v>
      </c>
      <c r="F31" s="24">
        <f>E31-D31</f>
        <v/>
      </c>
      <c r="G31" s="191">
        <f>F31+F32</f>
        <v/>
      </c>
      <c r="H31" s="13" t="n"/>
      <c r="I31" s="13" t="n"/>
      <c r="J31" s="10" t="n"/>
      <c r="K31" s="10" t="n">
        <v>50</v>
      </c>
      <c r="L31" s="10" t="n"/>
      <c r="M31" s="10" t="n"/>
      <c r="N31" s="15" t="n"/>
    </row>
    <row r="32" ht="15.75" customHeight="1">
      <c r="A32" s="19" t="n">
        <v>26</v>
      </c>
      <c r="B32" s="20" t="inlineStr">
        <is>
          <t>Night</t>
        </is>
      </c>
      <c r="C32" s="21">
        <f>C31</f>
        <v/>
      </c>
      <c r="D32" s="24">
        <f>E31</f>
        <v/>
      </c>
      <c r="E32" s="24" t="n">
        <v>1575</v>
      </c>
      <c r="F32" s="24">
        <f>E32-D32</f>
        <v/>
      </c>
      <c r="G32" s="192" t="n"/>
      <c r="H32" s="13" t="n"/>
      <c r="I32" s="13" t="n"/>
      <c r="J32" s="10" t="n"/>
      <c r="K32" s="10" t="n"/>
      <c r="L32" s="10" t="n"/>
      <c r="M32" s="10" t="n"/>
      <c r="N32" s="15" t="n"/>
    </row>
    <row r="33" ht="15.75" customHeight="1">
      <c r="A33" s="19" t="n">
        <v>27</v>
      </c>
      <c r="B33" s="20" t="inlineStr">
        <is>
          <t>Day</t>
        </is>
      </c>
      <c r="C33" s="21">
        <f>C31+1</f>
        <v/>
      </c>
      <c r="D33" s="24">
        <f>E32</f>
        <v/>
      </c>
      <c r="E33" s="24" t="n">
        <v>1577</v>
      </c>
      <c r="F33" s="24">
        <f>E33-D33</f>
        <v/>
      </c>
      <c r="G33" s="191">
        <f>F33+F34</f>
        <v/>
      </c>
      <c r="H33" s="13" t="n"/>
      <c r="I33" s="13" t="n"/>
      <c r="J33" s="10" t="n"/>
      <c r="K33" s="10" t="n"/>
      <c r="L33" s="10" t="n"/>
      <c r="M33" s="10" t="n"/>
      <c r="N33" s="15" t="n"/>
    </row>
    <row r="34" ht="15.75" customHeight="1">
      <c r="A34" s="19" t="n">
        <v>28</v>
      </c>
      <c r="B34" s="20" t="inlineStr">
        <is>
          <t>Night</t>
        </is>
      </c>
      <c r="C34" s="21">
        <f>C33</f>
        <v/>
      </c>
      <c r="D34" s="24">
        <f>E33</f>
        <v/>
      </c>
      <c r="E34" s="24" t="n">
        <v>1577</v>
      </c>
      <c r="F34" s="24">
        <f>E34-D34</f>
        <v/>
      </c>
      <c r="G34" s="192" t="n"/>
      <c r="H34" s="13" t="n"/>
      <c r="I34" s="13" t="n"/>
      <c r="J34" s="10" t="n"/>
      <c r="K34" s="10" t="n"/>
      <c r="L34" s="10" t="n"/>
      <c r="M34" s="10" t="n"/>
      <c r="N34" s="15" t="n"/>
    </row>
    <row r="35" ht="15.75" customHeight="1">
      <c r="A35" s="19" t="n">
        <v>29</v>
      </c>
      <c r="B35" s="20" t="inlineStr">
        <is>
          <t>Day</t>
        </is>
      </c>
      <c r="C35" s="21">
        <f>C33+1</f>
        <v/>
      </c>
      <c r="D35" s="24">
        <f>E34</f>
        <v/>
      </c>
      <c r="E35" s="24" t="n">
        <v>1578</v>
      </c>
      <c r="F35" s="24">
        <f>E35-D35</f>
        <v/>
      </c>
      <c r="G35" s="191">
        <f>F35+F36</f>
        <v/>
      </c>
      <c r="H35" s="13" t="n"/>
      <c r="I35" s="13" t="n"/>
      <c r="J35" s="10" t="n"/>
      <c r="K35" s="10" t="n"/>
      <c r="L35" s="10" t="n"/>
      <c r="M35" s="10" t="n"/>
      <c r="N35" s="15" t="n"/>
    </row>
    <row r="36" ht="15.75" customHeight="1">
      <c r="A36" s="19" t="n">
        <v>30</v>
      </c>
      <c r="B36" s="20" t="inlineStr">
        <is>
          <t>Night</t>
        </is>
      </c>
      <c r="C36" s="21">
        <f>C35</f>
        <v/>
      </c>
      <c r="D36" s="24">
        <f>E35</f>
        <v/>
      </c>
      <c r="E36" s="24" t="n">
        <v>1578</v>
      </c>
      <c r="F36" s="24">
        <f>E36-D36</f>
        <v/>
      </c>
      <c r="G36" s="192" t="n"/>
      <c r="H36" s="13" t="n"/>
      <c r="I36" s="13" t="n"/>
      <c r="J36" s="10" t="n"/>
      <c r="K36" s="10" t="n"/>
      <c r="L36" s="10" t="n"/>
      <c r="M36" s="10" t="n"/>
      <c r="N36" s="15" t="n"/>
    </row>
    <row r="37" ht="15.75" customHeight="1">
      <c r="A37" s="19" t="n">
        <v>31</v>
      </c>
      <c r="B37" s="20" t="inlineStr">
        <is>
          <t>Day</t>
        </is>
      </c>
      <c r="C37" s="21">
        <f>C35+1</f>
        <v/>
      </c>
      <c r="D37" s="24">
        <f>E36</f>
        <v/>
      </c>
      <c r="E37" s="24" t="n">
        <v>1578</v>
      </c>
      <c r="F37" s="24">
        <f>E37-D37</f>
        <v/>
      </c>
      <c r="G37" s="191">
        <f>F37+F38</f>
        <v/>
      </c>
      <c r="H37" s="13" t="n"/>
      <c r="I37" s="13" t="n"/>
      <c r="J37" s="10" t="n"/>
      <c r="K37" s="10" t="n"/>
      <c r="L37" s="10" t="n"/>
      <c r="M37" s="10" t="n"/>
      <c r="N37" s="15" t="n"/>
    </row>
    <row r="38" ht="15.75" customHeight="1">
      <c r="A38" s="19" t="n">
        <v>32</v>
      </c>
      <c r="B38" s="20" t="inlineStr">
        <is>
          <t>Night</t>
        </is>
      </c>
      <c r="C38" s="21">
        <f>C37</f>
        <v/>
      </c>
      <c r="D38" s="24">
        <f>E37</f>
        <v/>
      </c>
      <c r="E38" s="24" t="n">
        <v>1578</v>
      </c>
      <c r="F38" s="24">
        <f>E38-D38</f>
        <v/>
      </c>
      <c r="G38" s="192" t="n"/>
      <c r="H38" s="16" t="n"/>
      <c r="I38" s="16" t="n"/>
      <c r="J38" s="7" t="n"/>
      <c r="K38" s="7" t="n"/>
      <c r="L38" s="7" t="n"/>
      <c r="M38" s="7" t="n"/>
      <c r="N38" s="12" t="n"/>
    </row>
    <row r="39" ht="15.75" customHeight="1">
      <c r="A39" s="143" t="n">
        <v>33</v>
      </c>
      <c r="B39" s="144" t="inlineStr">
        <is>
          <t>Day</t>
        </is>
      </c>
      <c r="C39" s="88">
        <f>C37+1</f>
        <v/>
      </c>
      <c r="D39" s="89">
        <f>E38</f>
        <v/>
      </c>
      <c r="E39" s="89" t="n">
        <v>1578</v>
      </c>
      <c r="F39" s="89">
        <f>E39-D39</f>
        <v/>
      </c>
      <c r="G39" s="193">
        <f>F39+F40</f>
        <v/>
      </c>
      <c r="H39" s="151" t="n"/>
      <c r="I39" s="151" t="n"/>
      <c r="J39" s="152" t="n"/>
      <c r="K39" s="152" t="n"/>
      <c r="L39" s="152" t="n"/>
      <c r="M39" s="152" t="n"/>
      <c r="N39" s="150" t="inlineStr">
        <is>
          <t>Sunday</t>
        </is>
      </c>
    </row>
    <row r="40" ht="15.75" customHeight="1">
      <c r="A40" s="143" t="n">
        <v>34</v>
      </c>
      <c r="B40" s="144" t="inlineStr">
        <is>
          <t>Night</t>
        </is>
      </c>
      <c r="C40" s="88">
        <f>C39</f>
        <v/>
      </c>
      <c r="D40" s="89">
        <f>E39</f>
        <v/>
      </c>
      <c r="E40" s="89" t="n">
        <v>1578</v>
      </c>
      <c r="F40" s="89">
        <f>E40-D40</f>
        <v/>
      </c>
      <c r="G40" s="192" t="n"/>
      <c r="H40" s="151" t="n"/>
      <c r="I40" s="151" t="n"/>
      <c r="J40" s="152" t="n"/>
      <c r="K40" s="152" t="n"/>
      <c r="L40" s="152" t="n"/>
      <c r="M40" s="152" t="n"/>
      <c r="N40" s="153" t="n"/>
    </row>
    <row r="41" ht="15.75" customHeight="1">
      <c r="A41" s="19" t="n">
        <v>35</v>
      </c>
      <c r="B41" s="20" t="inlineStr">
        <is>
          <t>Day</t>
        </is>
      </c>
      <c r="C41" s="21">
        <f>C39+1</f>
        <v/>
      </c>
      <c r="D41" s="24">
        <f>E40</f>
        <v/>
      </c>
      <c r="E41" s="24" t="n">
        <v>1586</v>
      </c>
      <c r="F41" s="24">
        <f>E41-D41</f>
        <v/>
      </c>
      <c r="G41" s="191">
        <f>F41+F42</f>
        <v/>
      </c>
      <c r="H41" s="16" t="n"/>
      <c r="I41" s="16" t="n"/>
      <c r="J41" s="7" t="n"/>
      <c r="K41" s="7" t="n">
        <v>80</v>
      </c>
      <c r="L41" s="7" t="n"/>
      <c r="M41" s="7" t="n"/>
      <c r="N41" s="12" t="n"/>
    </row>
    <row r="42" ht="15.75" customHeight="1">
      <c r="A42" s="19" t="n">
        <v>36</v>
      </c>
      <c r="B42" s="20" t="inlineStr">
        <is>
          <t>Night</t>
        </is>
      </c>
      <c r="C42" s="21">
        <f>C41</f>
        <v/>
      </c>
      <c r="D42" s="24">
        <f>E41</f>
        <v/>
      </c>
      <c r="E42" s="24" t="n">
        <v>1590</v>
      </c>
      <c r="F42" s="24">
        <f>E42-D42</f>
        <v/>
      </c>
      <c r="G42" s="192" t="n"/>
      <c r="H42" s="16" t="n"/>
      <c r="I42" s="16" t="n"/>
      <c r="J42" s="7" t="n"/>
      <c r="K42" s="7" t="n"/>
      <c r="L42" s="7" t="n"/>
      <c r="M42" s="7" t="n"/>
      <c r="N42" s="12" t="n"/>
    </row>
    <row r="43" ht="15.75" customHeight="1">
      <c r="A43" s="19" t="n">
        <v>37</v>
      </c>
      <c r="B43" s="20" t="inlineStr">
        <is>
          <t>Day</t>
        </is>
      </c>
      <c r="C43" s="21">
        <f>C41+1</f>
        <v/>
      </c>
      <c r="D43" s="24">
        <f>E42</f>
        <v/>
      </c>
      <c r="E43" s="24" t="n">
        <v>1591</v>
      </c>
      <c r="F43" s="24">
        <f>E43-D43</f>
        <v/>
      </c>
      <c r="G43" s="191">
        <f>F43+F44</f>
        <v/>
      </c>
      <c r="H43" s="16" t="n"/>
      <c r="I43" s="16" t="n"/>
      <c r="J43" s="7" t="n"/>
      <c r="K43" s="7" t="n"/>
      <c r="L43" s="7" t="n"/>
      <c r="M43" s="7" t="n"/>
      <c r="N43" s="12" t="n"/>
    </row>
    <row r="44" ht="15.75" customHeight="1">
      <c r="A44" s="26" t="n">
        <v>38</v>
      </c>
      <c r="B44" s="27" t="inlineStr">
        <is>
          <t>Night</t>
        </is>
      </c>
      <c r="C44" s="21">
        <f>C43</f>
        <v/>
      </c>
      <c r="D44" s="24">
        <f>E43</f>
        <v/>
      </c>
      <c r="E44" s="24" t="n">
        <v>1591</v>
      </c>
      <c r="F44" s="24">
        <f>E44-D44</f>
        <v/>
      </c>
      <c r="G44" s="192" t="n"/>
      <c r="H44" s="16" t="n"/>
      <c r="I44" s="16" t="n"/>
      <c r="J44" s="7" t="n"/>
      <c r="K44" s="7" t="n"/>
      <c r="L44" s="7" t="n"/>
      <c r="M44" s="7" t="n"/>
      <c r="N44" s="12" t="n"/>
    </row>
    <row r="45" ht="15.75" customHeight="1">
      <c r="A45" s="28" t="n">
        <v>39</v>
      </c>
      <c r="B45" s="29" t="inlineStr">
        <is>
          <t>Day</t>
        </is>
      </c>
      <c r="C45" s="21">
        <f>C43+1</f>
        <v/>
      </c>
      <c r="D45" s="24">
        <f>E44</f>
        <v/>
      </c>
      <c r="E45" s="24" t="n">
        <v>1591</v>
      </c>
      <c r="F45" s="24">
        <f>E45-D45</f>
        <v/>
      </c>
      <c r="G45" s="191">
        <f>F45+F46</f>
        <v/>
      </c>
      <c r="H45" s="16" t="n"/>
      <c r="I45" s="16" t="n"/>
      <c r="J45" s="7" t="n"/>
      <c r="K45" s="7" t="n"/>
      <c r="L45" s="7" t="n"/>
      <c r="M45" s="7" t="n"/>
      <c r="N45" s="12" t="n"/>
    </row>
    <row r="46" ht="15.75" customHeight="1">
      <c r="A46" s="28" t="n">
        <v>40</v>
      </c>
      <c r="B46" s="29" t="inlineStr">
        <is>
          <t>Night</t>
        </is>
      </c>
      <c r="C46" s="21">
        <f>C45</f>
        <v/>
      </c>
      <c r="D46" s="24">
        <f>E45</f>
        <v/>
      </c>
      <c r="E46" s="24" t="n">
        <v>1591</v>
      </c>
      <c r="F46" s="24">
        <f>E46-D46</f>
        <v/>
      </c>
      <c r="G46" s="192" t="n"/>
      <c r="H46" s="16" t="n"/>
      <c r="I46" s="16" t="n"/>
      <c r="J46" s="7" t="n"/>
      <c r="K46" s="7" t="n"/>
      <c r="L46" s="7" t="n"/>
      <c r="M46" s="7" t="n"/>
      <c r="N46" s="12" t="n"/>
    </row>
    <row r="47" ht="15.75" customHeight="1">
      <c r="A47" s="30" t="n">
        <v>41</v>
      </c>
      <c r="B47" s="20" t="inlineStr">
        <is>
          <t>Day</t>
        </is>
      </c>
      <c r="C47" s="21">
        <f>C45+1</f>
        <v/>
      </c>
      <c r="D47" s="24">
        <f>E46</f>
        <v/>
      </c>
      <c r="E47" s="24" t="n">
        <v>1591</v>
      </c>
      <c r="F47" s="24">
        <f>E47-D47</f>
        <v/>
      </c>
      <c r="G47" s="191">
        <f>F47+F48</f>
        <v/>
      </c>
      <c r="H47" s="16" t="n"/>
      <c r="I47" s="16" t="n"/>
      <c r="J47" s="7" t="n"/>
      <c r="K47" s="7" t="n"/>
      <c r="L47" s="7" t="n"/>
      <c r="M47" s="7" t="n"/>
      <c r="N47" s="12" t="n"/>
    </row>
    <row r="48" ht="15.75" customHeight="1">
      <c r="A48" s="28" t="n">
        <v>42</v>
      </c>
      <c r="B48" s="20" t="inlineStr">
        <is>
          <t>Night</t>
        </is>
      </c>
      <c r="C48" s="21">
        <f>C47</f>
        <v/>
      </c>
      <c r="D48" s="24">
        <f>E47</f>
        <v/>
      </c>
      <c r="E48" s="24" t="n">
        <v>1591</v>
      </c>
      <c r="F48" s="24">
        <f>E48-D48</f>
        <v/>
      </c>
      <c r="G48" s="192" t="n"/>
      <c r="H48" s="16" t="n"/>
      <c r="I48" s="16" t="n"/>
      <c r="J48" s="7" t="n"/>
      <c r="K48" s="7" t="n"/>
      <c r="L48" s="7" t="n"/>
      <c r="M48" s="7" t="n"/>
      <c r="N48" s="12" t="n"/>
    </row>
    <row r="49" ht="15.75" customHeight="1">
      <c r="A49" s="28" t="n">
        <v>43</v>
      </c>
      <c r="B49" s="20" t="inlineStr">
        <is>
          <t>Day</t>
        </is>
      </c>
      <c r="C49" s="21">
        <f>C47+1</f>
        <v/>
      </c>
      <c r="D49" s="24">
        <f>E48</f>
        <v/>
      </c>
      <c r="E49" s="24" t="n">
        <v>1591</v>
      </c>
      <c r="F49" s="24">
        <f>E49-D49</f>
        <v/>
      </c>
      <c r="G49" s="191">
        <f>F49+F50</f>
        <v/>
      </c>
      <c r="H49" s="16" t="n"/>
      <c r="I49" s="16" t="n"/>
      <c r="J49" s="7" t="n"/>
      <c r="K49" s="7" t="n"/>
      <c r="L49" s="7" t="n"/>
      <c r="M49" s="7" t="n"/>
      <c r="N49" s="12" t="n"/>
    </row>
    <row r="50" ht="15.75" customHeight="1">
      <c r="A50" s="28" t="n">
        <v>44</v>
      </c>
      <c r="B50" s="20" t="inlineStr">
        <is>
          <t>Night</t>
        </is>
      </c>
      <c r="C50" s="21">
        <f>C49</f>
        <v/>
      </c>
      <c r="D50" s="24">
        <f>E49</f>
        <v/>
      </c>
      <c r="E50" s="24" t="n">
        <v>1591</v>
      </c>
      <c r="F50" s="24">
        <f>E50-D50</f>
        <v/>
      </c>
      <c r="G50" s="192" t="n"/>
      <c r="H50" s="16" t="n"/>
      <c r="I50" s="16" t="n"/>
      <c r="J50" s="7" t="n"/>
      <c r="K50" s="7" t="n"/>
      <c r="L50" s="7" t="n"/>
      <c r="M50" s="7" t="n"/>
      <c r="N50" s="12" t="n"/>
    </row>
    <row r="51" ht="15.75" customHeight="1">
      <c r="A51" s="28" t="n">
        <v>45</v>
      </c>
      <c r="B51" s="20" t="inlineStr">
        <is>
          <t>Day</t>
        </is>
      </c>
      <c r="C51" s="21">
        <f>C49+1</f>
        <v/>
      </c>
      <c r="D51" s="24">
        <f>E50</f>
        <v/>
      </c>
      <c r="E51" s="24" t="n">
        <v>1591</v>
      </c>
      <c r="F51" s="24">
        <f>E51-D51</f>
        <v/>
      </c>
      <c r="G51" s="191">
        <f>F51+F52</f>
        <v/>
      </c>
      <c r="H51" s="16" t="n"/>
      <c r="I51" s="16" t="n"/>
      <c r="J51" s="7" t="n"/>
      <c r="K51" s="7" t="n"/>
      <c r="L51" s="7" t="n"/>
      <c r="M51" s="7" t="n"/>
      <c r="N51" s="12" t="n"/>
    </row>
    <row r="52" ht="15.75" customHeight="1">
      <c r="A52" s="28" t="n">
        <v>46</v>
      </c>
      <c r="B52" s="20" t="inlineStr">
        <is>
          <t>Night</t>
        </is>
      </c>
      <c r="C52" s="21">
        <f>C51</f>
        <v/>
      </c>
      <c r="D52" s="24">
        <f>E51</f>
        <v/>
      </c>
      <c r="E52" s="24" t="n">
        <v>1591</v>
      </c>
      <c r="F52" s="24">
        <f>E52-D52</f>
        <v/>
      </c>
      <c r="G52" s="192" t="n"/>
      <c r="H52" s="16" t="n"/>
      <c r="I52" s="16" t="n"/>
      <c r="J52" s="7" t="n"/>
      <c r="K52" s="7" t="n"/>
      <c r="L52" s="7" t="n"/>
      <c r="M52" s="7" t="n"/>
      <c r="N52" s="12" t="n"/>
    </row>
    <row r="53" ht="15.75" customHeight="1">
      <c r="A53" s="154" t="n">
        <v>47</v>
      </c>
      <c r="B53" s="144" t="inlineStr">
        <is>
          <t>Day</t>
        </is>
      </c>
      <c r="C53" s="88">
        <f>C51+1</f>
        <v/>
      </c>
      <c r="D53" s="89">
        <f>E52</f>
        <v/>
      </c>
      <c r="E53" s="89" t="n">
        <v>1591</v>
      </c>
      <c r="F53" s="89">
        <f>E53-D53</f>
        <v/>
      </c>
      <c r="G53" s="193">
        <f>F53+F54</f>
        <v/>
      </c>
      <c r="H53" s="151" t="n"/>
      <c r="I53" s="151" t="n"/>
      <c r="J53" s="152" t="n"/>
      <c r="K53" s="152" t="n"/>
      <c r="L53" s="152" t="n"/>
      <c r="M53" s="152" t="n"/>
      <c r="N53" s="150" t="inlineStr">
        <is>
          <t>Sunday</t>
        </is>
      </c>
    </row>
    <row r="54" ht="15.75" customHeight="1">
      <c r="A54" s="154" t="n">
        <v>48</v>
      </c>
      <c r="B54" s="144" t="inlineStr">
        <is>
          <t>Night</t>
        </is>
      </c>
      <c r="C54" s="88">
        <f>C53</f>
        <v/>
      </c>
      <c r="D54" s="89">
        <f>E53</f>
        <v/>
      </c>
      <c r="E54" s="89" t="n">
        <v>1591</v>
      </c>
      <c r="F54" s="89">
        <f>E54-D54</f>
        <v/>
      </c>
      <c r="G54" s="192" t="n"/>
      <c r="H54" s="151" t="n"/>
      <c r="I54" s="151" t="n"/>
      <c r="J54" s="152" t="n"/>
      <c r="K54" s="152" t="n"/>
      <c r="L54" s="152" t="n"/>
      <c r="M54" s="152" t="n"/>
      <c r="N54" s="153" t="n"/>
    </row>
    <row r="55" ht="15.75" customHeight="1">
      <c r="A55" s="28" t="n">
        <v>49</v>
      </c>
      <c r="B55" s="20" t="inlineStr">
        <is>
          <t>Day</t>
        </is>
      </c>
      <c r="C55" s="21">
        <f>C53+1</f>
        <v/>
      </c>
      <c r="D55" s="24">
        <f>E54</f>
        <v/>
      </c>
      <c r="E55" s="24" t="n">
        <v>1591</v>
      </c>
      <c r="F55" s="24">
        <f>E55-D55</f>
        <v/>
      </c>
      <c r="G55" s="191">
        <f>F55+F56</f>
        <v/>
      </c>
      <c r="H55" s="16" t="n"/>
      <c r="I55" s="16" t="n"/>
      <c r="J55" s="7" t="n"/>
      <c r="K55" s="7" t="n"/>
      <c r="L55" s="7" t="n"/>
      <c r="M55" s="7" t="n"/>
      <c r="N55" s="12" t="n"/>
    </row>
    <row r="56" ht="15.75" customHeight="1">
      <c r="A56" s="28" t="n">
        <v>50</v>
      </c>
      <c r="B56" s="20" t="inlineStr">
        <is>
          <t>Night</t>
        </is>
      </c>
      <c r="C56" s="21">
        <f>C55</f>
        <v/>
      </c>
      <c r="D56" s="24">
        <f>E55</f>
        <v/>
      </c>
      <c r="E56" s="24" t="n">
        <v>1591</v>
      </c>
      <c r="F56" s="24">
        <f>E56-D56</f>
        <v/>
      </c>
      <c r="G56" s="192" t="n"/>
      <c r="H56" s="16" t="n"/>
      <c r="I56" s="16" t="n"/>
      <c r="J56" s="7" t="n"/>
      <c r="K56" s="7" t="n"/>
      <c r="L56" s="7" t="n"/>
      <c r="M56" s="7" t="n"/>
      <c r="N56" s="12" t="n"/>
    </row>
    <row r="57" ht="15.75" customHeight="1">
      <c r="A57" s="28" t="n">
        <v>51</v>
      </c>
      <c r="B57" s="20" t="inlineStr">
        <is>
          <t>Day</t>
        </is>
      </c>
      <c r="C57" s="21">
        <f>C55+1</f>
        <v/>
      </c>
      <c r="D57" s="24">
        <f>E56</f>
        <v/>
      </c>
      <c r="E57" s="24" t="n">
        <v>1591</v>
      </c>
      <c r="F57" s="24">
        <f>E57-D57</f>
        <v/>
      </c>
      <c r="G57" s="191">
        <f>F57+F58</f>
        <v/>
      </c>
      <c r="H57" s="16" t="n"/>
      <c r="I57" s="16" t="n"/>
      <c r="J57" s="7" t="n"/>
      <c r="K57" s="7" t="n"/>
      <c r="L57" s="7" t="n"/>
      <c r="M57" s="7" t="n"/>
      <c r="N57" s="12" t="n"/>
    </row>
    <row r="58" ht="15.75" customHeight="1">
      <c r="A58" s="28" t="n">
        <v>52</v>
      </c>
      <c r="B58" s="20" t="inlineStr">
        <is>
          <t>Night</t>
        </is>
      </c>
      <c r="C58" s="21">
        <f>C57</f>
        <v/>
      </c>
      <c r="D58" s="24">
        <f>E57</f>
        <v/>
      </c>
      <c r="E58" s="24" t="n">
        <v>1591</v>
      </c>
      <c r="F58" s="24">
        <f>E58-D58</f>
        <v/>
      </c>
      <c r="G58" s="192" t="n"/>
      <c r="H58" s="16" t="n"/>
      <c r="I58" s="16" t="n"/>
      <c r="J58" s="7" t="n"/>
      <c r="K58" s="7" t="n"/>
      <c r="L58" s="7" t="n"/>
      <c r="M58" s="7" t="n"/>
      <c r="N58" s="12" t="n"/>
    </row>
    <row r="59" ht="15.75" customHeight="1">
      <c r="A59" s="28" t="n">
        <v>53</v>
      </c>
      <c r="B59" s="20" t="inlineStr">
        <is>
          <t>Day</t>
        </is>
      </c>
      <c r="C59" s="21">
        <f>C57+1</f>
        <v/>
      </c>
      <c r="D59" s="24">
        <f>E58</f>
        <v/>
      </c>
      <c r="E59" s="24" t="n">
        <v>1591</v>
      </c>
      <c r="F59" s="24">
        <f>E59-D59</f>
        <v/>
      </c>
      <c r="G59" s="191">
        <f>F59+F60</f>
        <v/>
      </c>
      <c r="H59" s="16" t="n"/>
      <c r="I59" s="16" t="n"/>
      <c r="J59" s="7" t="n"/>
      <c r="K59" s="7" t="n"/>
      <c r="L59" s="7" t="n"/>
      <c r="M59" s="7" t="n"/>
      <c r="N59" s="12" t="n"/>
    </row>
    <row r="60" ht="15.75" customHeight="1">
      <c r="A60" s="28" t="n">
        <v>54</v>
      </c>
      <c r="B60" s="20" t="inlineStr">
        <is>
          <t>Night</t>
        </is>
      </c>
      <c r="C60" s="21">
        <f>C59</f>
        <v/>
      </c>
      <c r="D60" s="24">
        <f>E59</f>
        <v/>
      </c>
      <c r="E60" s="24" t="n">
        <v>1591</v>
      </c>
      <c r="F60" s="24">
        <f>E60-D60</f>
        <v/>
      </c>
      <c r="G60" s="192" t="n"/>
      <c r="H60" s="16" t="n"/>
      <c r="I60" s="16" t="n"/>
      <c r="J60" s="7" t="n"/>
      <c r="K60" s="7" t="n"/>
      <c r="L60" s="7" t="n"/>
      <c r="M60" s="7" t="n"/>
      <c r="N60" s="12" t="n"/>
    </row>
    <row r="61" ht="15.75" customHeight="1">
      <c r="A61" s="28" t="n">
        <v>55</v>
      </c>
      <c r="B61" s="20" t="inlineStr">
        <is>
          <t>Day</t>
        </is>
      </c>
      <c r="C61" s="21">
        <f>C59+1</f>
        <v/>
      </c>
      <c r="D61" s="24">
        <f>E60</f>
        <v/>
      </c>
      <c r="E61" s="24" t="n">
        <v>1591</v>
      </c>
      <c r="F61" s="24">
        <f>E61-D61</f>
        <v/>
      </c>
      <c r="G61" s="191">
        <f>F61+F62</f>
        <v/>
      </c>
      <c r="H61" s="16" t="n"/>
      <c r="I61" s="16" t="n"/>
      <c r="J61" s="7" t="n"/>
      <c r="K61" s="7" t="n"/>
      <c r="L61" s="7" t="n"/>
      <c r="M61" s="7" t="n"/>
      <c r="N61" s="12" t="n"/>
    </row>
    <row r="62" ht="15.75" customHeight="1">
      <c r="A62" s="28" t="n">
        <v>56</v>
      </c>
      <c r="B62" s="20" t="inlineStr">
        <is>
          <t>Night</t>
        </is>
      </c>
      <c r="C62" s="21">
        <f>C61</f>
        <v/>
      </c>
      <c r="D62" s="24">
        <f>E61</f>
        <v/>
      </c>
      <c r="E62" s="24" t="n">
        <v>1591</v>
      </c>
      <c r="F62" s="24">
        <f>E62-D62</f>
        <v/>
      </c>
      <c r="G62" s="192" t="n"/>
      <c r="H62" s="16" t="n"/>
      <c r="I62" s="16" t="n"/>
      <c r="J62" s="7" t="n"/>
      <c r="K62" s="7" t="n"/>
      <c r="L62" s="7" t="n"/>
      <c r="M62" s="7" t="n"/>
      <c r="N62" s="12" t="n"/>
    </row>
    <row r="63" ht="15.75" customHeight="1">
      <c r="A63" s="28" t="n">
        <v>57</v>
      </c>
      <c r="B63" s="20" t="inlineStr">
        <is>
          <t>Day</t>
        </is>
      </c>
      <c r="C63" s="21">
        <f>C61+1</f>
        <v/>
      </c>
      <c r="D63" s="24">
        <f>E62</f>
        <v/>
      </c>
      <c r="E63" s="24" t="n">
        <v>1591</v>
      </c>
      <c r="F63" s="24">
        <f>E63-D63</f>
        <v/>
      </c>
      <c r="G63" s="191">
        <f>F63+F64</f>
        <v/>
      </c>
      <c r="H63" s="16" t="n"/>
      <c r="I63" s="16" t="n"/>
      <c r="J63" s="7" t="n"/>
      <c r="K63" s="7" t="n"/>
      <c r="L63" s="7" t="n"/>
      <c r="M63" s="7" t="n"/>
      <c r="N63" s="12" t="n"/>
    </row>
    <row r="64" ht="15.75" customHeight="1">
      <c r="A64" s="28" t="n">
        <v>58</v>
      </c>
      <c r="B64" s="20" t="inlineStr">
        <is>
          <t>Night</t>
        </is>
      </c>
      <c r="C64" s="21">
        <f>C63</f>
        <v/>
      </c>
      <c r="D64" s="24">
        <f>E63</f>
        <v/>
      </c>
      <c r="E64" s="24" t="n">
        <v>1591</v>
      </c>
      <c r="F64" s="24">
        <f>E64-D64</f>
        <v/>
      </c>
      <c r="G64" s="192" t="n"/>
      <c r="H64" s="16" t="n"/>
      <c r="I64" s="16" t="n"/>
      <c r="J64" s="7" t="n"/>
      <c r="K64" s="7" t="n"/>
      <c r="L64" s="7" t="n"/>
      <c r="M64" s="7" t="n"/>
      <c r="N64" s="12" t="n"/>
    </row>
    <row r="65" ht="15.75" customHeight="1">
      <c r="A65" s="28" t="n">
        <v>59</v>
      </c>
      <c r="B65" s="27" t="inlineStr">
        <is>
          <t>Day</t>
        </is>
      </c>
      <c r="C65" s="21">
        <f>C63+1</f>
        <v/>
      </c>
      <c r="D65" s="24">
        <f>E64</f>
        <v/>
      </c>
      <c r="E65" s="24" t="n">
        <v>1591</v>
      </c>
      <c r="F65" s="24">
        <f>E65-D65</f>
        <v/>
      </c>
      <c r="G65" s="191">
        <f>F65+F66</f>
        <v/>
      </c>
      <c r="H65" s="16" t="n"/>
      <c r="I65" s="16" t="n"/>
      <c r="J65" s="7" t="n"/>
      <c r="K65" s="7" t="n"/>
      <c r="L65" s="7" t="n"/>
      <c r="M65" s="7" t="n"/>
      <c r="N65" s="12" t="n"/>
    </row>
    <row r="66" ht="15.75" customHeight="1">
      <c r="A66" s="31" t="n">
        <v>60</v>
      </c>
      <c r="B66" s="29" t="inlineStr">
        <is>
          <t>Night</t>
        </is>
      </c>
      <c r="C66" s="21">
        <f>C64+1</f>
        <v/>
      </c>
      <c r="D66" s="24">
        <f>E65</f>
        <v/>
      </c>
      <c r="E66" s="24" t="n">
        <v>1591</v>
      </c>
      <c r="F66" s="24">
        <f>E66-D66</f>
        <v/>
      </c>
      <c r="G66" s="192" t="n"/>
      <c r="H66" s="16" t="n"/>
      <c r="I66" s="16" t="n"/>
      <c r="J66" s="7" t="n"/>
      <c r="K66" s="7" t="n"/>
      <c r="L66" s="7" t="n"/>
      <c r="M66" s="7" t="n"/>
      <c r="N66" s="12" t="n"/>
    </row>
    <row r="67" ht="15.75" customHeight="1">
      <c r="A67" s="155" t="n">
        <v>61</v>
      </c>
      <c r="B67" s="156" t="inlineStr">
        <is>
          <t>Day</t>
        </is>
      </c>
      <c r="C67" s="88">
        <f>C65+1</f>
        <v/>
      </c>
      <c r="D67" s="89">
        <f>E66</f>
        <v/>
      </c>
      <c r="E67" s="89" t="n">
        <v>1591</v>
      </c>
      <c r="F67" s="89">
        <f>E67-D67</f>
        <v/>
      </c>
      <c r="G67" s="193">
        <f>F67+F68</f>
        <v/>
      </c>
      <c r="H67" s="151" t="n"/>
      <c r="I67" s="151" t="n"/>
      <c r="J67" s="152" t="n"/>
      <c r="K67" s="152" t="n"/>
      <c r="L67" s="152" t="n"/>
      <c r="M67" s="152" t="n"/>
      <c r="N67" s="150" t="inlineStr">
        <is>
          <t>Sunday</t>
        </is>
      </c>
    </row>
    <row r="68" ht="16.5" customHeight="1" thickBot="1">
      <c r="A68" s="155" t="n">
        <v>62</v>
      </c>
      <c r="B68" s="157" t="inlineStr">
        <is>
          <t>Night</t>
        </is>
      </c>
      <c r="C68" s="88">
        <f>C66+1</f>
        <v/>
      </c>
      <c r="D68" s="89">
        <f>E67</f>
        <v/>
      </c>
      <c r="E68" s="89" t="n">
        <v>1591</v>
      </c>
      <c r="F68" s="89">
        <f>E68-D68</f>
        <v/>
      </c>
      <c r="G68" s="192" t="n"/>
      <c r="H68" s="151" t="n"/>
      <c r="I68" s="151" t="n"/>
      <c r="J68" s="152" t="n"/>
      <c r="K68" s="152" t="n"/>
      <c r="L68" s="152" t="n"/>
      <c r="M68" s="152" t="n"/>
      <c r="N68" s="153" t="n"/>
    </row>
    <row r="69" ht="16.5" customHeight="1" thickBot="1">
      <c r="A69" s="207" t="inlineStr">
        <is>
          <t>Total</t>
        </is>
      </c>
      <c r="B69" s="208" t="n"/>
      <c r="C69" s="208" t="n"/>
      <c r="D69" s="208" t="n"/>
      <c r="E69" s="209" t="n"/>
      <c r="F69" s="32">
        <f>SUBTOTAL(9,F7:F68)</f>
        <v/>
      </c>
      <c r="G69" s="32">
        <f>SUBTOTAL(9,G7:G68)</f>
        <v/>
      </c>
      <c r="H69" s="34" t="n"/>
      <c r="I69" s="35" t="n"/>
      <c r="J69" s="36" t="n"/>
      <c r="K69" s="32">
        <f>SUBTOTAL(9,K7:K68)</f>
        <v/>
      </c>
      <c r="L69" s="36" t="n"/>
      <c r="M69" s="36" t="n"/>
      <c r="N69" s="37" t="n"/>
    </row>
    <row r="71" ht="15.75" customHeight="1">
      <c r="E71" s="195" t="inlineStr">
        <is>
          <t>Max hsd as per loi(5-6)</t>
        </is>
      </c>
      <c r="F71" s="189" t="n"/>
      <c r="G71" s="190" t="n"/>
      <c r="H71" s="195">
        <f>G69*6</f>
        <v/>
      </c>
    </row>
    <row r="72" ht="15.75" customHeight="1">
      <c r="E72" s="195" t="inlineStr">
        <is>
          <t>Actual diesel cosumption</t>
        </is>
      </c>
      <c r="F72" s="189" t="n"/>
      <c r="G72" s="190" t="n"/>
      <c r="H72" s="140">
        <f>K69</f>
        <v/>
      </c>
    </row>
    <row r="73" ht="15.75" customHeight="1">
      <c r="E73" s="195" t="inlineStr">
        <is>
          <t>Fuel ecxess</t>
        </is>
      </c>
      <c r="F73" s="189" t="n"/>
      <c r="G73" s="190" t="n"/>
      <c r="H73" s="140">
        <f>H72-H71</f>
        <v/>
      </c>
    </row>
    <row r="75">
      <c r="A75" t="inlineStr">
        <is>
          <t>Monthly Rate</t>
        </is>
      </c>
      <c r="C75" t="n">
        <v>260000</v>
      </c>
    </row>
    <row r="76">
      <c r="A76" t="inlineStr">
        <is>
          <t>Per Day Rate/31</t>
        </is>
      </c>
      <c r="C76" s="167">
        <f>C75/31</f>
        <v/>
      </c>
    </row>
    <row r="77">
      <c r="A77" t="inlineStr">
        <is>
          <t>28 Days Bill Amount</t>
        </is>
      </c>
      <c r="C77" s="167">
        <f>C76*28</f>
        <v/>
      </c>
    </row>
  </sheetData>
  <mergeCells count="46">
    <mergeCell ref="A5:D5"/>
    <mergeCell ref="G67:G68"/>
    <mergeCell ref="G43:G44"/>
    <mergeCell ref="G23:G24"/>
    <mergeCell ref="G17:G18"/>
    <mergeCell ref="G57:G58"/>
    <mergeCell ref="G61:G62"/>
    <mergeCell ref="A4:D4"/>
    <mergeCell ref="G13:G14"/>
    <mergeCell ref="G7:G8"/>
    <mergeCell ref="G39:G40"/>
    <mergeCell ref="G19:G20"/>
    <mergeCell ref="A69:E69"/>
    <mergeCell ref="G53:G54"/>
    <mergeCell ref="G65:G66"/>
    <mergeCell ref="E3:N3"/>
    <mergeCell ref="D12:F12"/>
    <mergeCell ref="G37:G38"/>
    <mergeCell ref="G15:G16"/>
    <mergeCell ref="G55:G56"/>
    <mergeCell ref="G49:G50"/>
    <mergeCell ref="G29:G30"/>
    <mergeCell ref="A1:D1"/>
    <mergeCell ref="E72:G72"/>
    <mergeCell ref="E5:N5"/>
    <mergeCell ref="G63:G64"/>
    <mergeCell ref="G33:G34"/>
    <mergeCell ref="G51:G52"/>
    <mergeCell ref="E4:N4"/>
    <mergeCell ref="G45:G46"/>
    <mergeCell ref="G25:G26"/>
    <mergeCell ref="G41:G42"/>
    <mergeCell ref="G59:G60"/>
    <mergeCell ref="G35:G36"/>
    <mergeCell ref="E1:N1"/>
    <mergeCell ref="E71:G71"/>
    <mergeCell ref="G9:G10"/>
    <mergeCell ref="G27:G28"/>
    <mergeCell ref="G47:G48"/>
    <mergeCell ref="A3:D3"/>
    <mergeCell ref="G21:G22"/>
    <mergeCell ref="E73:G73"/>
    <mergeCell ref="G31:G32"/>
    <mergeCell ref="A2:D2"/>
    <mergeCell ref="G11:G12"/>
    <mergeCell ref="E2:N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82"/>
  <sheetViews>
    <sheetView workbookViewId="0">
      <selection activeCell="A73" sqref="A73:B73"/>
    </sheetView>
  </sheetViews>
  <sheetFormatPr baseColWidth="8" defaultRowHeight="15"/>
  <cols>
    <col width="15.28515625" customWidth="1" min="2" max="2"/>
    <col width="16.85546875" customWidth="1" min="9" max="9"/>
    <col width="17.85546875" customWidth="1" min="14" max="14"/>
  </cols>
  <sheetData>
    <row r="1" ht="15" customHeight="1">
      <c r="A1" s="194" t="inlineStr">
        <is>
          <t xml:space="preserve">Vendor Description  </t>
        </is>
      </c>
      <c r="B1" s="189" t="n"/>
      <c r="C1" s="189" t="n"/>
      <c r="D1" s="190" t="n"/>
      <c r="E1" s="204" t="inlineStr">
        <is>
          <t>EKTA ENTERPRISES</t>
        </is>
      </c>
      <c r="F1" s="205" t="n"/>
      <c r="G1" s="205" t="n"/>
      <c r="H1" s="205" t="n"/>
      <c r="I1" s="205" t="n"/>
      <c r="J1" s="205" t="n"/>
      <c r="K1" s="205" t="n"/>
      <c r="L1" s="205" t="n"/>
      <c r="M1" s="205" t="n"/>
      <c r="N1" s="206" t="n"/>
    </row>
    <row r="2" ht="15" customHeight="1">
      <c r="A2" s="194" t="inlineStr">
        <is>
          <t xml:space="preserve">Asset  Discription  </t>
        </is>
      </c>
      <c r="B2" s="189" t="n"/>
      <c r="C2" s="189" t="n"/>
      <c r="D2" s="190" t="n"/>
      <c r="E2" s="197" t="inlineStr">
        <is>
          <t xml:space="preserve">XCMG Crawler CRANE </t>
        </is>
      </c>
      <c r="F2" s="198" t="n"/>
      <c r="G2" s="198" t="n"/>
      <c r="H2" s="198" t="n"/>
      <c r="I2" s="198" t="n"/>
      <c r="J2" s="198" t="n"/>
      <c r="K2" s="198" t="n"/>
      <c r="L2" s="198" t="n"/>
      <c r="M2" s="198" t="n"/>
      <c r="N2" s="199" t="n"/>
    </row>
    <row r="3" ht="15" customHeight="1">
      <c r="A3" s="194" t="inlineStr">
        <is>
          <t xml:space="preserve">Asset  Capacity  </t>
        </is>
      </c>
      <c r="B3" s="189" t="n"/>
      <c r="C3" s="189" t="n"/>
      <c r="D3" s="190" t="n"/>
      <c r="E3" s="197" t="inlineStr">
        <is>
          <t>45 Ton</t>
        </is>
      </c>
      <c r="F3" s="198" t="n"/>
      <c r="G3" s="198" t="n"/>
      <c r="H3" s="198" t="n"/>
      <c r="I3" s="198" t="n"/>
      <c r="J3" s="198" t="n"/>
      <c r="K3" s="198" t="n"/>
      <c r="L3" s="198" t="n"/>
      <c r="M3" s="198" t="n"/>
      <c r="N3" s="199" t="n"/>
    </row>
    <row r="4" ht="15" customHeight="1">
      <c r="A4" s="194" t="inlineStr">
        <is>
          <t xml:space="preserve">Billing Period  </t>
        </is>
      </c>
      <c r="B4" s="189" t="n"/>
      <c r="C4" s="189" t="n"/>
      <c r="D4" s="190" t="n"/>
      <c r="E4" s="203" t="inlineStr">
        <is>
          <t>01-3-2026 TO 31-3-2026</t>
        </is>
      </c>
      <c r="F4" s="198" t="n"/>
      <c r="G4" s="198" t="n"/>
      <c r="H4" s="198" t="n"/>
      <c r="I4" s="198" t="n"/>
      <c r="J4" s="198" t="n"/>
      <c r="K4" s="198" t="n"/>
      <c r="L4" s="198" t="n"/>
      <c r="M4" s="198" t="n"/>
      <c r="N4" s="199" t="n"/>
    </row>
    <row r="5" ht="18.75" customHeight="1" thickBot="1">
      <c r="A5" s="214" t="inlineStr">
        <is>
          <t>COMPANY  NAME</t>
        </is>
      </c>
      <c r="B5" s="189" t="n"/>
      <c r="C5" s="189" t="n"/>
      <c r="D5" s="190" t="n"/>
      <c r="E5" s="218" t="inlineStr">
        <is>
          <t>Sygnific infra Pvt. Ltd. Ahemdabaad</t>
        </is>
      </c>
      <c r="F5" s="201" t="n"/>
      <c r="G5" s="201" t="n"/>
      <c r="H5" s="201" t="n"/>
      <c r="I5" s="201" t="n"/>
      <c r="J5" s="201" t="n"/>
      <c r="K5" s="201" t="n"/>
      <c r="L5" s="201" t="n"/>
      <c r="M5" s="201" t="n"/>
      <c r="N5" s="202" t="n"/>
    </row>
    <row r="6" ht="45.75" customHeight="1" thickBot="1">
      <c r="A6" s="53" t="inlineStr">
        <is>
          <t>SR. NO.</t>
        </is>
      </c>
      <c r="B6" s="53" t="inlineStr">
        <is>
          <t>Shift</t>
        </is>
      </c>
      <c r="C6" s="54" t="inlineStr">
        <is>
          <t>Date</t>
        </is>
      </c>
      <c r="D6" s="54" t="inlineStr">
        <is>
          <t>Starting HMR</t>
        </is>
      </c>
      <c r="E6" s="55" t="inlineStr">
        <is>
          <t>Closing    HMR</t>
        </is>
      </c>
      <c r="F6" s="56" t="inlineStr">
        <is>
          <t>HMR</t>
        </is>
      </c>
      <c r="G6" s="57" t="inlineStr">
        <is>
          <t>Normal  Shift
Hours</t>
        </is>
      </c>
      <c r="H6" s="58" t="inlineStr">
        <is>
          <t>BD Start</t>
        </is>
      </c>
      <c r="I6" s="59" t="inlineStr">
        <is>
          <t>BD End</t>
        </is>
      </c>
      <c r="J6" s="60" t="inlineStr">
        <is>
          <t>Total B/D</t>
        </is>
      </c>
      <c r="K6" s="61" t="inlineStr">
        <is>
          <t>Diesel  issued</t>
        </is>
      </c>
      <c r="L6" s="60" t="inlineStr">
        <is>
          <t>Diesel HMR</t>
        </is>
      </c>
      <c r="M6" s="60" t="inlineStr">
        <is>
          <t>Hours</t>
        </is>
      </c>
      <c r="N6" s="60" t="inlineStr">
        <is>
          <t>Remark</t>
        </is>
      </c>
    </row>
    <row r="7">
      <c r="A7" s="86" t="n">
        <v>1</v>
      </c>
      <c r="B7" s="87" t="inlineStr">
        <is>
          <t>Day</t>
        </is>
      </c>
      <c r="C7" s="88" t="n">
        <v>46082</v>
      </c>
      <c r="D7" s="76" t="n">
        <v>1413</v>
      </c>
      <c r="E7" s="77" t="n">
        <v>1413</v>
      </c>
      <c r="F7" s="89">
        <f>E7-D7</f>
        <v/>
      </c>
      <c r="G7" s="221">
        <f>F7+F8</f>
        <v/>
      </c>
      <c r="H7" s="117" t="n"/>
      <c r="I7" s="117" t="n"/>
      <c r="J7" s="117" t="n"/>
      <c r="K7" s="117" t="n"/>
      <c r="L7" s="95" t="n"/>
      <c r="M7" s="118" t="n"/>
      <c r="N7" s="119" t="inlineStr">
        <is>
          <t>Sunday</t>
        </is>
      </c>
    </row>
    <row r="8">
      <c r="A8" s="86" t="n">
        <v>2</v>
      </c>
      <c r="B8" s="87" t="inlineStr">
        <is>
          <t>Night</t>
        </is>
      </c>
      <c r="C8" s="88">
        <f>C7</f>
        <v/>
      </c>
      <c r="D8" s="76">
        <f>E7</f>
        <v/>
      </c>
      <c r="E8" s="77" t="n">
        <v>1413</v>
      </c>
      <c r="F8" s="89">
        <f>E8-D8</f>
        <v/>
      </c>
      <c r="G8" s="192" t="n"/>
      <c r="H8" s="120" t="n"/>
      <c r="I8" s="120" t="n"/>
      <c r="J8" s="91" t="n"/>
      <c r="K8" s="91" t="n"/>
      <c r="L8" s="95" t="n"/>
      <c r="M8" s="95" t="n"/>
      <c r="N8" s="96" t="n"/>
    </row>
    <row r="9">
      <c r="A9" s="62" t="n">
        <v>3</v>
      </c>
      <c r="B9" s="63" t="inlineStr">
        <is>
          <t>Day</t>
        </is>
      </c>
      <c r="C9" s="21">
        <f>C7+1</f>
        <v/>
      </c>
      <c r="D9" s="64">
        <f>E8</f>
        <v/>
      </c>
      <c r="E9" s="65" t="n">
        <v>1414</v>
      </c>
      <c r="F9" s="24">
        <f>E9-D9</f>
        <v/>
      </c>
      <c r="G9" s="191">
        <f>F9+F10</f>
        <v/>
      </c>
      <c r="H9" s="44" t="n"/>
      <c r="I9" s="44" t="n"/>
      <c r="J9" s="41" t="n"/>
      <c r="K9" s="41" t="n"/>
      <c r="L9" s="41" t="n"/>
      <c r="M9" s="41" t="n"/>
      <c r="N9" s="42" t="n"/>
    </row>
    <row r="10">
      <c r="A10" s="62" t="n">
        <v>4</v>
      </c>
      <c r="B10" s="63" t="inlineStr">
        <is>
          <t>Night</t>
        </is>
      </c>
      <c r="C10" s="21">
        <f>C9</f>
        <v/>
      </c>
      <c r="D10" s="64">
        <f>E9</f>
        <v/>
      </c>
      <c r="E10" s="65" t="n">
        <v>1414</v>
      </c>
      <c r="F10" s="24">
        <f>E10-D10</f>
        <v/>
      </c>
      <c r="G10" s="192" t="n"/>
      <c r="H10" s="44" t="n"/>
      <c r="I10" s="44" t="n"/>
      <c r="J10" s="41" t="n"/>
      <c r="K10" s="41" t="n"/>
      <c r="L10" s="41" t="n"/>
      <c r="M10" s="41" t="n"/>
      <c r="N10" s="42" t="n"/>
    </row>
    <row r="11">
      <c r="A11" s="62" t="n">
        <v>5</v>
      </c>
      <c r="B11" s="63" t="inlineStr">
        <is>
          <t>Day</t>
        </is>
      </c>
      <c r="C11" s="21">
        <f>C9+1</f>
        <v/>
      </c>
      <c r="D11" s="64">
        <f>E10</f>
        <v/>
      </c>
      <c r="E11" s="65" t="n">
        <v>1414</v>
      </c>
      <c r="F11" s="24">
        <f>E11-D11</f>
        <v/>
      </c>
      <c r="G11" s="191">
        <f>F11+F12</f>
        <v/>
      </c>
      <c r="H11" s="99" t="n"/>
      <c r="I11" s="99" t="n"/>
      <c r="J11" s="100" t="n"/>
      <c r="K11" s="101" t="n"/>
      <c r="L11" s="101" t="n"/>
      <c r="M11" s="101" t="n"/>
      <c r="N11" s="102" t="n"/>
    </row>
    <row r="12">
      <c r="A12" s="62" t="n">
        <v>6</v>
      </c>
      <c r="B12" s="63" t="inlineStr">
        <is>
          <t>Night</t>
        </is>
      </c>
      <c r="C12" s="21">
        <f>C11</f>
        <v/>
      </c>
      <c r="D12" s="64">
        <f>E11</f>
        <v/>
      </c>
      <c r="E12" s="65" t="n">
        <v>1414</v>
      </c>
      <c r="F12" s="24">
        <f>E12-D12</f>
        <v/>
      </c>
      <c r="G12" s="192" t="n"/>
      <c r="H12" s="99" t="n"/>
      <c r="I12" s="99" t="n"/>
      <c r="J12" s="101" t="n"/>
      <c r="K12" s="101" t="n"/>
      <c r="L12" s="101" t="n"/>
      <c r="M12" s="101" t="n"/>
      <c r="N12" s="102" t="n"/>
    </row>
    <row r="13">
      <c r="A13" s="62" t="n">
        <v>7</v>
      </c>
      <c r="B13" s="63" t="inlineStr">
        <is>
          <t>Day</t>
        </is>
      </c>
      <c r="C13" s="21">
        <f>C11+1</f>
        <v/>
      </c>
      <c r="D13" s="64">
        <f>E12</f>
        <v/>
      </c>
      <c r="E13" s="65" t="n">
        <v>1414</v>
      </c>
      <c r="F13" s="24">
        <f>E13-D13</f>
        <v/>
      </c>
      <c r="G13" s="191">
        <f>F13+F14</f>
        <v/>
      </c>
      <c r="H13" s="99" t="n"/>
      <c r="I13" s="99" t="n"/>
      <c r="J13" s="101" t="n"/>
      <c r="K13" s="101" t="n"/>
      <c r="L13" s="101" t="n"/>
      <c r="M13" s="101" t="n"/>
      <c r="N13" s="102" t="n"/>
    </row>
    <row r="14">
      <c r="A14" s="62" t="n">
        <v>8</v>
      </c>
      <c r="B14" s="63" t="inlineStr">
        <is>
          <t>Night</t>
        </is>
      </c>
      <c r="C14" s="21">
        <f>C13</f>
        <v/>
      </c>
      <c r="D14" s="64">
        <f>E13</f>
        <v/>
      </c>
      <c r="E14" s="65" t="n">
        <v>1414</v>
      </c>
      <c r="F14" s="24">
        <f>E14-D14</f>
        <v/>
      </c>
      <c r="G14" s="192" t="n"/>
      <c r="H14" s="99" t="n"/>
      <c r="I14" s="99" t="n"/>
      <c r="J14" s="101" t="n"/>
      <c r="K14" s="101" t="n"/>
      <c r="L14" s="101" t="n"/>
      <c r="M14" s="101" t="n"/>
      <c r="N14" s="102" t="n"/>
    </row>
    <row r="15">
      <c r="A15" s="62" t="n">
        <v>9</v>
      </c>
      <c r="B15" s="63" t="inlineStr">
        <is>
          <t>Day</t>
        </is>
      </c>
      <c r="C15" s="21">
        <f>C13+1</f>
        <v/>
      </c>
      <c r="D15" s="64">
        <f>E14</f>
        <v/>
      </c>
      <c r="E15" s="65" t="n">
        <v>1417</v>
      </c>
      <c r="F15" s="24">
        <f>E15-D15</f>
        <v/>
      </c>
      <c r="G15" s="191">
        <f>F15+F16</f>
        <v/>
      </c>
      <c r="H15" s="99" t="n"/>
      <c r="I15" s="99" t="n"/>
      <c r="J15" s="101" t="n"/>
      <c r="K15" s="101" t="n"/>
      <c r="L15" s="101" t="n"/>
      <c r="M15" s="101" t="n"/>
      <c r="N15" s="102" t="n"/>
    </row>
    <row r="16">
      <c r="A16" s="62" t="n">
        <v>10</v>
      </c>
      <c r="B16" s="63" t="inlineStr">
        <is>
          <t>Night</t>
        </is>
      </c>
      <c r="C16" s="21">
        <f>C15</f>
        <v/>
      </c>
      <c r="D16" s="64">
        <f>E15</f>
        <v/>
      </c>
      <c r="E16" s="65" t="n">
        <v>1424</v>
      </c>
      <c r="F16" s="24">
        <f>E16-D16</f>
        <v/>
      </c>
      <c r="G16" s="192" t="n"/>
      <c r="H16" s="99" t="n"/>
      <c r="I16" s="99" t="n"/>
      <c r="J16" s="101" t="n"/>
      <c r="K16" s="101" t="n">
        <v>25</v>
      </c>
      <c r="L16" s="101" t="n">
        <v>1424</v>
      </c>
      <c r="M16" s="101" t="n"/>
      <c r="N16" s="102" t="n"/>
    </row>
    <row r="17">
      <c r="A17" s="62" t="n">
        <v>11</v>
      </c>
      <c r="B17" s="63" t="inlineStr">
        <is>
          <t>Day</t>
        </is>
      </c>
      <c r="C17" s="21">
        <f>C15+1</f>
        <v/>
      </c>
      <c r="D17" s="64">
        <f>E16</f>
        <v/>
      </c>
      <c r="E17" s="65" t="n">
        <v>1425</v>
      </c>
      <c r="F17" s="24">
        <f>E17-D17</f>
        <v/>
      </c>
      <c r="G17" s="191">
        <f>F17+F18</f>
        <v/>
      </c>
      <c r="H17" s="99" t="n"/>
      <c r="I17" s="99" t="n"/>
      <c r="J17" s="101" t="n"/>
      <c r="K17" s="101" t="n"/>
      <c r="L17" s="101" t="n"/>
      <c r="M17" s="101" t="n"/>
      <c r="N17" s="102" t="n"/>
    </row>
    <row r="18">
      <c r="A18" s="62" t="n">
        <v>12</v>
      </c>
      <c r="B18" s="63" t="inlineStr">
        <is>
          <t>Night</t>
        </is>
      </c>
      <c r="C18" s="21">
        <f>C17</f>
        <v/>
      </c>
      <c r="D18" s="64">
        <f>E17</f>
        <v/>
      </c>
      <c r="E18" s="65" t="n">
        <v>1430</v>
      </c>
      <c r="F18" s="24">
        <f>E18-D18</f>
        <v/>
      </c>
      <c r="G18" s="192" t="n"/>
      <c r="H18" s="99" t="n"/>
      <c r="I18" s="99" t="n"/>
      <c r="J18" s="101" t="n"/>
      <c r="K18" s="101" t="n">
        <v>25</v>
      </c>
      <c r="L18" s="101" t="n">
        <v>1430</v>
      </c>
      <c r="M18" s="101" t="n"/>
      <c r="N18" s="102" t="n"/>
    </row>
    <row r="19">
      <c r="A19" s="62" t="n">
        <v>13</v>
      </c>
      <c r="B19" s="63" t="inlineStr">
        <is>
          <t>Day</t>
        </is>
      </c>
      <c r="C19" s="21">
        <f>C17+1</f>
        <v/>
      </c>
      <c r="D19" s="64">
        <f>E18</f>
        <v/>
      </c>
      <c r="E19" s="67" t="n">
        <v>1435</v>
      </c>
      <c r="F19" s="24">
        <f>E19-D19</f>
        <v/>
      </c>
      <c r="G19" s="191">
        <f>F19+F20</f>
        <v/>
      </c>
      <c r="H19" s="99" t="n"/>
      <c r="I19" s="99" t="n"/>
      <c r="J19" s="101" t="n"/>
      <c r="K19" s="101" t="n">
        <v>25</v>
      </c>
      <c r="L19" s="101" t="n">
        <v>1434</v>
      </c>
      <c r="M19" s="101" t="n"/>
      <c r="N19" s="102" t="n"/>
    </row>
    <row r="20" ht="15.75" customHeight="1" thickBot="1">
      <c r="A20" s="62" t="n">
        <v>14</v>
      </c>
      <c r="B20" s="63" t="inlineStr">
        <is>
          <t>Night</t>
        </is>
      </c>
      <c r="C20" s="21">
        <f>C19</f>
        <v/>
      </c>
      <c r="D20" s="64">
        <f>E19</f>
        <v/>
      </c>
      <c r="E20" s="67" t="n">
        <v>1439</v>
      </c>
      <c r="F20" s="24">
        <f>E20-D20</f>
        <v/>
      </c>
      <c r="G20" s="192" t="n"/>
      <c r="H20" s="99" t="n"/>
      <c r="I20" s="99" t="n"/>
      <c r="J20" s="101" t="n"/>
      <c r="K20" s="101" t="n"/>
      <c r="L20" s="101" t="n"/>
      <c r="M20" s="101" t="n"/>
      <c r="N20" s="102" t="n"/>
    </row>
    <row r="21">
      <c r="A21" s="86" t="n">
        <v>15</v>
      </c>
      <c r="B21" s="87" t="inlineStr">
        <is>
          <t>Day</t>
        </is>
      </c>
      <c r="C21" s="88">
        <f>C19+1</f>
        <v/>
      </c>
      <c r="D21" s="76">
        <f>E20</f>
        <v/>
      </c>
      <c r="E21" s="93" t="n">
        <v>1444</v>
      </c>
      <c r="F21" s="89">
        <f>E21-D21</f>
        <v/>
      </c>
      <c r="G21" s="193">
        <f>F21+F22</f>
        <v/>
      </c>
      <c r="H21" s="90" t="n"/>
      <c r="I21" s="90" t="n"/>
      <c r="J21" s="91" t="n"/>
      <c r="K21" s="91" t="n"/>
      <c r="L21" s="91" t="n"/>
      <c r="M21" s="91" t="n"/>
      <c r="N21" s="119" t="inlineStr">
        <is>
          <t>Sunday</t>
        </is>
      </c>
    </row>
    <row r="22">
      <c r="A22" s="86" t="n">
        <v>16</v>
      </c>
      <c r="B22" s="87" t="inlineStr">
        <is>
          <t>Night</t>
        </is>
      </c>
      <c r="C22" s="88">
        <f>C21</f>
        <v/>
      </c>
      <c r="D22" s="76">
        <f>E21</f>
        <v/>
      </c>
      <c r="E22" s="93" t="n">
        <v>1450</v>
      </c>
      <c r="F22" s="89">
        <f>E22-D22</f>
        <v/>
      </c>
      <c r="G22" s="192" t="n"/>
      <c r="H22" s="90" t="n"/>
      <c r="I22" s="90" t="n"/>
      <c r="J22" s="91" t="n"/>
      <c r="K22" s="91" t="n">
        <v>25</v>
      </c>
      <c r="L22" s="91" t="n">
        <v>1447</v>
      </c>
      <c r="M22" s="91" t="n"/>
      <c r="N22" s="92" t="n"/>
    </row>
    <row r="23">
      <c r="A23" s="62" t="n">
        <v>17</v>
      </c>
      <c r="B23" s="63" t="inlineStr">
        <is>
          <t>Day</t>
        </is>
      </c>
      <c r="C23" s="21">
        <f>C21+1</f>
        <v/>
      </c>
      <c r="D23" s="64">
        <f>E22</f>
        <v/>
      </c>
      <c r="E23" s="67" t="n">
        <v>1452</v>
      </c>
      <c r="F23" s="24">
        <f>E23-D23</f>
        <v/>
      </c>
      <c r="G23" s="191">
        <f>F23+F24</f>
        <v/>
      </c>
      <c r="H23" s="99" t="n"/>
      <c r="I23" s="99" t="n"/>
      <c r="J23" s="101" t="n"/>
      <c r="K23" s="101" t="n"/>
      <c r="L23" s="101" t="n"/>
      <c r="M23" s="101" t="n"/>
      <c r="N23" s="102" t="n"/>
    </row>
    <row r="24">
      <c r="A24" s="62" t="n">
        <v>18</v>
      </c>
      <c r="B24" s="63" t="inlineStr">
        <is>
          <t>Night</t>
        </is>
      </c>
      <c r="C24" s="21">
        <f>C23</f>
        <v/>
      </c>
      <c r="D24" s="64">
        <f>E23</f>
        <v/>
      </c>
      <c r="E24" s="67" t="n">
        <v>1458</v>
      </c>
      <c r="F24" s="24">
        <f>E24-D24</f>
        <v/>
      </c>
      <c r="G24" s="192" t="n"/>
      <c r="H24" s="99" t="n"/>
      <c r="I24" s="99" t="n"/>
      <c r="J24" s="101" t="n"/>
      <c r="K24" s="101" t="n">
        <v>25</v>
      </c>
      <c r="L24" s="101" t="n">
        <v>1456</v>
      </c>
      <c r="M24" s="101" t="n"/>
      <c r="N24" s="102" t="n"/>
    </row>
    <row r="25">
      <c r="A25" s="62" t="n">
        <v>19</v>
      </c>
      <c r="B25" s="63" t="inlineStr">
        <is>
          <t>Day</t>
        </is>
      </c>
      <c r="C25" s="21">
        <f>C23+1</f>
        <v/>
      </c>
      <c r="D25" s="64">
        <f>E24</f>
        <v/>
      </c>
      <c r="E25" s="67" t="n">
        <v>1460</v>
      </c>
      <c r="F25" s="24">
        <f>E25-D25</f>
        <v/>
      </c>
      <c r="G25" s="191">
        <f>F25+F26</f>
        <v/>
      </c>
      <c r="H25" s="99" t="n"/>
      <c r="I25" s="99" t="n"/>
      <c r="J25" s="101" t="n"/>
      <c r="K25" s="101" t="n"/>
      <c r="L25" s="101" t="n"/>
      <c r="M25" s="101" t="n"/>
      <c r="N25" s="102" t="n"/>
    </row>
    <row r="26">
      <c r="A26" s="62" t="n">
        <v>20</v>
      </c>
      <c r="B26" s="63" t="inlineStr">
        <is>
          <t>Night</t>
        </is>
      </c>
      <c r="C26" s="21">
        <f>C25</f>
        <v/>
      </c>
      <c r="D26" s="64">
        <f>E25</f>
        <v/>
      </c>
      <c r="E26" s="67" t="n">
        <v>1467</v>
      </c>
      <c r="F26" s="24">
        <f>E26-D26</f>
        <v/>
      </c>
      <c r="G26" s="192" t="n"/>
      <c r="H26" s="99" t="n"/>
      <c r="I26" s="99" t="n"/>
      <c r="J26" s="101" t="n"/>
      <c r="K26" s="101" t="n">
        <v>20</v>
      </c>
      <c r="L26" s="101" t="n">
        <v>1462</v>
      </c>
      <c r="M26" s="101" t="n"/>
      <c r="N26" s="102" t="n"/>
    </row>
    <row r="27">
      <c r="A27" s="62" t="n">
        <v>21</v>
      </c>
      <c r="B27" s="63" t="inlineStr">
        <is>
          <t>Day</t>
        </is>
      </c>
      <c r="C27" s="21">
        <f>C25+1</f>
        <v/>
      </c>
      <c r="D27" s="64">
        <f>E26</f>
        <v/>
      </c>
      <c r="E27" s="67" t="n">
        <v>1468</v>
      </c>
      <c r="F27" s="24">
        <f>E27-D27</f>
        <v/>
      </c>
      <c r="G27" s="191">
        <f>F27+F28</f>
        <v/>
      </c>
      <c r="H27" s="99" t="n"/>
      <c r="I27" s="99" t="n"/>
      <c r="J27" s="101" t="n"/>
      <c r="K27" s="101" t="n"/>
      <c r="L27" s="101" t="n"/>
      <c r="M27" s="101" t="n"/>
      <c r="N27" s="102" t="n"/>
    </row>
    <row r="28">
      <c r="A28" s="62" t="n">
        <v>22</v>
      </c>
      <c r="B28" s="63" t="inlineStr">
        <is>
          <t>Night</t>
        </is>
      </c>
      <c r="C28" s="21">
        <f>C27</f>
        <v/>
      </c>
      <c r="D28" s="64">
        <f>E27</f>
        <v/>
      </c>
      <c r="E28" s="67" t="n">
        <v>1468</v>
      </c>
      <c r="F28" s="24">
        <f>E28-D28</f>
        <v/>
      </c>
      <c r="G28" s="192" t="n"/>
      <c r="H28" s="99" t="n"/>
      <c r="I28" s="99" t="n"/>
      <c r="J28" s="101" t="n"/>
      <c r="K28" s="101" t="n"/>
      <c r="L28" s="101" t="n"/>
      <c r="M28" s="101" t="n"/>
      <c r="N28" s="102" t="n"/>
    </row>
    <row r="29">
      <c r="A29" s="62" t="n">
        <v>23</v>
      </c>
      <c r="B29" s="63" t="inlineStr">
        <is>
          <t>Day</t>
        </is>
      </c>
      <c r="C29" s="21">
        <f>C27+1</f>
        <v/>
      </c>
      <c r="D29" s="64">
        <f>E28</f>
        <v/>
      </c>
      <c r="E29" s="67" t="n">
        <v>1469</v>
      </c>
      <c r="F29" s="24">
        <f>E29-D29</f>
        <v/>
      </c>
      <c r="G29" s="191">
        <f>F29+F30</f>
        <v/>
      </c>
      <c r="H29" s="99" t="n"/>
      <c r="I29" s="99" t="n"/>
      <c r="J29" s="101" t="n"/>
      <c r="K29" s="101" t="n">
        <v>25</v>
      </c>
      <c r="L29" s="101" t="n">
        <v>1468</v>
      </c>
      <c r="M29" s="101" t="n"/>
      <c r="N29" s="102" t="n"/>
    </row>
    <row r="30">
      <c r="A30" s="62" t="n">
        <v>24</v>
      </c>
      <c r="B30" s="63" t="inlineStr">
        <is>
          <t>Night</t>
        </is>
      </c>
      <c r="C30" s="21">
        <f>C29</f>
        <v/>
      </c>
      <c r="D30" s="64">
        <f>E29</f>
        <v/>
      </c>
      <c r="E30" s="67" t="n">
        <v>1476</v>
      </c>
      <c r="F30" s="24">
        <f>E30-D30</f>
        <v/>
      </c>
      <c r="G30" s="192" t="n"/>
      <c r="H30" s="99" t="n"/>
      <c r="I30" s="99" t="n"/>
      <c r="J30" s="101" t="n"/>
      <c r="K30" s="101" t="n"/>
      <c r="L30" s="101" t="n"/>
      <c r="M30" s="101" t="n"/>
      <c r="N30" s="102" t="n"/>
    </row>
    <row r="31">
      <c r="A31" s="62" t="n">
        <v>25</v>
      </c>
      <c r="B31" s="63" t="inlineStr">
        <is>
          <t>Day</t>
        </is>
      </c>
      <c r="C31" s="21">
        <f>C29+1</f>
        <v/>
      </c>
      <c r="D31" s="64">
        <f>E30</f>
        <v/>
      </c>
      <c r="E31" s="67" t="n">
        <v>1477</v>
      </c>
      <c r="F31" s="24">
        <f>E31-D31</f>
        <v/>
      </c>
      <c r="G31" s="191">
        <f>F31+F32</f>
        <v/>
      </c>
      <c r="H31" s="99" t="n"/>
      <c r="I31" s="99" t="n"/>
      <c r="J31" s="101" t="n"/>
      <c r="K31" s="101" t="n"/>
      <c r="L31" s="101" t="n"/>
      <c r="M31" s="101" t="n"/>
      <c r="N31" s="102" t="n"/>
    </row>
    <row r="32">
      <c r="A32" s="62" t="n">
        <v>26</v>
      </c>
      <c r="B32" s="63" t="inlineStr">
        <is>
          <t>Night</t>
        </is>
      </c>
      <c r="C32" s="21">
        <f>C31</f>
        <v/>
      </c>
      <c r="D32" s="64">
        <f>E31</f>
        <v/>
      </c>
      <c r="E32" s="67" t="n">
        <v>1484</v>
      </c>
      <c r="F32" s="24">
        <f>E32-D32</f>
        <v/>
      </c>
      <c r="G32" s="192" t="n"/>
      <c r="H32" s="99" t="n"/>
      <c r="I32" s="99" t="n"/>
      <c r="J32" s="101" t="n"/>
      <c r="K32" s="101" t="n">
        <v>25</v>
      </c>
      <c r="L32" s="101" t="n">
        <v>1479</v>
      </c>
      <c r="M32" s="101" t="n"/>
      <c r="N32" s="102" t="n"/>
    </row>
    <row r="33">
      <c r="A33" s="62" t="n">
        <v>27</v>
      </c>
      <c r="B33" s="63" t="inlineStr">
        <is>
          <t>Day</t>
        </is>
      </c>
      <c r="C33" s="21">
        <f>C31+1</f>
        <v/>
      </c>
      <c r="D33" s="64">
        <f>E32</f>
        <v/>
      </c>
      <c r="E33" s="67" t="n">
        <v>1485</v>
      </c>
      <c r="F33" s="24">
        <f>E33-D33</f>
        <v/>
      </c>
      <c r="G33" s="191">
        <f>F33+F34</f>
        <v/>
      </c>
      <c r="H33" s="99" t="n"/>
      <c r="I33" s="99" t="n"/>
      <c r="J33" s="101" t="n"/>
      <c r="K33" s="101" t="n">
        <v>13</v>
      </c>
      <c r="L33" s="101" t="n">
        <v>1484</v>
      </c>
      <c r="M33" s="101" t="n"/>
      <c r="N33" s="102" t="n"/>
    </row>
    <row r="34" ht="15.75" customHeight="1" thickBot="1">
      <c r="A34" s="62" t="n">
        <v>28</v>
      </c>
      <c r="B34" s="63" t="inlineStr">
        <is>
          <t>Night</t>
        </is>
      </c>
      <c r="C34" s="21">
        <f>C33</f>
        <v/>
      </c>
      <c r="D34" s="64">
        <f>E33</f>
        <v/>
      </c>
      <c r="E34" s="67" t="n">
        <v>1492</v>
      </c>
      <c r="F34" s="24">
        <f>E34-D34</f>
        <v/>
      </c>
      <c r="G34" s="192" t="n"/>
      <c r="H34" s="99" t="n"/>
      <c r="I34" s="99" t="n"/>
      <c r="J34" s="101" t="n"/>
      <c r="K34" s="101" t="n"/>
      <c r="L34" s="101" t="n"/>
      <c r="M34" s="101" t="n"/>
      <c r="N34" s="102" t="n"/>
    </row>
    <row r="35">
      <c r="A35" s="86" t="n">
        <v>29</v>
      </c>
      <c r="B35" s="87" t="inlineStr">
        <is>
          <t>Day</t>
        </is>
      </c>
      <c r="C35" s="88">
        <f>C33+1</f>
        <v/>
      </c>
      <c r="D35" s="76">
        <f>E34</f>
        <v/>
      </c>
      <c r="E35" s="76" t="n">
        <v>1496</v>
      </c>
      <c r="F35" s="89">
        <f>E35-D35</f>
        <v/>
      </c>
      <c r="G35" s="193">
        <f>F35+F36</f>
        <v/>
      </c>
      <c r="H35" s="90" t="n"/>
      <c r="I35" s="90" t="n"/>
      <c r="J35" s="91" t="n"/>
      <c r="K35" s="91" t="n">
        <v>20</v>
      </c>
      <c r="L35" s="91" t="n">
        <v>1496</v>
      </c>
      <c r="M35" s="91" t="n"/>
      <c r="N35" s="119" t="inlineStr">
        <is>
          <t>Sunday</t>
        </is>
      </c>
    </row>
    <row r="36">
      <c r="A36" s="86" t="n">
        <v>30</v>
      </c>
      <c r="B36" s="87" t="inlineStr">
        <is>
          <t>Night</t>
        </is>
      </c>
      <c r="C36" s="88">
        <f>C35</f>
        <v/>
      </c>
      <c r="D36" s="76">
        <f>E35</f>
        <v/>
      </c>
      <c r="E36" s="76" t="n">
        <v>1498</v>
      </c>
      <c r="F36" s="89">
        <f>E36-D36</f>
        <v/>
      </c>
      <c r="G36" s="192" t="n"/>
      <c r="H36" s="90" t="n"/>
      <c r="I36" s="90" t="n"/>
      <c r="J36" s="91" t="n"/>
      <c r="K36" s="91" t="n"/>
      <c r="L36" s="91" t="n"/>
      <c r="M36" s="91" t="n"/>
      <c r="N36" s="92" t="n"/>
    </row>
    <row r="37">
      <c r="A37" s="62" t="n">
        <v>31</v>
      </c>
      <c r="B37" s="63" t="inlineStr">
        <is>
          <t>Day</t>
        </is>
      </c>
      <c r="C37" s="21">
        <f>C35+1</f>
        <v/>
      </c>
      <c r="D37" s="64">
        <f>E36</f>
        <v/>
      </c>
      <c r="E37" s="64" t="n">
        <v>1501</v>
      </c>
      <c r="F37" s="24">
        <f>E37-D37</f>
        <v/>
      </c>
      <c r="G37" s="191">
        <f>F37+F38</f>
        <v/>
      </c>
      <c r="H37" s="99" t="n"/>
      <c r="I37" s="99" t="n"/>
      <c r="J37" s="101" t="n"/>
      <c r="K37" s="101" t="n">
        <v>25</v>
      </c>
      <c r="L37" s="101" t="n">
        <v>1498</v>
      </c>
      <c r="M37" s="101" t="n"/>
      <c r="N37" s="102" t="n"/>
    </row>
    <row r="38">
      <c r="A38" s="62" t="n">
        <v>32</v>
      </c>
      <c r="B38" s="63" t="inlineStr">
        <is>
          <t>Night</t>
        </is>
      </c>
      <c r="C38" s="21">
        <f>C37</f>
        <v/>
      </c>
      <c r="D38" s="64">
        <f>E37</f>
        <v/>
      </c>
      <c r="E38" s="64" t="n">
        <v>1503</v>
      </c>
      <c r="F38" s="24">
        <f>E38-D38</f>
        <v/>
      </c>
      <c r="G38" s="192" t="n"/>
      <c r="H38" s="103" t="n"/>
      <c r="I38" s="103" t="n"/>
      <c r="J38" s="104" t="n"/>
      <c r="K38" s="104" t="n">
        <v>25</v>
      </c>
      <c r="L38" s="104" t="n">
        <v>1501</v>
      </c>
      <c r="M38" s="104" t="n"/>
      <c r="N38" s="105" t="n"/>
    </row>
    <row r="39">
      <c r="A39" s="62" t="n">
        <v>33</v>
      </c>
      <c r="B39" s="63" t="inlineStr">
        <is>
          <t>Day</t>
        </is>
      </c>
      <c r="C39" s="21">
        <f>C37+1</f>
        <v/>
      </c>
      <c r="D39" s="64">
        <f>E38</f>
        <v/>
      </c>
      <c r="E39" s="64" t="n">
        <v>1506</v>
      </c>
      <c r="F39" s="24">
        <f>E39-D39</f>
        <v/>
      </c>
      <c r="G39" s="191">
        <f>F39+F40</f>
        <v/>
      </c>
      <c r="H39" s="103" t="n"/>
      <c r="I39" s="103" t="n"/>
      <c r="J39" s="104" t="n"/>
      <c r="K39" s="104" t="n"/>
      <c r="L39" s="104" t="n"/>
      <c r="M39" s="104" t="n"/>
      <c r="N39" s="105" t="n"/>
    </row>
    <row r="40">
      <c r="A40" s="62" t="n">
        <v>34</v>
      </c>
      <c r="B40" s="63" t="inlineStr">
        <is>
          <t>Night</t>
        </is>
      </c>
      <c r="C40" s="21">
        <f>C39</f>
        <v/>
      </c>
      <c r="D40" s="64">
        <f>E39</f>
        <v/>
      </c>
      <c r="E40" s="64" t="n">
        <v>1506</v>
      </c>
      <c r="F40" s="24">
        <f>E40-D40</f>
        <v/>
      </c>
      <c r="G40" s="192" t="n"/>
      <c r="H40" s="103" t="n"/>
      <c r="I40" s="103" t="n"/>
      <c r="J40" s="104" t="n"/>
      <c r="K40" s="104" t="n"/>
      <c r="L40" s="104" t="n"/>
      <c r="M40" s="104" t="n"/>
      <c r="N40" s="105" t="n"/>
    </row>
    <row r="41">
      <c r="A41" s="62" t="n">
        <v>35</v>
      </c>
      <c r="B41" s="63" t="inlineStr">
        <is>
          <t>Day</t>
        </is>
      </c>
      <c r="C41" s="21">
        <f>C39+1</f>
        <v/>
      </c>
      <c r="D41" s="64">
        <f>E40</f>
        <v/>
      </c>
      <c r="E41" s="64" t="n">
        <v>1510</v>
      </c>
      <c r="F41" s="24">
        <f>E41-D41</f>
        <v/>
      </c>
      <c r="G41" s="191">
        <f>F41+F42</f>
        <v/>
      </c>
      <c r="H41" s="103" t="n"/>
      <c r="I41" s="103" t="n"/>
      <c r="J41" s="104" t="n"/>
      <c r="K41" s="104" t="n">
        <v>25</v>
      </c>
      <c r="L41" s="104" t="n">
        <v>1507</v>
      </c>
      <c r="M41" s="104" t="n"/>
      <c r="N41" s="105" t="n"/>
    </row>
    <row r="42">
      <c r="A42" s="62" t="n">
        <v>36</v>
      </c>
      <c r="B42" s="63" t="inlineStr">
        <is>
          <t>Night</t>
        </is>
      </c>
      <c r="C42" s="21">
        <f>C41</f>
        <v/>
      </c>
      <c r="D42" s="64">
        <f>E41</f>
        <v/>
      </c>
      <c r="E42" s="64" t="n">
        <v>1510</v>
      </c>
      <c r="F42" s="24">
        <f>E42-D42</f>
        <v/>
      </c>
      <c r="G42" s="192" t="n"/>
      <c r="H42" s="103" t="n"/>
      <c r="I42" s="103" t="n"/>
      <c r="J42" s="104" t="n"/>
      <c r="K42" s="104" t="n"/>
      <c r="L42" s="104" t="n"/>
      <c r="M42" s="104" t="n"/>
      <c r="N42" s="105" t="n"/>
    </row>
    <row r="43">
      <c r="A43" s="62" t="n">
        <v>37</v>
      </c>
      <c r="B43" s="63" t="inlineStr">
        <is>
          <t>Day</t>
        </is>
      </c>
      <c r="C43" s="21">
        <f>C41+1</f>
        <v/>
      </c>
      <c r="D43" s="64">
        <f>E42</f>
        <v/>
      </c>
      <c r="E43" s="64" t="n">
        <v>1512</v>
      </c>
      <c r="F43" s="24">
        <f>E43-D43</f>
        <v/>
      </c>
      <c r="G43" s="191">
        <f>F43+F44</f>
        <v/>
      </c>
      <c r="H43" s="103" t="n"/>
      <c r="I43" s="103" t="n"/>
      <c r="J43" s="104" t="n"/>
      <c r="K43" s="104" t="n"/>
      <c r="L43" s="104" t="n"/>
      <c r="M43" s="104" t="n"/>
      <c r="N43" s="105" t="n"/>
    </row>
    <row r="44">
      <c r="A44" s="68" t="n">
        <v>38</v>
      </c>
      <c r="B44" s="69" t="inlineStr">
        <is>
          <t>Night</t>
        </is>
      </c>
      <c r="C44" s="21">
        <f>C43</f>
        <v/>
      </c>
      <c r="D44" s="64">
        <f>E43</f>
        <v/>
      </c>
      <c r="E44" s="64" t="n">
        <v>1512</v>
      </c>
      <c r="F44" s="24">
        <f>E44-D44</f>
        <v/>
      </c>
      <c r="G44" s="192" t="n"/>
      <c r="H44" s="103" t="n"/>
      <c r="I44" s="103" t="n"/>
      <c r="J44" s="104" t="n"/>
      <c r="K44" s="104" t="n"/>
      <c r="L44" s="104" t="n"/>
      <c r="M44" s="104" t="n"/>
      <c r="N44" s="105" t="n"/>
    </row>
    <row r="45">
      <c r="A45" s="70" t="n">
        <v>39</v>
      </c>
      <c r="B45" s="71" t="inlineStr">
        <is>
          <t>Day</t>
        </is>
      </c>
      <c r="C45" s="21">
        <f>C43+1</f>
        <v/>
      </c>
      <c r="D45" s="64">
        <f>E44</f>
        <v/>
      </c>
      <c r="E45" s="64" t="n">
        <v>1513</v>
      </c>
      <c r="F45" s="24">
        <f>E45-D45</f>
        <v/>
      </c>
      <c r="G45" s="191">
        <f>F45+F46</f>
        <v/>
      </c>
      <c r="H45" s="103" t="n"/>
      <c r="I45" s="103" t="n"/>
      <c r="J45" s="104" t="n"/>
      <c r="K45" s="104" t="n"/>
      <c r="L45" s="104" t="n"/>
      <c r="M45" s="104" t="n"/>
      <c r="N45" s="105" t="n"/>
    </row>
    <row r="46">
      <c r="A46" s="70" t="n">
        <v>40</v>
      </c>
      <c r="B46" s="71" t="inlineStr">
        <is>
          <t>Night</t>
        </is>
      </c>
      <c r="C46" s="21">
        <f>C45</f>
        <v/>
      </c>
      <c r="D46" s="64">
        <f>E45</f>
        <v/>
      </c>
      <c r="E46" s="64" t="n">
        <v>1513</v>
      </c>
      <c r="F46" s="24">
        <f>E46-D46</f>
        <v/>
      </c>
      <c r="G46" s="192" t="n"/>
      <c r="H46" s="103" t="n"/>
      <c r="I46" s="103" t="n"/>
      <c r="J46" s="104" t="n"/>
      <c r="K46" s="104" t="n"/>
      <c r="L46" s="104" t="n"/>
      <c r="M46" s="104" t="n"/>
      <c r="N46" s="105" t="n"/>
    </row>
    <row r="47">
      <c r="A47" s="72" t="n">
        <v>41</v>
      </c>
      <c r="B47" s="63" t="inlineStr">
        <is>
          <t>Day</t>
        </is>
      </c>
      <c r="C47" s="21">
        <f>C45+1</f>
        <v/>
      </c>
      <c r="D47" s="64">
        <f>E46</f>
        <v/>
      </c>
      <c r="E47" s="64" t="n">
        <v>1513</v>
      </c>
      <c r="F47" s="24">
        <f>E47-D47</f>
        <v/>
      </c>
      <c r="G47" s="191">
        <f>F47+F48</f>
        <v/>
      </c>
      <c r="H47" s="103" t="n"/>
      <c r="I47" s="103" t="n"/>
      <c r="J47" s="104" t="n"/>
      <c r="K47" s="104" t="n"/>
      <c r="L47" s="104" t="n"/>
      <c r="M47" s="104" t="n"/>
      <c r="N47" s="102" t="n"/>
    </row>
    <row r="48" ht="15.75" customHeight="1" thickBot="1">
      <c r="A48" s="70" t="n">
        <v>42</v>
      </c>
      <c r="B48" s="63" t="inlineStr">
        <is>
          <t>Night</t>
        </is>
      </c>
      <c r="C48" s="21">
        <f>C47</f>
        <v/>
      </c>
      <c r="D48" s="64">
        <f>E47</f>
        <v/>
      </c>
      <c r="E48" s="64" t="n">
        <v>1513</v>
      </c>
      <c r="F48" s="24">
        <f>E48-D48</f>
        <v/>
      </c>
      <c r="G48" s="192" t="n"/>
      <c r="H48" s="103" t="n"/>
      <c r="I48" s="103" t="n"/>
      <c r="J48" s="104" t="n"/>
      <c r="K48" s="104" t="n"/>
      <c r="L48" s="104" t="n"/>
      <c r="M48" s="104" t="n"/>
      <c r="N48" s="105" t="n"/>
    </row>
    <row r="49">
      <c r="A49" s="97" t="n">
        <v>43</v>
      </c>
      <c r="B49" s="87" t="inlineStr">
        <is>
          <t>Day</t>
        </is>
      </c>
      <c r="C49" s="88">
        <f>C47+1</f>
        <v/>
      </c>
      <c r="D49" s="76">
        <f>E48</f>
        <v/>
      </c>
      <c r="E49" s="76" t="n">
        <v>1513</v>
      </c>
      <c r="F49" s="89">
        <f>E49-D49</f>
        <v/>
      </c>
      <c r="G49" s="193">
        <f>F49+F50</f>
        <v/>
      </c>
      <c r="H49" s="94" t="n"/>
      <c r="I49" s="94" t="n"/>
      <c r="J49" s="95" t="n"/>
      <c r="K49" s="95" t="n"/>
      <c r="L49" s="95" t="n"/>
      <c r="M49" s="95" t="n"/>
      <c r="N49" s="119" t="inlineStr">
        <is>
          <t>Sunday</t>
        </is>
      </c>
    </row>
    <row r="50">
      <c r="A50" s="97" t="n">
        <v>44</v>
      </c>
      <c r="B50" s="87" t="inlineStr">
        <is>
          <t>Night</t>
        </is>
      </c>
      <c r="C50" s="88">
        <f>C49</f>
        <v/>
      </c>
      <c r="D50" s="76">
        <f>E49</f>
        <v/>
      </c>
      <c r="E50" s="76" t="n">
        <v>1513</v>
      </c>
      <c r="F50" s="89">
        <f>E50-D50</f>
        <v/>
      </c>
      <c r="G50" s="192" t="n"/>
      <c r="H50" s="94" t="n"/>
      <c r="I50" s="94" t="n"/>
      <c r="J50" s="95" t="n"/>
      <c r="K50" s="95" t="n"/>
      <c r="L50" s="95" t="n"/>
      <c r="M50" s="95" t="n"/>
      <c r="N50" s="96" t="n"/>
    </row>
    <row r="51">
      <c r="A51" s="70" t="n">
        <v>45</v>
      </c>
      <c r="B51" s="63" t="inlineStr">
        <is>
          <t>Day</t>
        </is>
      </c>
      <c r="C51" s="21">
        <f>C49+1</f>
        <v/>
      </c>
      <c r="D51" s="64">
        <f>E50</f>
        <v/>
      </c>
      <c r="E51" s="64" t="n">
        <v>1518</v>
      </c>
      <c r="F51" s="24">
        <f>E51-D51</f>
        <v/>
      </c>
      <c r="G51" s="191">
        <f>F51+F52</f>
        <v/>
      </c>
      <c r="H51" s="103" t="n"/>
      <c r="I51" s="103" t="n"/>
      <c r="J51" s="104" t="n"/>
      <c r="K51" s="104" t="n">
        <v>15</v>
      </c>
      <c r="L51" s="104" t="n">
        <v>1517</v>
      </c>
      <c r="M51" s="104" t="n"/>
      <c r="N51" s="105" t="n"/>
    </row>
    <row r="52">
      <c r="A52" s="70" t="n">
        <v>46</v>
      </c>
      <c r="B52" s="63" t="inlineStr">
        <is>
          <t>Night</t>
        </is>
      </c>
      <c r="C52" s="21">
        <f>C51</f>
        <v/>
      </c>
      <c r="D52" s="64">
        <f>E51</f>
        <v/>
      </c>
      <c r="E52" s="64" t="n">
        <v>1518</v>
      </c>
      <c r="F52" s="24">
        <f>E52-D52</f>
        <v/>
      </c>
      <c r="G52" s="192" t="n"/>
      <c r="H52" s="103" t="n"/>
      <c r="I52" s="103" t="n"/>
      <c r="J52" s="104" t="n"/>
      <c r="K52" s="104" t="n"/>
      <c r="L52" s="104" t="n"/>
      <c r="M52" s="104" t="n"/>
      <c r="N52" s="105" t="n"/>
    </row>
    <row r="53">
      <c r="A53" s="70" t="n">
        <v>47</v>
      </c>
      <c r="B53" s="63" t="inlineStr">
        <is>
          <t>Day</t>
        </is>
      </c>
      <c r="C53" s="21">
        <f>C51+1</f>
        <v/>
      </c>
      <c r="D53" s="64">
        <f>E52</f>
        <v/>
      </c>
      <c r="E53" s="64" t="n">
        <v>1518</v>
      </c>
      <c r="F53" s="24">
        <f>E53-D53</f>
        <v/>
      </c>
      <c r="G53" s="191">
        <f>F53+F54</f>
        <v/>
      </c>
      <c r="H53" s="103" t="n"/>
      <c r="I53" s="103" t="n"/>
      <c r="J53" s="104" t="n"/>
      <c r="K53" s="104" t="n"/>
      <c r="L53" s="104" t="n"/>
      <c r="M53" s="104" t="n"/>
      <c r="N53" s="105" t="n"/>
    </row>
    <row r="54">
      <c r="A54" s="70" t="n">
        <v>48</v>
      </c>
      <c r="B54" s="63" t="inlineStr">
        <is>
          <t>Night</t>
        </is>
      </c>
      <c r="C54" s="21">
        <f>C53</f>
        <v/>
      </c>
      <c r="D54" s="64">
        <f>E53</f>
        <v/>
      </c>
      <c r="E54" s="64" t="n">
        <v>1519</v>
      </c>
      <c r="F54" s="24">
        <f>E54-D54</f>
        <v/>
      </c>
      <c r="G54" s="192" t="n"/>
      <c r="H54" s="103" t="n"/>
      <c r="I54" s="103" t="n"/>
      <c r="J54" s="104" t="n"/>
      <c r="K54" s="104" t="n"/>
      <c r="L54" s="104" t="n"/>
      <c r="M54" s="104" t="n"/>
      <c r="N54" s="105" t="n"/>
    </row>
    <row r="55">
      <c r="A55" s="70" t="n">
        <v>49</v>
      </c>
      <c r="B55" s="63" t="inlineStr">
        <is>
          <t>Day</t>
        </is>
      </c>
      <c r="C55" s="21">
        <f>C53+1</f>
        <v/>
      </c>
      <c r="D55" s="64">
        <f>E54</f>
        <v/>
      </c>
      <c r="E55" s="64" t="n">
        <v>1519</v>
      </c>
      <c r="F55" s="24">
        <f>E55-D55</f>
        <v/>
      </c>
      <c r="G55" s="191">
        <f>F55+F56</f>
        <v/>
      </c>
      <c r="H55" s="103" t="n"/>
      <c r="I55" s="103" t="n"/>
      <c r="J55" s="104" t="n"/>
      <c r="K55" s="104" t="n"/>
      <c r="L55" s="104" t="n"/>
      <c r="M55" s="104" t="n"/>
      <c r="N55" s="105" t="n"/>
    </row>
    <row r="56">
      <c r="A56" s="70" t="n">
        <v>50</v>
      </c>
      <c r="B56" s="63" t="inlineStr">
        <is>
          <t>Night</t>
        </is>
      </c>
      <c r="C56" s="21">
        <f>C55</f>
        <v/>
      </c>
      <c r="D56" s="64">
        <f>E55</f>
        <v/>
      </c>
      <c r="E56" s="64" t="n">
        <v>1519</v>
      </c>
      <c r="F56" s="24">
        <f>E56-D56</f>
        <v/>
      </c>
      <c r="G56" s="192" t="n"/>
      <c r="H56" s="103" t="n"/>
      <c r="I56" s="103" t="n"/>
      <c r="J56" s="104" t="n"/>
      <c r="K56" s="104" t="n"/>
      <c r="L56" s="104" t="n"/>
      <c r="M56" s="104" t="n"/>
      <c r="N56" s="105" t="n"/>
    </row>
    <row r="57">
      <c r="A57" s="70" t="n">
        <v>51</v>
      </c>
      <c r="B57" s="63" t="inlineStr">
        <is>
          <t>Day</t>
        </is>
      </c>
      <c r="C57" s="21">
        <f>C55+1</f>
        <v/>
      </c>
      <c r="D57" s="64">
        <f>E56</f>
        <v/>
      </c>
      <c r="E57" s="64" t="n">
        <v>1519</v>
      </c>
      <c r="F57" s="24">
        <f>E57-D57</f>
        <v/>
      </c>
      <c r="G57" s="191">
        <f>F57+F58</f>
        <v/>
      </c>
      <c r="H57" s="103" t="n"/>
      <c r="I57" s="103" t="n"/>
      <c r="J57" s="104" t="n"/>
      <c r="K57" s="104" t="n"/>
      <c r="L57" s="104" t="n"/>
      <c r="M57" s="104" t="n"/>
      <c r="N57" s="105" t="n"/>
    </row>
    <row r="58">
      <c r="A58" s="70" t="n">
        <v>52</v>
      </c>
      <c r="B58" s="63" t="inlineStr">
        <is>
          <t>Night</t>
        </is>
      </c>
      <c r="C58" s="21">
        <f>C57</f>
        <v/>
      </c>
      <c r="D58" s="64">
        <f>E57</f>
        <v/>
      </c>
      <c r="E58" s="64" t="n">
        <v>1519</v>
      </c>
      <c r="F58" s="24">
        <f>E58-D58</f>
        <v/>
      </c>
      <c r="G58" s="192" t="n"/>
      <c r="H58" s="103" t="n"/>
      <c r="I58" s="103" t="n"/>
      <c r="J58" s="104" t="n"/>
      <c r="K58" s="104" t="n"/>
      <c r="L58" s="104" t="n"/>
      <c r="M58" s="104" t="n"/>
      <c r="N58" s="105" t="n"/>
    </row>
    <row r="59">
      <c r="A59" s="70" t="n">
        <v>53</v>
      </c>
      <c r="B59" s="63" t="inlineStr">
        <is>
          <t>Day</t>
        </is>
      </c>
      <c r="C59" s="21">
        <f>C57+1</f>
        <v/>
      </c>
      <c r="D59" s="64">
        <f>E58</f>
        <v/>
      </c>
      <c r="E59" s="64" t="n">
        <v>1520</v>
      </c>
      <c r="F59" s="24">
        <f>E59-D59</f>
        <v/>
      </c>
      <c r="G59" s="232">
        <f>F59+F60</f>
        <v/>
      </c>
      <c r="H59" s="103" t="n"/>
      <c r="I59" s="103" t="n"/>
      <c r="J59" s="104" t="n"/>
      <c r="K59" s="104" t="n"/>
      <c r="L59" s="104" t="n"/>
      <c r="M59" s="104" t="n"/>
      <c r="N59" s="105" t="n"/>
    </row>
    <row r="60">
      <c r="A60" s="73" t="n">
        <v>54</v>
      </c>
      <c r="B60" s="69" t="inlineStr">
        <is>
          <t>Night</t>
        </is>
      </c>
      <c r="C60" s="110">
        <f>C59</f>
        <v/>
      </c>
      <c r="D60" s="64">
        <f>E59</f>
        <v/>
      </c>
      <c r="E60" s="64" t="n">
        <v>1520</v>
      </c>
      <c r="F60" s="24">
        <f>E60-D60</f>
        <v/>
      </c>
      <c r="G60" s="233" t="n"/>
      <c r="H60" s="103" t="n"/>
      <c r="I60" s="103" t="n"/>
      <c r="J60" s="104" t="n"/>
      <c r="K60" s="104" t="n"/>
      <c r="L60" s="104" t="n"/>
      <c r="M60" s="104" t="n"/>
      <c r="N60" s="105" t="n"/>
    </row>
    <row r="61">
      <c r="A61" s="71" t="n">
        <v>55</v>
      </c>
      <c r="B61" s="71" t="inlineStr">
        <is>
          <t>Day</t>
        </is>
      </c>
      <c r="C61" s="111">
        <f>C59+1</f>
        <v/>
      </c>
      <c r="D61" s="64">
        <f>E60</f>
        <v/>
      </c>
      <c r="E61" s="64" t="n">
        <v>1520</v>
      </c>
      <c r="F61" s="24">
        <f>E61-D61</f>
        <v/>
      </c>
      <c r="G61" s="226">
        <f>F61+F62</f>
        <v/>
      </c>
      <c r="H61" s="99" t="n"/>
      <c r="I61" s="99" t="n"/>
      <c r="J61" s="101" t="n"/>
      <c r="K61" s="101" t="n"/>
      <c r="L61" s="101" t="n"/>
      <c r="M61" s="101" t="n"/>
      <c r="N61" s="102" t="n"/>
    </row>
    <row r="62" ht="15.75" customHeight="1" thickBot="1">
      <c r="A62" s="71" t="n">
        <v>56</v>
      </c>
      <c r="B62" s="71" t="inlineStr">
        <is>
          <t>Night</t>
        </is>
      </c>
      <c r="C62" s="111">
        <f>C61</f>
        <v/>
      </c>
      <c r="D62" s="64">
        <f>E61</f>
        <v/>
      </c>
      <c r="E62" s="64" t="n">
        <v>1522</v>
      </c>
      <c r="F62" s="24">
        <f>E62-D62</f>
        <v/>
      </c>
      <c r="G62" s="227" t="n"/>
      <c r="H62" s="99" t="n"/>
      <c r="I62" s="99" t="n"/>
      <c r="J62" s="101" t="n"/>
      <c r="K62" s="101" t="n"/>
      <c r="L62" s="101" t="n"/>
      <c r="M62" s="101" t="n"/>
      <c r="N62" s="102" t="n"/>
    </row>
    <row r="63">
      <c r="A63" s="127" t="n">
        <v>57</v>
      </c>
      <c r="B63" s="127" t="inlineStr">
        <is>
          <t>Day</t>
        </is>
      </c>
      <c r="C63" s="128">
        <f>C61+1</f>
        <v/>
      </c>
      <c r="D63" s="234" t="inlineStr">
        <is>
          <t>Machine Dehired</t>
        </is>
      </c>
      <c r="E63" s="235" t="n"/>
      <c r="F63" s="89" t="n"/>
      <c r="G63" s="231" t="n"/>
      <c r="H63" s="90" t="n"/>
      <c r="I63" s="90" t="n"/>
      <c r="J63" s="91" t="n"/>
      <c r="K63" s="91" t="n"/>
      <c r="L63" s="91" t="n"/>
      <c r="M63" s="91" t="n"/>
      <c r="N63" s="119" t="inlineStr">
        <is>
          <t>Sunday</t>
        </is>
      </c>
    </row>
    <row r="64">
      <c r="A64" s="127" t="n">
        <v>58</v>
      </c>
      <c r="B64" s="127" t="inlineStr">
        <is>
          <t>Night</t>
        </is>
      </c>
      <c r="C64" s="128">
        <f>C63</f>
        <v/>
      </c>
      <c r="D64" s="236" t="n"/>
      <c r="E64" s="237" t="n"/>
      <c r="F64" s="89" t="n"/>
      <c r="G64" s="227" t="n"/>
      <c r="H64" s="90" t="n"/>
      <c r="I64" s="90" t="n"/>
      <c r="J64" s="91" t="n"/>
      <c r="K64" s="91" t="n"/>
      <c r="L64" s="91" t="n"/>
      <c r="M64" s="91" t="n"/>
      <c r="N64" s="92" t="n"/>
    </row>
    <row r="65">
      <c r="A65" s="71" t="n">
        <v>59</v>
      </c>
      <c r="B65" s="71" t="inlineStr">
        <is>
          <t>Day</t>
        </is>
      </c>
      <c r="C65" s="111">
        <f>C63+1</f>
        <v/>
      </c>
      <c r="D65" s="236" t="n"/>
      <c r="E65" s="237" t="n"/>
      <c r="F65" s="24" t="n"/>
      <c r="G65" s="226" t="n"/>
      <c r="H65" s="99" t="n"/>
      <c r="I65" s="99" t="n"/>
      <c r="J65" s="101" t="n"/>
      <c r="K65" s="101" t="n"/>
      <c r="L65" s="101" t="n"/>
      <c r="M65" s="101" t="n"/>
      <c r="N65" s="102" t="n"/>
    </row>
    <row r="66">
      <c r="A66" s="71" t="n">
        <v>60</v>
      </c>
      <c r="B66" s="71" t="inlineStr">
        <is>
          <t>Night</t>
        </is>
      </c>
      <c r="C66" s="111">
        <f>C65</f>
        <v/>
      </c>
      <c r="D66" s="236" t="n"/>
      <c r="E66" s="237" t="n"/>
      <c r="F66" s="24" t="n"/>
      <c r="G66" s="227" t="n"/>
      <c r="H66" s="99" t="n"/>
      <c r="I66" s="99" t="n"/>
      <c r="J66" s="101" t="n"/>
      <c r="K66" s="101" t="n"/>
      <c r="L66" s="101" t="n"/>
      <c r="M66" s="101" t="n"/>
      <c r="N66" s="102" t="n"/>
    </row>
    <row r="67">
      <c r="A67" s="71" t="n">
        <v>61</v>
      </c>
      <c r="B67" s="71" t="inlineStr">
        <is>
          <t>Day</t>
        </is>
      </c>
      <c r="C67" s="111">
        <f>C65+1</f>
        <v/>
      </c>
      <c r="D67" s="236" t="n"/>
      <c r="E67" s="237" t="n"/>
      <c r="F67" s="24" t="n"/>
      <c r="G67" s="226" t="n"/>
      <c r="H67" s="99" t="n"/>
      <c r="I67" s="99" t="n"/>
      <c r="J67" s="101" t="n"/>
      <c r="K67" s="101" t="n"/>
      <c r="L67" s="101" t="n"/>
      <c r="M67" s="101" t="n"/>
      <c r="N67" s="102" t="n"/>
    </row>
    <row r="68">
      <c r="A68" s="71" t="n">
        <v>62</v>
      </c>
      <c r="B68" s="71" t="inlineStr">
        <is>
          <t>Night</t>
        </is>
      </c>
      <c r="C68" s="111">
        <f>C67</f>
        <v/>
      </c>
      <c r="D68" s="238" t="n"/>
      <c r="E68" s="239" t="n"/>
      <c r="F68" s="24" t="n"/>
      <c r="G68" s="227" t="n"/>
      <c r="H68" s="99" t="n"/>
      <c r="I68" s="99" t="n"/>
      <c r="J68" s="101" t="n"/>
      <c r="K68" s="101" t="n"/>
      <c r="L68" s="101" t="n"/>
      <c r="M68" s="101" t="n"/>
      <c r="N68" s="102" t="n"/>
    </row>
    <row r="69" ht="15.75" customHeight="1" thickBot="1">
      <c r="A69" s="228" t="inlineStr">
        <is>
          <t>Total</t>
        </is>
      </c>
      <c r="B69" s="229" t="n"/>
      <c r="C69" s="229" t="n"/>
      <c r="D69" s="229" t="n"/>
      <c r="E69" s="230" t="n"/>
      <c r="F69" s="112">
        <f>SUM(F7:F62)</f>
        <v/>
      </c>
      <c r="G69" s="112">
        <f>SUM(G7:G62)</f>
        <v/>
      </c>
      <c r="H69" s="113" t="n"/>
      <c r="I69" s="114" t="n"/>
      <c r="J69" s="115" t="n"/>
      <c r="K69" s="112">
        <f>SUM(K7:K62)</f>
        <v/>
      </c>
      <c r="L69" s="115" t="n"/>
      <c r="M69" s="115" t="n"/>
      <c r="N69" s="116" t="n"/>
    </row>
    <row r="70">
      <c r="A70" s="211" t="n"/>
      <c r="B70" s="211" t="n"/>
      <c r="C70" s="211" t="n"/>
      <c r="D70" s="211" t="n"/>
      <c r="E70" s="211" t="n"/>
      <c r="F70" s="211" t="n"/>
      <c r="G70" s="211" t="n"/>
      <c r="H70" s="211" t="n"/>
      <c r="I70" s="211" t="n"/>
      <c r="J70" s="211" t="n"/>
      <c r="K70" s="211" t="n"/>
      <c r="L70" s="211" t="n"/>
      <c r="M70" s="211" t="n"/>
      <c r="N70" s="211" t="n"/>
    </row>
    <row r="71">
      <c r="A71" s="222" t="inlineStr">
        <is>
          <t>Monthly Hiring Charges</t>
        </is>
      </c>
      <c r="B71" s="190" t="n"/>
      <c r="C71" s="222" t="n">
        <v>240000</v>
      </c>
      <c r="D71" s="211" t="n"/>
      <c r="E71" s="211" t="n"/>
      <c r="F71" s="211" t="n"/>
      <c r="G71" s="211" t="n"/>
      <c r="H71" s="211" t="n"/>
      <c r="I71" s="211" t="n"/>
      <c r="J71" s="211" t="n"/>
      <c r="K71" s="211" t="n"/>
      <c r="L71" s="211" t="n"/>
      <c r="M71" s="211" t="n"/>
      <c r="N71" s="211" t="n"/>
    </row>
    <row r="72">
      <c r="A72" s="222" t="inlineStr">
        <is>
          <t>Per Day Charges (31 Days)</t>
        </is>
      </c>
      <c r="B72" s="190" t="n"/>
      <c r="C72" s="222">
        <f>C71/31</f>
        <v/>
      </c>
      <c r="H72" s="211" t="n"/>
      <c r="I72" s="211" t="n"/>
      <c r="J72" s="211" t="n"/>
      <c r="K72" s="211" t="n"/>
      <c r="L72" s="211" t="n"/>
      <c r="M72" s="211" t="n"/>
      <c r="N72" s="211" t="n"/>
    </row>
    <row r="73">
      <c r="A73" s="222" t="inlineStr">
        <is>
          <t>24 Days Rate</t>
        </is>
      </c>
      <c r="B73" s="190" t="n"/>
      <c r="C73" s="222">
        <f>C72*24</f>
        <v/>
      </c>
      <c r="H73" s="211" t="n"/>
      <c r="I73" s="211" t="n"/>
      <c r="J73" s="211" t="n"/>
      <c r="K73" s="211" t="n"/>
      <c r="L73" s="211" t="n"/>
      <c r="M73" s="211" t="n"/>
      <c r="N73" s="211" t="n"/>
    </row>
    <row r="74">
      <c r="A74" s="222" t="inlineStr">
        <is>
          <t>Billed Amount</t>
        </is>
      </c>
      <c r="B74" s="190" t="n"/>
      <c r="C74" s="222" t="n">
        <v>185806.4516129032</v>
      </c>
      <c r="K74" s="211" t="n"/>
      <c r="L74" s="211" t="n"/>
      <c r="M74" s="211" t="n"/>
      <c r="N74" s="211" t="n"/>
    </row>
    <row r="75">
      <c r="A75" s="211" t="n"/>
      <c r="B75" s="211" t="n"/>
      <c r="C75" s="211" t="n"/>
      <c r="D75" s="211" t="n"/>
      <c r="E75" s="211" t="n"/>
      <c r="F75" s="211" t="n"/>
      <c r="G75" s="211" t="n"/>
      <c r="K75" s="211" t="n"/>
      <c r="L75" s="211" t="n"/>
      <c r="M75" s="211" t="n"/>
      <c r="N75" s="211" t="n"/>
    </row>
    <row r="76">
      <c r="A76" s="130" t="inlineStr">
        <is>
          <t>Raise Tax Invoice as per above mentioned calculation</t>
        </is>
      </c>
      <c r="B76" s="211" t="n"/>
      <c r="C76" s="211" t="n"/>
      <c r="D76" s="211" t="n"/>
      <c r="E76" s="211" t="n"/>
      <c r="F76" s="211" t="n"/>
      <c r="G76" s="211" t="n"/>
      <c r="K76" s="211" t="n"/>
      <c r="L76" s="211" t="n"/>
      <c r="M76" s="211" t="n"/>
      <c r="N76" s="211" t="n"/>
    </row>
    <row r="77">
      <c r="A77" s="211" t="inlineStr">
        <is>
          <t>Poonam Goswami</t>
        </is>
      </c>
      <c r="B77" s="211" t="n"/>
      <c r="C77" s="211" t="n"/>
      <c r="D77" s="211" t="n"/>
      <c r="E77" s="211" t="n"/>
      <c r="F77" s="211" t="n"/>
      <c r="G77" s="211" t="n"/>
      <c r="K77" s="211" t="n"/>
      <c r="L77" s="211" t="n"/>
      <c r="M77" s="211" t="n"/>
      <c r="N77" s="211" t="n"/>
    </row>
    <row r="78">
      <c r="A78" s="129" t="n">
        <v>46108</v>
      </c>
      <c r="B78" s="211" t="n"/>
      <c r="C78" s="211" t="n"/>
      <c r="D78" s="211" t="n"/>
      <c r="E78" s="211" t="n"/>
      <c r="F78" s="211" t="n"/>
      <c r="G78" s="211" t="n"/>
      <c r="H78" s="211" t="n"/>
      <c r="I78" s="211" t="n"/>
      <c r="J78" s="211" t="n"/>
      <c r="K78" s="211" t="n"/>
      <c r="L78" s="211" t="n"/>
      <c r="M78" s="211" t="n"/>
      <c r="N78" s="211" t="n"/>
    </row>
    <row r="80" ht="15.75" customHeight="1">
      <c r="D80" s="195" t="inlineStr">
        <is>
          <t>Max hsd as per loi(5-6)</t>
        </is>
      </c>
      <c r="E80" s="189" t="n"/>
      <c r="F80" s="190" t="n"/>
      <c r="G80" s="195">
        <f>F69*6</f>
        <v/>
      </c>
    </row>
    <row r="81" ht="15.75" customHeight="1">
      <c r="D81" s="195" t="inlineStr">
        <is>
          <t>Actual diesel cosumption</t>
        </is>
      </c>
      <c r="E81" s="189" t="n"/>
      <c r="F81" s="190" t="n"/>
      <c r="G81" s="195">
        <f>K69</f>
        <v/>
      </c>
    </row>
    <row r="82" ht="15.75" customHeight="1">
      <c r="D82" s="195" t="inlineStr">
        <is>
          <t>Fuel ecxess</t>
        </is>
      </c>
      <c r="E82" s="189" t="n"/>
      <c r="F82" s="190" t="n"/>
      <c r="G82" s="98">
        <f>G81-G80</f>
        <v/>
      </c>
    </row>
  </sheetData>
  <mergeCells count="50">
    <mergeCell ref="A5:D5"/>
    <mergeCell ref="G67:G68"/>
    <mergeCell ref="G43:G44"/>
    <mergeCell ref="G23:G24"/>
    <mergeCell ref="G17:G18"/>
    <mergeCell ref="G57:G58"/>
    <mergeCell ref="G61:G62"/>
    <mergeCell ref="A73:B73"/>
    <mergeCell ref="A4:D4"/>
    <mergeCell ref="G13:G14"/>
    <mergeCell ref="G7:G8"/>
    <mergeCell ref="G39:G40"/>
    <mergeCell ref="G19:G20"/>
    <mergeCell ref="A69:E69"/>
    <mergeCell ref="G53:G54"/>
    <mergeCell ref="G65:G66"/>
    <mergeCell ref="E3:N3"/>
    <mergeCell ref="G37:G38"/>
    <mergeCell ref="G15:G16"/>
    <mergeCell ref="A74:B74"/>
    <mergeCell ref="G55:G56"/>
    <mergeCell ref="G49:G50"/>
    <mergeCell ref="G29:G30"/>
    <mergeCell ref="A1:D1"/>
    <mergeCell ref="D82:F82"/>
    <mergeCell ref="E5:N5"/>
    <mergeCell ref="G63:G64"/>
    <mergeCell ref="G33:G34"/>
    <mergeCell ref="G51:G52"/>
    <mergeCell ref="A71:B71"/>
    <mergeCell ref="E4:N4"/>
    <mergeCell ref="G45:G46"/>
    <mergeCell ref="G25:G26"/>
    <mergeCell ref="G41:G42"/>
    <mergeCell ref="G59:G60"/>
    <mergeCell ref="D63:E68"/>
    <mergeCell ref="G35:G36"/>
    <mergeCell ref="E1:N1"/>
    <mergeCell ref="D81:F81"/>
    <mergeCell ref="G9:G10"/>
    <mergeCell ref="A72:B72"/>
    <mergeCell ref="G27:G28"/>
    <mergeCell ref="D80:F80"/>
    <mergeCell ref="G47:G48"/>
    <mergeCell ref="A3:D3"/>
    <mergeCell ref="G21:G22"/>
    <mergeCell ref="A2:D2"/>
    <mergeCell ref="G11:G12"/>
    <mergeCell ref="G31:G32"/>
    <mergeCell ref="E2:N2"/>
  </mergeCells>
  <pageMargins left="0.17" right="0.7" top="0.75" bottom="0.75" header="0.3" footer="0.3"/>
  <pageSetup orientation="portrait" scale="5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74"/>
  <sheetViews>
    <sheetView zoomScaleNormal="100" workbookViewId="0">
      <selection activeCell="M15" sqref="M15"/>
    </sheetView>
  </sheetViews>
  <sheetFormatPr baseColWidth="8" defaultRowHeight="15"/>
  <cols>
    <col width="10.7109375" bestFit="1" customWidth="1" min="3" max="3"/>
    <col width="12.140625" customWidth="1" min="13" max="13"/>
    <col width="24.140625" customWidth="1" min="14" max="14"/>
  </cols>
  <sheetData>
    <row r="1" ht="18.75" customHeight="1">
      <c r="A1" s="194" t="inlineStr">
        <is>
          <t xml:space="preserve">Vendor Description  </t>
        </is>
      </c>
      <c r="B1" s="189" t="n"/>
      <c r="C1" s="189" t="n"/>
      <c r="D1" s="190" t="n"/>
      <c r="E1" s="204" t="inlineStr">
        <is>
          <t>EKTA ENTERPRISES</t>
        </is>
      </c>
      <c r="F1" s="205" t="n"/>
      <c r="G1" s="205" t="n"/>
      <c r="H1" s="205" t="n"/>
      <c r="I1" s="205" t="n"/>
      <c r="J1" s="205" t="n"/>
      <c r="K1" s="205" t="n"/>
      <c r="L1" s="205" t="n"/>
      <c r="M1" s="205" t="n"/>
      <c r="N1" s="206" t="n"/>
    </row>
    <row r="2" ht="18.75" customHeight="1">
      <c r="A2" s="194" t="inlineStr">
        <is>
          <t xml:space="preserve">Asset  Discription  </t>
        </is>
      </c>
      <c r="B2" s="189" t="n"/>
      <c r="C2" s="189" t="n"/>
      <c r="D2" s="190" t="n"/>
      <c r="E2" s="197" t="inlineStr">
        <is>
          <t xml:space="preserve">XCMG Crawler CRANE </t>
        </is>
      </c>
      <c r="F2" s="198" t="n"/>
      <c r="G2" s="198" t="n"/>
      <c r="H2" s="198" t="n"/>
      <c r="I2" s="198" t="n"/>
      <c r="J2" s="198" t="n"/>
      <c r="K2" s="198" t="n"/>
      <c r="L2" s="198" t="n"/>
      <c r="M2" s="198" t="n"/>
      <c r="N2" s="199" t="n"/>
    </row>
    <row r="3" ht="18.75" customHeight="1">
      <c r="A3" s="194" t="inlineStr">
        <is>
          <t xml:space="preserve">Asset  Capacity  </t>
        </is>
      </c>
      <c r="B3" s="189" t="n"/>
      <c r="C3" s="189" t="n"/>
      <c r="D3" s="190" t="n"/>
      <c r="E3" s="197" t="inlineStr">
        <is>
          <t>45 Ton</t>
        </is>
      </c>
      <c r="F3" s="198" t="n"/>
      <c r="G3" s="198" t="n"/>
      <c r="H3" s="198" t="n"/>
      <c r="I3" s="198" t="n"/>
      <c r="J3" s="198" t="n"/>
      <c r="K3" s="198" t="n"/>
      <c r="L3" s="198" t="n"/>
      <c r="M3" s="198" t="n"/>
      <c r="N3" s="199" t="n"/>
    </row>
    <row r="4" ht="18.75" customHeight="1">
      <c r="A4" s="194" t="inlineStr">
        <is>
          <t xml:space="preserve">Billing Period  </t>
        </is>
      </c>
      <c r="B4" s="189" t="n"/>
      <c r="C4" s="189" t="n"/>
      <c r="D4" s="190" t="n"/>
      <c r="E4" s="203" t="inlineStr">
        <is>
          <t>01-06-2026 TO 30-06-2026</t>
        </is>
      </c>
      <c r="F4" s="198" t="n"/>
      <c r="G4" s="198" t="n"/>
      <c r="H4" s="198" t="n"/>
      <c r="I4" s="198" t="n"/>
      <c r="J4" s="198" t="n"/>
      <c r="K4" s="198" t="n"/>
      <c r="L4" s="198" t="n"/>
      <c r="M4" s="198" t="n"/>
      <c r="N4" s="199" t="n"/>
    </row>
    <row r="5" ht="18.75" customHeight="1" thickBot="1">
      <c r="A5" s="188" t="inlineStr">
        <is>
          <t>COMPANY  NAME</t>
        </is>
      </c>
      <c r="B5" s="189" t="n"/>
      <c r="C5" s="189" t="n"/>
      <c r="D5" s="190" t="n"/>
      <c r="E5" s="200" t="inlineStr">
        <is>
          <t>Hindustan Infrastructure solution Ahemdabaad</t>
        </is>
      </c>
      <c r="F5" s="201" t="n"/>
      <c r="G5" s="201" t="n"/>
      <c r="H5" s="201" t="n"/>
      <c r="I5" s="201" t="n"/>
      <c r="J5" s="201" t="n"/>
      <c r="K5" s="201" t="n"/>
      <c r="L5" s="201" t="n"/>
      <c r="M5" s="201" t="n"/>
      <c r="N5" s="202" t="n"/>
    </row>
    <row r="6" ht="39" customHeight="1" thickBot="1">
      <c r="A6" s="131" t="inlineStr">
        <is>
          <t>SR. NO.</t>
        </is>
      </c>
      <c r="B6" s="131" t="inlineStr">
        <is>
          <t>Shift</t>
        </is>
      </c>
      <c r="C6" s="132" t="inlineStr">
        <is>
          <t>Date</t>
        </is>
      </c>
      <c r="D6" s="132" t="inlineStr">
        <is>
          <t>Starting HMR</t>
        </is>
      </c>
      <c r="E6" s="17" t="inlineStr">
        <is>
          <t>Closing    HMR</t>
        </is>
      </c>
      <c r="F6" s="38" t="inlineStr">
        <is>
          <t>HMR</t>
        </is>
      </c>
      <c r="G6" s="18" t="inlineStr">
        <is>
          <t>Normal  Shift
Hours</t>
        </is>
      </c>
      <c r="H6" s="3" t="inlineStr">
        <is>
          <t>BD Start</t>
        </is>
      </c>
      <c r="I6" s="4" t="inlineStr">
        <is>
          <t>BD End</t>
        </is>
      </c>
      <c r="J6" s="2" t="inlineStr">
        <is>
          <t>Total B/D</t>
        </is>
      </c>
      <c r="K6" s="5" t="inlineStr">
        <is>
          <t>Diesel  issued</t>
        </is>
      </c>
      <c r="L6" s="2" t="inlineStr">
        <is>
          <t>Diesel HMR</t>
        </is>
      </c>
      <c r="M6" s="2" t="inlineStr">
        <is>
          <t>Hours</t>
        </is>
      </c>
      <c r="N6" s="2" t="inlineStr">
        <is>
          <t>Remark</t>
        </is>
      </c>
    </row>
    <row r="7" ht="15.75" customHeight="1">
      <c r="A7" s="19" t="n">
        <v>1</v>
      </c>
      <c r="B7" s="20" t="inlineStr">
        <is>
          <t>Day</t>
        </is>
      </c>
      <c r="C7" s="21" t="n">
        <v>46174</v>
      </c>
      <c r="D7" s="24" t="n">
        <v>1591</v>
      </c>
      <c r="E7" s="23" t="n">
        <v>1591</v>
      </c>
      <c r="F7" s="24">
        <f>E7-D7</f>
        <v/>
      </c>
      <c r="G7" s="196">
        <f>F7+F8</f>
        <v/>
      </c>
      <c r="H7" s="6" t="n"/>
      <c r="I7" s="6" t="n"/>
      <c r="J7" s="6" t="n"/>
      <c r="K7" s="6" t="n"/>
      <c r="L7" s="158" t="n"/>
      <c r="M7" s="8" t="n"/>
      <c r="N7" s="9" t="n"/>
    </row>
    <row r="8" ht="15.75" customHeight="1">
      <c r="A8" s="19" t="n">
        <v>2</v>
      </c>
      <c r="B8" s="20" t="inlineStr">
        <is>
          <t>Night</t>
        </is>
      </c>
      <c r="C8" s="21">
        <f>C7</f>
        <v/>
      </c>
      <c r="D8" s="22">
        <f>E7</f>
        <v/>
      </c>
      <c r="E8" s="23" t="n">
        <v>1591</v>
      </c>
      <c r="F8" s="24">
        <f>E8-D8</f>
        <v/>
      </c>
      <c r="G8" s="192" t="n"/>
      <c r="H8" s="159" t="n"/>
      <c r="I8" s="159" t="n"/>
      <c r="J8" s="160" t="n"/>
      <c r="K8" s="160" t="n"/>
      <c r="L8" s="158" t="n"/>
      <c r="M8" s="158" t="n"/>
      <c r="N8" s="161" t="n"/>
    </row>
    <row r="9" ht="15.75" customHeight="1">
      <c r="A9" s="19" t="n">
        <v>3</v>
      </c>
      <c r="B9" s="20" t="inlineStr">
        <is>
          <t>Day</t>
        </is>
      </c>
      <c r="C9" s="21">
        <f>C7+1</f>
        <v/>
      </c>
      <c r="D9" s="22">
        <f>E8</f>
        <v/>
      </c>
      <c r="E9" s="23" t="n">
        <v>1591</v>
      </c>
      <c r="F9" s="24">
        <f>E9-D9</f>
        <v/>
      </c>
      <c r="G9" s="191">
        <f>F9+F10</f>
        <v/>
      </c>
      <c r="H9" s="162" t="n"/>
      <c r="I9" s="162" t="n"/>
      <c r="J9" s="160" t="n"/>
      <c r="K9" s="160" t="n"/>
      <c r="L9" s="160" t="n"/>
      <c r="M9" s="160" t="n"/>
      <c r="N9" s="161" t="n"/>
    </row>
    <row r="10" ht="15.75" customHeight="1">
      <c r="A10" s="19" t="n">
        <v>4</v>
      </c>
      <c r="B10" s="20" t="inlineStr">
        <is>
          <t>Night</t>
        </is>
      </c>
      <c r="C10" s="21">
        <f>C9</f>
        <v/>
      </c>
      <c r="D10" s="22">
        <f>E9</f>
        <v/>
      </c>
      <c r="E10" s="23" t="n">
        <v>1591</v>
      </c>
      <c r="F10" s="24">
        <f>E10-D10</f>
        <v/>
      </c>
      <c r="G10" s="192" t="n"/>
      <c r="H10" s="162" t="n"/>
      <c r="I10" s="162" t="n"/>
      <c r="J10" s="160" t="n"/>
      <c r="K10" s="160" t="n"/>
      <c r="L10" s="160" t="n"/>
      <c r="M10" s="160" t="n"/>
      <c r="N10" s="161" t="n"/>
    </row>
    <row r="11" ht="15.75" customHeight="1">
      <c r="A11" s="19" t="n">
        <v>5</v>
      </c>
      <c r="B11" s="20" t="inlineStr">
        <is>
          <t>Day</t>
        </is>
      </c>
      <c r="C11" s="21">
        <f>C9+1</f>
        <v/>
      </c>
      <c r="D11" s="22">
        <f>E10</f>
        <v/>
      </c>
      <c r="E11" s="23" t="n">
        <v>1591</v>
      </c>
      <c r="F11" s="24">
        <f>E11-D11</f>
        <v/>
      </c>
      <c r="G11" s="191">
        <f>F11+F12</f>
        <v/>
      </c>
      <c r="H11" s="162" t="n"/>
      <c r="I11" s="162" t="n"/>
      <c r="J11" s="163" t="n"/>
      <c r="K11" s="160" t="n"/>
      <c r="L11" s="160" t="n"/>
      <c r="M11" s="160" t="n"/>
      <c r="N11" s="164" t="n"/>
    </row>
    <row r="12" ht="15.75" customHeight="1">
      <c r="A12" s="19" t="n">
        <v>6</v>
      </c>
      <c r="B12" s="20" t="inlineStr">
        <is>
          <t>Night</t>
        </is>
      </c>
      <c r="C12" s="21">
        <f>C11</f>
        <v/>
      </c>
      <c r="D12" s="22">
        <f>E11</f>
        <v/>
      </c>
      <c r="E12" s="23" t="n">
        <v>1591</v>
      </c>
      <c r="F12" s="24">
        <f>E12-D12</f>
        <v/>
      </c>
      <c r="G12" s="192" t="n"/>
      <c r="H12" s="162" t="n"/>
      <c r="I12" s="162" t="n"/>
      <c r="J12" s="160" t="n"/>
      <c r="K12" s="160" t="n"/>
      <c r="L12" s="160" t="n"/>
      <c r="M12" s="160" t="n"/>
      <c r="N12" s="164" t="n"/>
    </row>
    <row r="13" ht="15.75" customHeight="1">
      <c r="A13" s="19" t="n">
        <v>7</v>
      </c>
      <c r="B13" s="20" t="inlineStr">
        <is>
          <t>Day</t>
        </is>
      </c>
      <c r="C13" s="21">
        <f>C11+1</f>
        <v/>
      </c>
      <c r="D13" s="22">
        <f>E12</f>
        <v/>
      </c>
      <c r="E13" s="23" t="n">
        <v>1591</v>
      </c>
      <c r="F13" s="24">
        <f>E13-D13</f>
        <v/>
      </c>
      <c r="G13" s="191">
        <f>F13+F14</f>
        <v/>
      </c>
      <c r="H13" s="162" t="n"/>
      <c r="I13" s="162" t="n"/>
      <c r="J13" s="160" t="n"/>
      <c r="K13" s="160" t="n"/>
      <c r="L13" s="160" t="n"/>
      <c r="M13" s="160" t="n"/>
      <c r="N13" s="164" t="n"/>
    </row>
    <row r="14" ht="15.75" customHeight="1">
      <c r="A14" s="19" t="n">
        <v>8</v>
      </c>
      <c r="B14" s="20" t="inlineStr">
        <is>
          <t>Night</t>
        </is>
      </c>
      <c r="C14" s="21">
        <f>C13</f>
        <v/>
      </c>
      <c r="D14" s="22">
        <f>E13</f>
        <v/>
      </c>
      <c r="E14" s="23" t="n">
        <v>1591</v>
      </c>
      <c r="F14" s="24">
        <f>E14-D14</f>
        <v/>
      </c>
      <c r="G14" s="192" t="n"/>
      <c r="H14" s="162" t="n"/>
      <c r="I14" s="162" t="n"/>
      <c r="J14" s="160" t="n"/>
      <c r="K14" s="160" t="n"/>
      <c r="L14" s="160" t="n"/>
      <c r="M14" s="160" t="n"/>
      <c r="N14" s="164" t="n"/>
    </row>
    <row r="15" ht="15.75" customHeight="1">
      <c r="A15" s="19" t="n">
        <v>9</v>
      </c>
      <c r="B15" s="20" t="inlineStr">
        <is>
          <t>Day</t>
        </is>
      </c>
      <c r="C15" s="21">
        <f>C13+1</f>
        <v/>
      </c>
      <c r="D15" s="22">
        <f>E14</f>
        <v/>
      </c>
      <c r="E15" s="23" t="n">
        <v>1591</v>
      </c>
      <c r="F15" s="24">
        <f>E15-D15</f>
        <v/>
      </c>
      <c r="G15" s="191">
        <f>F15+F16</f>
        <v/>
      </c>
      <c r="H15" s="162" t="n"/>
      <c r="I15" s="162" t="n"/>
      <c r="J15" s="160" t="n"/>
      <c r="K15" s="160" t="n"/>
      <c r="L15" s="160" t="n"/>
      <c r="M15" s="160" t="n"/>
      <c r="N15" s="164" t="n"/>
    </row>
    <row r="16" ht="15.75" customHeight="1">
      <c r="A16" s="19" t="n">
        <v>10</v>
      </c>
      <c r="B16" s="20" t="inlineStr">
        <is>
          <t>Night</t>
        </is>
      </c>
      <c r="C16" s="21">
        <f>C15</f>
        <v/>
      </c>
      <c r="D16" s="22">
        <f>E15</f>
        <v/>
      </c>
      <c r="E16" s="23" t="n">
        <v>1591</v>
      </c>
      <c r="F16" s="24">
        <f>E16-D16</f>
        <v/>
      </c>
      <c r="G16" s="192" t="n"/>
      <c r="H16" s="162" t="n"/>
      <c r="I16" s="162" t="n"/>
      <c r="J16" s="160" t="n"/>
      <c r="K16" s="160" t="n"/>
      <c r="L16" s="160" t="n"/>
      <c r="M16" s="160" t="n"/>
      <c r="N16" s="164" t="n"/>
    </row>
    <row r="17" ht="15.75" customHeight="1">
      <c r="A17" s="19" t="n">
        <v>11</v>
      </c>
      <c r="B17" s="20" t="inlineStr">
        <is>
          <t>Day</t>
        </is>
      </c>
      <c r="C17" s="21">
        <f>C15+1</f>
        <v/>
      </c>
      <c r="D17" s="22">
        <f>E16</f>
        <v/>
      </c>
      <c r="E17" s="23" t="n">
        <v>1591</v>
      </c>
      <c r="F17" s="24">
        <f>E17-D17</f>
        <v/>
      </c>
      <c r="G17" s="191">
        <f>F17+F18</f>
        <v/>
      </c>
      <c r="H17" s="162" t="n"/>
      <c r="I17" s="162" t="n"/>
      <c r="J17" s="160" t="n"/>
      <c r="K17" s="160" t="n"/>
      <c r="L17" s="160" t="n"/>
      <c r="M17" s="160" t="n"/>
      <c r="N17" s="164" t="n"/>
    </row>
    <row r="18" ht="15.75" customHeight="1">
      <c r="A18" s="19" t="n">
        <v>12</v>
      </c>
      <c r="B18" s="20" t="inlineStr">
        <is>
          <t>Night</t>
        </is>
      </c>
      <c r="C18" s="21">
        <f>C17</f>
        <v/>
      </c>
      <c r="D18" s="22">
        <f>E17</f>
        <v/>
      </c>
      <c r="E18" s="23" t="n">
        <v>1591</v>
      </c>
      <c r="F18" s="24">
        <f>E18-D18</f>
        <v/>
      </c>
      <c r="G18" s="192" t="n"/>
      <c r="H18" s="162" t="n"/>
      <c r="I18" s="162" t="n"/>
      <c r="J18" s="160" t="n"/>
      <c r="K18" s="160" t="n"/>
      <c r="L18" s="160" t="n"/>
      <c r="M18" s="160" t="n"/>
      <c r="N18" s="164" t="n"/>
    </row>
    <row r="19" ht="15.75" customHeight="1">
      <c r="A19" s="143" t="n">
        <v>13</v>
      </c>
      <c r="B19" s="144" t="inlineStr">
        <is>
          <t>Day</t>
        </is>
      </c>
      <c r="C19" s="88">
        <f>C17+1</f>
        <v/>
      </c>
      <c r="D19" s="89">
        <f>E18</f>
        <v/>
      </c>
      <c r="E19" s="89" t="n">
        <v>1596</v>
      </c>
      <c r="F19" s="89">
        <f>E19-D19</f>
        <v/>
      </c>
      <c r="G19" s="193">
        <f>F19+F20</f>
        <v/>
      </c>
      <c r="H19" s="147" t="n"/>
      <c r="I19" s="147" t="n"/>
      <c r="J19" s="149" t="n"/>
      <c r="K19" s="149" t="n"/>
      <c r="L19" s="149" t="n"/>
      <c r="M19" s="149" t="n"/>
      <c r="N19" s="150" t="inlineStr">
        <is>
          <t>Sunday</t>
        </is>
      </c>
    </row>
    <row r="20" ht="15.75" customHeight="1">
      <c r="A20" s="143" t="n">
        <v>14</v>
      </c>
      <c r="B20" s="144" t="inlineStr">
        <is>
          <t>Night</t>
        </is>
      </c>
      <c r="C20" s="88">
        <f>C19</f>
        <v/>
      </c>
      <c r="D20" s="89">
        <f>E19</f>
        <v/>
      </c>
      <c r="E20" s="89" t="n">
        <v>1600</v>
      </c>
      <c r="F20" s="89">
        <f>E20-D20</f>
        <v/>
      </c>
      <c r="G20" s="192" t="n"/>
      <c r="H20" s="147" t="n"/>
      <c r="I20" s="147" t="n"/>
      <c r="J20" s="149" t="n"/>
      <c r="K20" s="149" t="n">
        <v>110</v>
      </c>
      <c r="L20" s="149" t="n"/>
      <c r="M20" s="149" t="n"/>
      <c r="N20" s="150" t="n"/>
    </row>
    <row r="21" ht="15.75" customHeight="1">
      <c r="A21" s="19" t="n">
        <v>15</v>
      </c>
      <c r="B21" s="20" t="inlineStr">
        <is>
          <t>Day</t>
        </is>
      </c>
      <c r="C21" s="21">
        <f>C19+1</f>
        <v/>
      </c>
      <c r="D21" s="24">
        <f>E20</f>
        <v/>
      </c>
      <c r="E21" s="24" t="n">
        <v>1603</v>
      </c>
      <c r="F21" s="24">
        <f>E21-D21</f>
        <v/>
      </c>
      <c r="G21" s="191">
        <f>F21+F22</f>
        <v/>
      </c>
      <c r="H21" s="162" t="n"/>
      <c r="I21" s="162" t="n"/>
      <c r="J21" s="160" t="n"/>
      <c r="K21" s="160" t="n"/>
      <c r="L21" s="160" t="n"/>
      <c r="M21" s="160" t="n"/>
      <c r="N21" s="164" t="n"/>
    </row>
    <row r="22" ht="15.75" customHeight="1">
      <c r="A22" s="19" t="n">
        <v>16</v>
      </c>
      <c r="B22" s="20" t="inlineStr">
        <is>
          <t>Night</t>
        </is>
      </c>
      <c r="C22" s="21">
        <f>C21</f>
        <v/>
      </c>
      <c r="D22" s="24">
        <f>E21</f>
        <v/>
      </c>
      <c r="E22" s="24" t="n">
        <v>1603</v>
      </c>
      <c r="F22" s="24">
        <f>E22-D22</f>
        <v/>
      </c>
      <c r="G22" s="192" t="n"/>
      <c r="H22" s="162" t="n"/>
      <c r="I22" s="162" t="n"/>
      <c r="J22" s="160" t="n"/>
      <c r="K22" s="160" t="n"/>
      <c r="L22" s="160" t="n"/>
      <c r="M22" s="160" t="n"/>
      <c r="N22" s="164" t="n"/>
    </row>
    <row r="23" ht="15.75" customHeight="1">
      <c r="A23" s="19" t="n">
        <v>17</v>
      </c>
      <c r="B23" s="20" t="inlineStr">
        <is>
          <t>Day</t>
        </is>
      </c>
      <c r="C23" s="21">
        <f>C21+1</f>
        <v/>
      </c>
      <c r="D23" s="24">
        <f>E22</f>
        <v/>
      </c>
      <c r="E23" s="24" t="n">
        <v>1603</v>
      </c>
      <c r="F23" s="24">
        <f>E23-D23</f>
        <v/>
      </c>
      <c r="G23" s="191">
        <f>F23+F24</f>
        <v/>
      </c>
      <c r="H23" s="162" t="n"/>
      <c r="I23" s="162" t="n"/>
      <c r="J23" s="160" t="n"/>
      <c r="K23" s="160" t="n"/>
      <c r="L23" s="160" t="n"/>
      <c r="M23" s="160" t="n"/>
      <c r="N23" s="164" t="n"/>
    </row>
    <row r="24" ht="15.75" customHeight="1">
      <c r="A24" s="19" t="n">
        <v>18</v>
      </c>
      <c r="B24" s="20" t="inlineStr">
        <is>
          <t>Night</t>
        </is>
      </c>
      <c r="C24" s="21">
        <f>C23</f>
        <v/>
      </c>
      <c r="D24" s="24">
        <f>E23</f>
        <v/>
      </c>
      <c r="E24" s="24" t="n">
        <v>1605</v>
      </c>
      <c r="F24" s="24">
        <f>E24-D24</f>
        <v/>
      </c>
      <c r="G24" s="192" t="n"/>
      <c r="H24" s="162" t="n"/>
      <c r="I24" s="162" t="n"/>
      <c r="J24" s="160" t="n"/>
      <c r="K24" s="160" t="n"/>
      <c r="L24" s="160" t="n"/>
      <c r="M24" s="160" t="n"/>
      <c r="N24" s="164" t="n"/>
    </row>
    <row r="25" ht="15.75" customHeight="1">
      <c r="A25" s="19" t="n">
        <v>19</v>
      </c>
      <c r="B25" s="20" t="inlineStr">
        <is>
          <t>Day</t>
        </is>
      </c>
      <c r="C25" s="21">
        <f>C23+1</f>
        <v/>
      </c>
      <c r="D25" s="24">
        <f>E24</f>
        <v/>
      </c>
      <c r="E25" s="24" t="n">
        <v>1605</v>
      </c>
      <c r="F25" s="24">
        <f>E25-D25</f>
        <v/>
      </c>
      <c r="G25" s="191">
        <f>F25+F26</f>
        <v/>
      </c>
      <c r="H25" s="162" t="n"/>
      <c r="I25" s="162" t="n"/>
      <c r="J25" s="160" t="n"/>
      <c r="K25" s="160" t="n"/>
      <c r="L25" s="160" t="n"/>
      <c r="M25" s="160" t="n"/>
      <c r="N25" s="164" t="n"/>
    </row>
    <row r="26" ht="15.75" customHeight="1">
      <c r="A26" s="19" t="n">
        <v>20</v>
      </c>
      <c r="B26" s="20" t="inlineStr">
        <is>
          <t>Night</t>
        </is>
      </c>
      <c r="C26" s="21">
        <f>C25</f>
        <v/>
      </c>
      <c r="D26" s="24">
        <f>E25</f>
        <v/>
      </c>
      <c r="E26" s="24" t="n">
        <v>1605</v>
      </c>
      <c r="F26" s="24">
        <f>E26-D26</f>
        <v/>
      </c>
      <c r="G26" s="192" t="n"/>
      <c r="H26" s="162" t="n"/>
      <c r="I26" s="162" t="n"/>
      <c r="J26" s="160" t="n"/>
      <c r="K26" s="160" t="n"/>
      <c r="L26" s="160" t="n"/>
      <c r="M26" s="160" t="n"/>
      <c r="N26" s="164" t="n"/>
    </row>
    <row r="27" ht="15.75" customHeight="1">
      <c r="A27" s="19" t="n">
        <v>21</v>
      </c>
      <c r="B27" s="20" t="inlineStr">
        <is>
          <t>Day</t>
        </is>
      </c>
      <c r="C27" s="21">
        <f>C25+1</f>
        <v/>
      </c>
      <c r="D27" s="24">
        <f>E26</f>
        <v/>
      </c>
      <c r="E27" s="24" t="n">
        <v>1610</v>
      </c>
      <c r="F27" s="24">
        <f>E27-D27</f>
        <v/>
      </c>
      <c r="G27" s="191">
        <f>F27+F28</f>
        <v/>
      </c>
      <c r="H27" s="162" t="n"/>
      <c r="I27" s="162" t="n"/>
      <c r="J27" s="160" t="n"/>
      <c r="K27" s="160" t="n"/>
      <c r="L27" s="160" t="n"/>
      <c r="M27" s="160" t="n"/>
      <c r="N27" s="164" t="n"/>
    </row>
    <row r="28" ht="15.75" customHeight="1">
      <c r="A28" s="19" t="n">
        <v>22</v>
      </c>
      <c r="B28" s="20" t="inlineStr">
        <is>
          <t>Night</t>
        </is>
      </c>
      <c r="C28" s="21">
        <f>C27</f>
        <v/>
      </c>
      <c r="D28" s="24">
        <f>E27</f>
        <v/>
      </c>
      <c r="E28" s="24" t="n">
        <v>1612</v>
      </c>
      <c r="F28" s="24">
        <f>E28-D28</f>
        <v/>
      </c>
      <c r="G28" s="192" t="n"/>
      <c r="H28" s="162" t="n"/>
      <c r="I28" s="162" t="n"/>
      <c r="J28" s="160" t="n"/>
      <c r="K28" s="160" t="n"/>
      <c r="L28" s="160" t="n"/>
      <c r="M28" s="160" t="n"/>
      <c r="N28" s="164" t="n"/>
    </row>
    <row r="29" ht="15.75" customHeight="1">
      <c r="A29" s="19" t="n">
        <v>23</v>
      </c>
      <c r="B29" s="20" t="inlineStr">
        <is>
          <t>Day</t>
        </is>
      </c>
      <c r="C29" s="21">
        <f>C27+1</f>
        <v/>
      </c>
      <c r="D29" s="24">
        <f>E28</f>
        <v/>
      </c>
      <c r="E29" s="24" t="n">
        <v>1612</v>
      </c>
      <c r="F29" s="24">
        <f>E29-D29</f>
        <v/>
      </c>
      <c r="G29" s="191">
        <f>F29+F30</f>
        <v/>
      </c>
      <c r="H29" s="162" t="n"/>
      <c r="I29" s="162" t="n"/>
      <c r="J29" s="160" t="n"/>
      <c r="K29" s="160" t="n"/>
      <c r="L29" s="160" t="n"/>
      <c r="M29" s="160" t="n"/>
      <c r="N29" s="164" t="n"/>
    </row>
    <row r="30" ht="15.75" customHeight="1">
      <c r="A30" s="19" t="n">
        <v>24</v>
      </c>
      <c r="B30" s="20" t="inlineStr">
        <is>
          <t>Night</t>
        </is>
      </c>
      <c r="C30" s="21">
        <f>C29</f>
        <v/>
      </c>
      <c r="D30" s="24">
        <f>E29</f>
        <v/>
      </c>
      <c r="E30" s="24" t="n">
        <v>1612</v>
      </c>
      <c r="F30" s="24">
        <f>E30-D30</f>
        <v/>
      </c>
      <c r="G30" s="192" t="n"/>
      <c r="H30" s="162" t="n"/>
      <c r="I30" s="162" t="n"/>
      <c r="J30" s="160" t="n"/>
      <c r="K30" s="160" t="n"/>
      <c r="L30" s="160" t="n"/>
      <c r="M30" s="160" t="n"/>
      <c r="N30" s="164" t="n"/>
    </row>
    <row r="31" ht="15.75" customHeight="1">
      <c r="A31" s="19" t="n">
        <v>25</v>
      </c>
      <c r="B31" s="20" t="inlineStr">
        <is>
          <t>Day</t>
        </is>
      </c>
      <c r="C31" s="21">
        <f>C29+1</f>
        <v/>
      </c>
      <c r="D31" s="24">
        <f>E30</f>
        <v/>
      </c>
      <c r="E31" s="24" t="n">
        <v>1612</v>
      </c>
      <c r="F31" s="24">
        <f>E31-D31</f>
        <v/>
      </c>
      <c r="G31" s="191">
        <f>F31+F32</f>
        <v/>
      </c>
      <c r="H31" s="162" t="n"/>
      <c r="I31" s="162" t="n"/>
      <c r="J31" s="160" t="n"/>
      <c r="K31" s="160" t="n">
        <v>135</v>
      </c>
      <c r="L31" s="160" t="n"/>
      <c r="M31" s="160" t="n"/>
      <c r="N31" s="164" t="n"/>
    </row>
    <row r="32" ht="15.75" customHeight="1">
      <c r="A32" s="19" t="n">
        <v>26</v>
      </c>
      <c r="B32" s="20" t="inlineStr">
        <is>
          <t>Night</t>
        </is>
      </c>
      <c r="C32" s="21">
        <f>C31</f>
        <v/>
      </c>
      <c r="D32" s="24">
        <f>E31</f>
        <v/>
      </c>
      <c r="E32" s="24" t="n">
        <v>1612</v>
      </c>
      <c r="F32" s="24">
        <f>E32-D32</f>
        <v/>
      </c>
      <c r="G32" s="192" t="n"/>
      <c r="H32" s="162" t="n"/>
      <c r="I32" s="162" t="n"/>
      <c r="J32" s="160" t="n"/>
      <c r="K32" s="160" t="n"/>
      <c r="L32" s="160" t="n"/>
      <c r="M32" s="160" t="n"/>
      <c r="N32" s="164" t="n"/>
    </row>
    <row r="33" ht="15.75" customHeight="1">
      <c r="A33" s="143" t="n">
        <v>27</v>
      </c>
      <c r="B33" s="144" t="inlineStr">
        <is>
          <t>Day</t>
        </is>
      </c>
      <c r="C33" s="88">
        <f>C31+1</f>
        <v/>
      </c>
      <c r="D33" s="89">
        <f>E32</f>
        <v/>
      </c>
      <c r="E33" s="89" t="n">
        <v>1616</v>
      </c>
      <c r="F33" s="89">
        <f>E33-D33</f>
        <v/>
      </c>
      <c r="G33" s="193">
        <f>F33+F34</f>
        <v/>
      </c>
      <c r="H33" s="147" t="n"/>
      <c r="I33" s="147" t="n"/>
      <c r="J33" s="149" t="n"/>
      <c r="K33" s="149" t="n"/>
      <c r="L33" s="149" t="n"/>
      <c r="M33" s="149" t="n"/>
      <c r="N33" s="150" t="inlineStr">
        <is>
          <t>Sunday</t>
        </is>
      </c>
    </row>
    <row r="34" ht="15.75" customHeight="1">
      <c r="A34" s="143" t="n">
        <v>28</v>
      </c>
      <c r="B34" s="144" t="inlineStr">
        <is>
          <t>Night</t>
        </is>
      </c>
      <c r="C34" s="88">
        <f>C33</f>
        <v/>
      </c>
      <c r="D34" s="89">
        <f>E33</f>
        <v/>
      </c>
      <c r="E34" s="89" t="n">
        <v>1620</v>
      </c>
      <c r="F34" s="89">
        <f>E34-D34</f>
        <v/>
      </c>
      <c r="G34" s="192" t="n"/>
      <c r="H34" s="147" t="n"/>
      <c r="I34" s="147" t="n"/>
      <c r="J34" s="149" t="n"/>
      <c r="K34" s="149" t="n"/>
      <c r="L34" s="149" t="n"/>
      <c r="M34" s="149" t="n"/>
      <c r="N34" s="150" t="n"/>
    </row>
    <row r="35" ht="15.75" customHeight="1">
      <c r="A35" s="19" t="n">
        <v>29</v>
      </c>
      <c r="B35" s="20" t="inlineStr">
        <is>
          <t>Day</t>
        </is>
      </c>
      <c r="C35" s="21">
        <f>C33+1</f>
        <v/>
      </c>
      <c r="D35" s="24">
        <f>E34</f>
        <v/>
      </c>
      <c r="E35" s="24" t="n">
        <v>1620</v>
      </c>
      <c r="F35" s="24">
        <f>E35-D35</f>
        <v/>
      </c>
      <c r="G35" s="191">
        <f>F35+F36</f>
        <v/>
      </c>
      <c r="H35" s="162" t="n"/>
      <c r="I35" s="162" t="n"/>
      <c r="J35" s="160" t="n"/>
      <c r="K35" s="160" t="n"/>
      <c r="L35" s="160" t="n"/>
      <c r="M35" s="160" t="n"/>
      <c r="N35" s="164" t="n"/>
    </row>
    <row r="36" ht="15.75" customHeight="1">
      <c r="A36" s="19" t="n">
        <v>30</v>
      </c>
      <c r="B36" s="20" t="inlineStr">
        <is>
          <t>Night</t>
        </is>
      </c>
      <c r="C36" s="21">
        <f>C35</f>
        <v/>
      </c>
      <c r="D36" s="24">
        <f>E35</f>
        <v/>
      </c>
      <c r="E36" s="24" t="n">
        <v>1620</v>
      </c>
      <c r="F36" s="24">
        <f>E36-D36</f>
        <v/>
      </c>
      <c r="G36" s="192" t="n"/>
      <c r="H36" s="162" t="n"/>
      <c r="I36" s="162" t="n"/>
      <c r="J36" s="160" t="n"/>
      <c r="K36" s="160" t="n"/>
      <c r="L36" s="160" t="n"/>
      <c r="M36" s="160" t="n"/>
      <c r="N36" s="164" t="n"/>
    </row>
    <row r="37" ht="15.75" customHeight="1">
      <c r="A37" s="19" t="n">
        <v>31</v>
      </c>
      <c r="B37" s="20" t="inlineStr">
        <is>
          <t>Day</t>
        </is>
      </c>
      <c r="C37" s="21">
        <f>C35+1</f>
        <v/>
      </c>
      <c r="D37" s="24">
        <f>E36</f>
        <v/>
      </c>
      <c r="E37" s="24" t="n">
        <v>1620</v>
      </c>
      <c r="F37" s="24">
        <f>E37-D37</f>
        <v/>
      </c>
      <c r="G37" s="191">
        <f>F37+F38</f>
        <v/>
      </c>
      <c r="H37" s="162" t="n"/>
      <c r="I37" s="162" t="n"/>
      <c r="J37" s="160" t="n"/>
      <c r="K37" s="160" t="n"/>
      <c r="L37" s="160" t="n"/>
      <c r="M37" s="160" t="n"/>
      <c r="N37" s="164" t="n"/>
    </row>
    <row r="38" ht="15.75" customHeight="1">
      <c r="A38" s="19" t="n">
        <v>32</v>
      </c>
      <c r="B38" s="20" t="inlineStr">
        <is>
          <t>Night</t>
        </is>
      </c>
      <c r="C38" s="21">
        <f>C37</f>
        <v/>
      </c>
      <c r="D38" s="24">
        <f>E37</f>
        <v/>
      </c>
      <c r="E38" s="24" t="n">
        <v>1620</v>
      </c>
      <c r="F38" s="24">
        <f>E38-D38</f>
        <v/>
      </c>
      <c r="G38" s="192" t="n"/>
      <c r="H38" s="165" t="n"/>
      <c r="I38" s="165" t="n"/>
      <c r="J38" s="158" t="n"/>
      <c r="K38" s="158" t="n"/>
      <c r="L38" s="158" t="n"/>
      <c r="M38" s="158" t="n"/>
      <c r="N38" s="161" t="n"/>
    </row>
    <row r="39" ht="15.75" customHeight="1">
      <c r="A39" s="19" t="n">
        <v>33</v>
      </c>
      <c r="B39" s="20" t="inlineStr">
        <is>
          <t>Day</t>
        </is>
      </c>
      <c r="C39" s="21">
        <f>C37+1</f>
        <v/>
      </c>
      <c r="D39" s="24">
        <f>E38</f>
        <v/>
      </c>
      <c r="E39" s="24" t="n">
        <v>1624</v>
      </c>
      <c r="F39" s="24">
        <f>E39-D39</f>
        <v/>
      </c>
      <c r="G39" s="191">
        <f>F39+F40</f>
        <v/>
      </c>
      <c r="H39" s="165" t="n"/>
      <c r="I39" s="165" t="n"/>
      <c r="J39" s="158" t="n"/>
      <c r="K39" s="158" t="n"/>
      <c r="L39" s="158" t="n"/>
      <c r="M39" s="158" t="n"/>
      <c r="N39" s="164" t="n"/>
    </row>
    <row r="40" ht="15.75" customHeight="1">
      <c r="A40" s="19" t="n">
        <v>34</v>
      </c>
      <c r="B40" s="20" t="inlineStr">
        <is>
          <t>Night</t>
        </is>
      </c>
      <c r="C40" s="21">
        <f>C39</f>
        <v/>
      </c>
      <c r="D40" s="24">
        <f>E39</f>
        <v/>
      </c>
      <c r="E40" s="24" t="n">
        <v>1626</v>
      </c>
      <c r="F40" s="24">
        <f>E40-D40</f>
        <v/>
      </c>
      <c r="G40" s="192" t="n"/>
      <c r="H40" s="165" t="n"/>
      <c r="I40" s="165" t="n"/>
      <c r="J40" s="158" t="n"/>
      <c r="K40" s="158" t="n"/>
      <c r="L40" s="158" t="n"/>
      <c r="M40" s="158" t="n"/>
      <c r="N40" s="161" t="n"/>
    </row>
    <row r="41" ht="15.75" customHeight="1">
      <c r="A41" s="19" t="n">
        <v>35</v>
      </c>
      <c r="B41" s="20" t="inlineStr">
        <is>
          <t>Day</t>
        </is>
      </c>
      <c r="C41" s="21">
        <f>C39+1</f>
        <v/>
      </c>
      <c r="D41" s="24">
        <f>E40</f>
        <v/>
      </c>
      <c r="E41" s="24" t="n">
        <v>1626</v>
      </c>
      <c r="F41" s="24">
        <f>E41-D41</f>
        <v/>
      </c>
      <c r="G41" s="191">
        <f>F41+F42</f>
        <v/>
      </c>
      <c r="H41" s="165" t="n"/>
      <c r="I41" s="165" t="n"/>
      <c r="J41" s="158" t="n"/>
      <c r="K41" s="158" t="n"/>
      <c r="L41" s="158" t="n"/>
      <c r="M41" s="158" t="n"/>
      <c r="N41" s="161" t="n"/>
    </row>
    <row r="42" ht="15.75" customHeight="1">
      <c r="A42" s="19" t="n">
        <v>36</v>
      </c>
      <c r="B42" s="20" t="inlineStr">
        <is>
          <t>Night</t>
        </is>
      </c>
      <c r="C42" s="21">
        <f>C41</f>
        <v/>
      </c>
      <c r="D42" s="24">
        <f>E41</f>
        <v/>
      </c>
      <c r="E42" s="24" t="n">
        <v>1626</v>
      </c>
      <c r="F42" s="24">
        <f>E42-D42</f>
        <v/>
      </c>
      <c r="G42" s="192" t="n"/>
      <c r="H42" s="165" t="n"/>
      <c r="I42" s="165" t="n"/>
      <c r="J42" s="158" t="n"/>
      <c r="K42" s="158" t="n"/>
      <c r="L42" s="158" t="n"/>
      <c r="M42" s="158" t="n"/>
      <c r="N42" s="161" t="n"/>
    </row>
    <row r="43" ht="15.75" customHeight="1">
      <c r="A43" s="19" t="n">
        <v>37</v>
      </c>
      <c r="B43" s="20" t="inlineStr">
        <is>
          <t>Day</t>
        </is>
      </c>
      <c r="C43" s="21">
        <f>C41+1</f>
        <v/>
      </c>
      <c r="D43" s="24">
        <f>E42</f>
        <v/>
      </c>
      <c r="E43" s="24" t="n">
        <v>1626</v>
      </c>
      <c r="F43" s="24">
        <f>E43-D43</f>
        <v/>
      </c>
      <c r="G43" s="191">
        <f>F43+F44</f>
        <v/>
      </c>
      <c r="H43" s="165" t="n"/>
      <c r="I43" s="165" t="n"/>
      <c r="J43" s="158" t="n"/>
      <c r="K43" s="158" t="n"/>
      <c r="L43" s="158" t="n"/>
      <c r="M43" s="158" t="n"/>
      <c r="N43" s="161" t="n"/>
    </row>
    <row r="44" ht="15.75" customHeight="1">
      <c r="A44" s="26" t="n">
        <v>38</v>
      </c>
      <c r="B44" s="27" t="inlineStr">
        <is>
          <t>Night</t>
        </is>
      </c>
      <c r="C44" s="21">
        <f>C43</f>
        <v/>
      </c>
      <c r="D44" s="24">
        <f>E43</f>
        <v/>
      </c>
      <c r="E44" s="24" t="n">
        <v>1627</v>
      </c>
      <c r="F44" s="24">
        <f>E44-D44</f>
        <v/>
      </c>
      <c r="G44" s="192" t="n"/>
      <c r="H44" s="165" t="n"/>
      <c r="I44" s="165" t="n"/>
      <c r="J44" s="158" t="n"/>
      <c r="K44" s="158" t="n"/>
      <c r="L44" s="158" t="n"/>
      <c r="M44" s="158" t="n"/>
      <c r="N44" s="161" t="n"/>
    </row>
    <row r="45" ht="15.75" customHeight="1">
      <c r="A45" s="28" t="n">
        <v>39</v>
      </c>
      <c r="B45" s="29" t="inlineStr">
        <is>
          <t>Day</t>
        </is>
      </c>
      <c r="C45" s="21">
        <f>C43+1</f>
        <v/>
      </c>
      <c r="D45" s="24">
        <f>E44</f>
        <v/>
      </c>
      <c r="E45" s="24" t="n">
        <v>1629</v>
      </c>
      <c r="F45" s="24">
        <f>E45-D45</f>
        <v/>
      </c>
      <c r="G45" s="191">
        <f>F45+F46</f>
        <v/>
      </c>
      <c r="H45" s="165" t="n"/>
      <c r="I45" s="165" t="n"/>
      <c r="J45" s="158" t="n"/>
      <c r="K45" s="158" t="n"/>
      <c r="L45" s="158" t="n"/>
      <c r="M45" s="158" t="n"/>
      <c r="N45" s="161" t="n"/>
    </row>
    <row r="46" ht="15.75" customHeight="1">
      <c r="A46" s="28" t="n">
        <v>40</v>
      </c>
      <c r="B46" s="29" t="inlineStr">
        <is>
          <t>Night</t>
        </is>
      </c>
      <c r="C46" s="21">
        <f>C45</f>
        <v/>
      </c>
      <c r="D46" s="24">
        <f>E45</f>
        <v/>
      </c>
      <c r="E46" s="24" t="n">
        <v>1631</v>
      </c>
      <c r="F46" s="24">
        <f>E46-D46</f>
        <v/>
      </c>
      <c r="G46" s="192" t="n"/>
      <c r="H46" s="165" t="n"/>
      <c r="I46" s="165" t="n"/>
      <c r="J46" s="158" t="n"/>
      <c r="K46" s="158" t="n"/>
      <c r="L46" s="158" t="n"/>
      <c r="M46" s="158" t="n"/>
      <c r="N46" s="161" t="n"/>
    </row>
    <row r="47" ht="15.75" customHeight="1">
      <c r="A47" s="166" t="n">
        <v>41</v>
      </c>
      <c r="B47" s="144" t="inlineStr">
        <is>
          <t>Day</t>
        </is>
      </c>
      <c r="C47" s="88">
        <f>C45+1</f>
        <v/>
      </c>
      <c r="D47" s="89">
        <f>E46</f>
        <v/>
      </c>
      <c r="E47" s="89" t="n">
        <v>1631</v>
      </c>
      <c r="F47" s="89">
        <f>E47-D47</f>
        <v/>
      </c>
      <c r="G47" s="193">
        <f>F47+F48</f>
        <v/>
      </c>
      <c r="H47" s="151" t="n"/>
      <c r="I47" s="151" t="n"/>
      <c r="J47" s="152" t="n"/>
      <c r="K47" s="152" t="n"/>
      <c r="L47" s="152" t="n"/>
      <c r="M47" s="152" t="n"/>
      <c r="N47" s="150" t="inlineStr">
        <is>
          <t>Sunday</t>
        </is>
      </c>
    </row>
    <row r="48" ht="15.75" customHeight="1">
      <c r="A48" s="154" t="n">
        <v>42</v>
      </c>
      <c r="B48" s="144" t="inlineStr">
        <is>
          <t>Night</t>
        </is>
      </c>
      <c r="C48" s="88">
        <f>C47</f>
        <v/>
      </c>
      <c r="D48" s="89">
        <f>E47</f>
        <v/>
      </c>
      <c r="E48" s="89" t="n">
        <v>1631</v>
      </c>
      <c r="F48" s="89">
        <f>E48-D48</f>
        <v/>
      </c>
      <c r="G48" s="192" t="n"/>
      <c r="H48" s="151" t="n"/>
      <c r="I48" s="151" t="n"/>
      <c r="J48" s="152" t="n"/>
      <c r="K48" s="152" t="n"/>
      <c r="L48" s="152" t="n"/>
      <c r="M48" s="152" t="n"/>
      <c r="N48" s="153" t="n"/>
    </row>
    <row r="49" ht="15.75" customHeight="1">
      <c r="A49" s="28" t="n">
        <v>43</v>
      </c>
      <c r="B49" s="20" t="inlineStr">
        <is>
          <t>Day</t>
        </is>
      </c>
      <c r="C49" s="21">
        <f>C47+1</f>
        <v/>
      </c>
      <c r="D49" s="24">
        <f>E48</f>
        <v/>
      </c>
      <c r="E49" s="24" t="n">
        <v>1637</v>
      </c>
      <c r="F49" s="24">
        <f>E49-D49</f>
        <v/>
      </c>
      <c r="G49" s="191">
        <f>F49+F50</f>
        <v/>
      </c>
      <c r="H49" s="165" t="n"/>
      <c r="I49" s="165" t="n"/>
      <c r="J49" s="158" t="n"/>
      <c r="K49" s="158" t="n"/>
      <c r="L49" s="158" t="n"/>
      <c r="M49" s="158" t="n"/>
      <c r="N49" s="161" t="n"/>
    </row>
    <row r="50" ht="15.75" customHeight="1">
      <c r="A50" s="28" t="n">
        <v>44</v>
      </c>
      <c r="B50" s="20" t="inlineStr">
        <is>
          <t>Night</t>
        </is>
      </c>
      <c r="C50" s="21">
        <f>C49</f>
        <v/>
      </c>
      <c r="D50" s="24">
        <f>E49</f>
        <v/>
      </c>
      <c r="E50" s="24" t="n">
        <v>1637</v>
      </c>
      <c r="F50" s="24">
        <f>E50-D50</f>
        <v/>
      </c>
      <c r="G50" s="192" t="n"/>
      <c r="H50" s="165" t="n"/>
      <c r="I50" s="165" t="n"/>
      <c r="J50" s="158" t="n"/>
      <c r="K50" s="158" t="n"/>
      <c r="L50" s="158" t="n"/>
      <c r="M50" s="158" t="n"/>
      <c r="N50" s="161" t="n"/>
    </row>
    <row r="51" ht="15.75" customHeight="1">
      <c r="A51" s="28" t="n">
        <v>45</v>
      </c>
      <c r="B51" s="20" t="inlineStr">
        <is>
          <t>Day</t>
        </is>
      </c>
      <c r="C51" s="21">
        <f>C49+1</f>
        <v/>
      </c>
      <c r="D51" s="24">
        <f>E50</f>
        <v/>
      </c>
      <c r="E51" s="24" t="n">
        <v>1639</v>
      </c>
      <c r="F51" s="24">
        <f>E51-D51</f>
        <v/>
      </c>
      <c r="G51" s="191">
        <f>F51+F52</f>
        <v/>
      </c>
      <c r="H51" s="165" t="n"/>
      <c r="I51" s="165" t="n"/>
      <c r="J51" s="158" t="n"/>
      <c r="K51" s="158" t="n">
        <v>215</v>
      </c>
      <c r="L51" s="158" t="n"/>
      <c r="M51" s="158" t="n"/>
      <c r="N51" s="161" t="n"/>
    </row>
    <row r="52" ht="15.75" customHeight="1">
      <c r="A52" s="28" t="n">
        <v>46</v>
      </c>
      <c r="B52" s="20" t="inlineStr">
        <is>
          <t>Night</t>
        </is>
      </c>
      <c r="C52" s="21">
        <f>C51</f>
        <v/>
      </c>
      <c r="D52" s="24">
        <f>E51</f>
        <v/>
      </c>
      <c r="E52" s="24" t="n">
        <v>1639</v>
      </c>
      <c r="F52" s="24">
        <f>E52-D52</f>
        <v/>
      </c>
      <c r="G52" s="192" t="n"/>
      <c r="H52" s="165" t="n"/>
      <c r="I52" s="165" t="n"/>
      <c r="J52" s="158" t="n"/>
      <c r="K52" s="158" t="n"/>
      <c r="L52" s="158" t="n"/>
      <c r="M52" s="158" t="n"/>
      <c r="N52" s="161" t="n"/>
    </row>
    <row r="53" ht="15.75" customHeight="1">
      <c r="A53" s="28" t="n">
        <v>47</v>
      </c>
      <c r="B53" s="20" t="inlineStr">
        <is>
          <t>Day</t>
        </is>
      </c>
      <c r="C53" s="21">
        <f>C51+1</f>
        <v/>
      </c>
      <c r="D53" s="24">
        <f>E52</f>
        <v/>
      </c>
      <c r="E53" s="24" t="n">
        <v>1643</v>
      </c>
      <c r="F53" s="24">
        <f>E53-D53</f>
        <v/>
      </c>
      <c r="G53" s="191">
        <f>F53+F54</f>
        <v/>
      </c>
      <c r="H53" s="165" t="n"/>
      <c r="I53" s="165" t="n"/>
      <c r="J53" s="158" t="n"/>
      <c r="K53" s="158" t="n"/>
      <c r="L53" s="158" t="n"/>
      <c r="M53" s="158" t="n"/>
      <c r="N53" s="164" t="n"/>
    </row>
    <row r="54" ht="15.75" customHeight="1">
      <c r="A54" s="28" t="n">
        <v>48</v>
      </c>
      <c r="B54" s="20" t="inlineStr">
        <is>
          <t>Night</t>
        </is>
      </c>
      <c r="C54" s="21">
        <f>C53</f>
        <v/>
      </c>
      <c r="D54" s="24">
        <f>E53</f>
        <v/>
      </c>
      <c r="E54" s="24" t="n">
        <v>1645</v>
      </c>
      <c r="F54" s="24">
        <f>E54-D54</f>
        <v/>
      </c>
      <c r="G54" s="192" t="n"/>
      <c r="H54" s="165" t="n"/>
      <c r="I54" s="165" t="n"/>
      <c r="J54" s="158" t="n"/>
      <c r="K54" s="158" t="n"/>
      <c r="L54" s="158" t="n"/>
      <c r="M54" s="158" t="n"/>
      <c r="N54" s="161" t="n"/>
    </row>
    <row r="55" ht="15.75" customHeight="1">
      <c r="A55" s="28" t="n">
        <v>49</v>
      </c>
      <c r="B55" s="20" t="inlineStr">
        <is>
          <t>Day</t>
        </is>
      </c>
      <c r="C55" s="21">
        <f>C53+1</f>
        <v/>
      </c>
      <c r="D55" s="24">
        <f>E54</f>
        <v/>
      </c>
      <c r="E55" s="24" t="n">
        <v>1648</v>
      </c>
      <c r="F55" s="24">
        <f>E55-D55</f>
        <v/>
      </c>
      <c r="G55" s="191">
        <f>F55+F56</f>
        <v/>
      </c>
      <c r="H55" s="165" t="n"/>
      <c r="I55" s="165" t="n"/>
      <c r="J55" s="158" t="n"/>
      <c r="K55" s="158" t="n"/>
      <c r="L55" s="158" t="n"/>
      <c r="M55" s="158" t="n"/>
      <c r="N55" s="161" t="n"/>
    </row>
    <row r="56" ht="15.75" customHeight="1">
      <c r="A56" s="28" t="n">
        <v>50</v>
      </c>
      <c r="B56" s="20" t="inlineStr">
        <is>
          <t>Night</t>
        </is>
      </c>
      <c r="C56" s="21">
        <f>C55</f>
        <v/>
      </c>
      <c r="D56" s="24">
        <f>E55</f>
        <v/>
      </c>
      <c r="E56" s="24" t="n">
        <v>1648</v>
      </c>
      <c r="F56" s="24">
        <f>E56-D56</f>
        <v/>
      </c>
      <c r="G56" s="192" t="n"/>
      <c r="H56" s="165" t="n"/>
      <c r="I56" s="165" t="n"/>
      <c r="J56" s="158" t="n"/>
      <c r="K56" s="158" t="n"/>
      <c r="L56" s="158" t="n"/>
      <c r="M56" s="158" t="n"/>
      <c r="N56" s="161" t="n"/>
    </row>
    <row r="57" ht="15.75" customHeight="1">
      <c r="A57" s="28" t="n">
        <v>51</v>
      </c>
      <c r="B57" s="20" t="inlineStr">
        <is>
          <t>Day</t>
        </is>
      </c>
      <c r="C57" s="21">
        <f>C55+1</f>
        <v/>
      </c>
      <c r="D57" s="24">
        <f>E56</f>
        <v/>
      </c>
      <c r="E57" s="24" t="n">
        <v>1648</v>
      </c>
      <c r="F57" s="24">
        <f>E57-D57</f>
        <v/>
      </c>
      <c r="G57" s="191">
        <f>F57+F58</f>
        <v/>
      </c>
      <c r="H57" s="165" t="n"/>
      <c r="I57" s="165" t="n"/>
      <c r="J57" s="158" t="n"/>
      <c r="K57" s="158" t="n"/>
      <c r="L57" s="158" t="n"/>
      <c r="M57" s="158" t="n"/>
      <c r="N57" s="161" t="n"/>
    </row>
    <row r="58" ht="15.75" customHeight="1">
      <c r="A58" s="28" t="n">
        <v>52</v>
      </c>
      <c r="B58" s="20" t="inlineStr">
        <is>
          <t>Night</t>
        </is>
      </c>
      <c r="C58" s="21">
        <f>C57</f>
        <v/>
      </c>
      <c r="D58" s="24">
        <f>E57</f>
        <v/>
      </c>
      <c r="E58" s="24" t="n">
        <v>1648</v>
      </c>
      <c r="F58" s="24">
        <f>E58-D58</f>
        <v/>
      </c>
      <c r="G58" s="192" t="n"/>
      <c r="H58" s="165" t="n"/>
      <c r="I58" s="165" t="n"/>
      <c r="J58" s="158" t="n"/>
      <c r="K58" s="158" t="n"/>
      <c r="L58" s="158" t="n"/>
      <c r="M58" s="158" t="n"/>
      <c r="N58" s="161" t="n"/>
    </row>
    <row r="59" ht="15.75" customHeight="1">
      <c r="A59" s="28" t="n">
        <v>53</v>
      </c>
      <c r="B59" s="20" t="inlineStr">
        <is>
          <t>Day</t>
        </is>
      </c>
      <c r="C59" s="21">
        <f>C57+1</f>
        <v/>
      </c>
      <c r="D59" s="24">
        <f>E58</f>
        <v/>
      </c>
      <c r="E59" s="24" t="n">
        <v>1648</v>
      </c>
      <c r="F59" s="24">
        <f>E59-D59</f>
        <v/>
      </c>
      <c r="G59" s="191">
        <f>F59+F60</f>
        <v/>
      </c>
      <c r="H59" s="165" t="n"/>
      <c r="I59" s="165" t="n"/>
      <c r="J59" s="158" t="n"/>
      <c r="K59" s="158" t="n"/>
      <c r="L59" s="158" t="n"/>
      <c r="M59" s="158" t="n"/>
      <c r="N59" s="161" t="n"/>
    </row>
    <row r="60" ht="15.75" customHeight="1">
      <c r="A60" s="28" t="n">
        <v>54</v>
      </c>
      <c r="B60" s="20" t="inlineStr">
        <is>
          <t>Night</t>
        </is>
      </c>
      <c r="C60" s="21">
        <f>C59</f>
        <v/>
      </c>
      <c r="D60" s="24">
        <f>E59</f>
        <v/>
      </c>
      <c r="E60" s="24" t="n">
        <v>1650</v>
      </c>
      <c r="F60" s="24">
        <f>E60-D60</f>
        <v/>
      </c>
      <c r="G60" s="192" t="n"/>
      <c r="H60" s="165" t="n"/>
      <c r="I60" s="165" t="n"/>
      <c r="J60" s="158" t="n"/>
      <c r="K60" s="158" t="n"/>
      <c r="L60" s="158" t="n"/>
      <c r="M60" s="158" t="n"/>
      <c r="N60" s="161" t="n"/>
    </row>
    <row r="61" ht="15.75" customHeight="1">
      <c r="A61" s="154" t="n">
        <v>55</v>
      </c>
      <c r="B61" s="144" t="inlineStr">
        <is>
          <t>Day</t>
        </is>
      </c>
      <c r="C61" s="88">
        <f>C59+1</f>
        <v/>
      </c>
      <c r="D61" s="89">
        <f>E60</f>
        <v/>
      </c>
      <c r="E61" s="89" t="n">
        <v>1656</v>
      </c>
      <c r="F61" s="89">
        <f>E61-D61</f>
        <v/>
      </c>
      <c r="G61" s="193">
        <f>F61+F62</f>
        <v/>
      </c>
      <c r="H61" s="151" t="n"/>
      <c r="I61" s="151" t="n"/>
      <c r="J61" s="152" t="n"/>
      <c r="K61" s="152" t="n"/>
      <c r="L61" s="152" t="n"/>
      <c r="M61" s="152" t="n"/>
      <c r="N61" s="150" t="inlineStr">
        <is>
          <t>Sunday</t>
        </is>
      </c>
    </row>
    <row r="62" ht="15.75" customHeight="1">
      <c r="A62" s="154" t="n">
        <v>56</v>
      </c>
      <c r="B62" s="144" t="inlineStr">
        <is>
          <t>Night</t>
        </is>
      </c>
      <c r="C62" s="88">
        <f>C61</f>
        <v/>
      </c>
      <c r="D62" s="89">
        <f>E61</f>
        <v/>
      </c>
      <c r="E62" s="89" t="n">
        <v>1656</v>
      </c>
      <c r="F62" s="89">
        <f>E62-D62</f>
        <v/>
      </c>
      <c r="G62" s="192" t="n"/>
      <c r="H62" s="151" t="n"/>
      <c r="I62" s="151" t="n"/>
      <c r="J62" s="152" t="n"/>
      <c r="K62" s="152" t="n"/>
      <c r="L62" s="152" t="n"/>
      <c r="M62" s="152" t="n"/>
      <c r="N62" s="153" t="n"/>
    </row>
    <row r="63" ht="15.75" customHeight="1">
      <c r="A63" s="28" t="n">
        <v>57</v>
      </c>
      <c r="B63" s="20" t="inlineStr">
        <is>
          <t>Day</t>
        </is>
      </c>
      <c r="C63" s="21">
        <f>C61+1</f>
        <v/>
      </c>
      <c r="D63" s="24">
        <f>E62</f>
        <v/>
      </c>
      <c r="E63" s="24" t="n">
        <v>1659</v>
      </c>
      <c r="F63" s="24">
        <f>E63-D63</f>
        <v/>
      </c>
      <c r="G63" s="191">
        <f>F63+F64</f>
        <v/>
      </c>
      <c r="H63" s="165" t="n"/>
      <c r="I63" s="165" t="n"/>
      <c r="J63" s="158" t="n"/>
      <c r="K63" s="158" t="n"/>
      <c r="L63" s="158" t="n"/>
      <c r="M63" s="158" t="n"/>
      <c r="N63" s="161" t="n"/>
    </row>
    <row r="64" ht="15.75" customHeight="1">
      <c r="A64" s="28" t="n">
        <v>58</v>
      </c>
      <c r="B64" s="20" t="inlineStr">
        <is>
          <t>Night</t>
        </is>
      </c>
      <c r="C64" s="21">
        <f>C63</f>
        <v/>
      </c>
      <c r="D64" s="24">
        <f>E63</f>
        <v/>
      </c>
      <c r="E64" s="24" t="n">
        <v>1662</v>
      </c>
      <c r="F64" s="24">
        <f>E64-D64</f>
        <v/>
      </c>
      <c r="G64" s="192" t="n"/>
      <c r="H64" s="165" t="n"/>
      <c r="I64" s="165" t="n"/>
      <c r="J64" s="158" t="n"/>
      <c r="K64" s="158" t="n"/>
      <c r="L64" s="158" t="n"/>
      <c r="M64" s="158" t="n"/>
      <c r="N64" s="161" t="n"/>
    </row>
    <row r="65" ht="15.75" customHeight="1">
      <c r="A65" s="28" t="n">
        <v>59</v>
      </c>
      <c r="B65" s="27" t="inlineStr">
        <is>
          <t>Day</t>
        </is>
      </c>
      <c r="C65" s="21">
        <f>C63+1</f>
        <v/>
      </c>
      <c r="D65" s="24">
        <f>E64</f>
        <v/>
      </c>
      <c r="E65" s="24" t="n">
        <v>1663</v>
      </c>
      <c r="F65" s="24">
        <f>E65-D65</f>
        <v/>
      </c>
      <c r="G65" s="191">
        <f>F65+F66</f>
        <v/>
      </c>
      <c r="H65" s="165" t="n"/>
      <c r="I65" s="165" t="n"/>
      <c r="J65" s="158" t="n"/>
      <c r="K65" s="158" t="n">
        <v>196</v>
      </c>
      <c r="L65" s="158" t="n"/>
      <c r="M65" s="158" t="n"/>
      <c r="N65" s="161" t="n"/>
    </row>
    <row r="66" ht="16.5" customHeight="1" thickBot="1">
      <c r="A66" s="31" t="n">
        <v>60</v>
      </c>
      <c r="B66" s="29" t="inlineStr">
        <is>
          <t>Night</t>
        </is>
      </c>
      <c r="C66" s="21">
        <f>C64+1</f>
        <v/>
      </c>
      <c r="D66" s="24">
        <f>E65</f>
        <v/>
      </c>
      <c r="E66" s="24" t="n">
        <v>1665</v>
      </c>
      <c r="F66" s="24">
        <f>E66-D66</f>
        <v/>
      </c>
      <c r="G66" s="192" t="n"/>
      <c r="H66" s="165" t="n"/>
      <c r="I66" s="165" t="n"/>
      <c r="J66" s="158" t="n"/>
      <c r="K66" s="158" t="n"/>
      <c r="L66" s="158" t="n"/>
      <c r="M66" s="158" t="n"/>
      <c r="N66" s="161" t="n"/>
    </row>
    <row r="67" ht="16.5" customHeight="1" thickBot="1">
      <c r="A67" s="207" t="inlineStr">
        <is>
          <t>Total</t>
        </is>
      </c>
      <c r="B67" s="208" t="n"/>
      <c r="C67" s="208" t="n"/>
      <c r="D67" s="208" t="n"/>
      <c r="E67" s="209" t="n"/>
      <c r="F67" s="32">
        <f>SUBTOTAL(9,F7:F66)</f>
        <v/>
      </c>
      <c r="G67" s="32">
        <f>SUBTOTAL(9,G7:G66)</f>
        <v/>
      </c>
      <c r="H67" s="34" t="n"/>
      <c r="I67" s="35" t="n"/>
      <c r="J67" s="36" t="n"/>
      <c r="K67" s="32">
        <f>SUBTOTAL(9,K7:K66)</f>
        <v/>
      </c>
      <c r="L67" s="36" t="n"/>
      <c r="M67" s="36" t="n"/>
      <c r="N67" s="37" t="n"/>
    </row>
    <row r="69" ht="15.75" customHeight="1">
      <c r="E69" s="195" t="inlineStr">
        <is>
          <t>Max hsd as per loi(5-6)</t>
        </is>
      </c>
      <c r="F69" s="189" t="n"/>
      <c r="G69" s="190" t="n"/>
      <c r="H69" s="195">
        <f>G67*6</f>
        <v/>
      </c>
    </row>
    <row r="70" ht="15.75" customHeight="1">
      <c r="E70" s="195" t="inlineStr">
        <is>
          <t>Actual diesel cosumption</t>
        </is>
      </c>
      <c r="F70" s="189" t="n"/>
      <c r="G70" s="190" t="n"/>
      <c r="H70" s="140">
        <f>K67</f>
        <v/>
      </c>
    </row>
    <row r="71" ht="15.75" customHeight="1">
      <c r="E71" s="195" t="inlineStr">
        <is>
          <t>Fuel ecxess</t>
        </is>
      </c>
      <c r="F71" s="189" t="n"/>
      <c r="G71" s="190" t="n"/>
      <c r="H71" s="140">
        <f>H70-H69</f>
        <v/>
      </c>
    </row>
    <row r="72">
      <c r="A72" t="inlineStr">
        <is>
          <t>Monthly Rate</t>
        </is>
      </c>
      <c r="C72" t="n">
        <v>260000</v>
      </c>
    </row>
    <row r="73">
      <c r="A73" t="inlineStr">
        <is>
          <t>Per Day Rate/30</t>
        </is>
      </c>
      <c r="C73" s="167">
        <f>C72/30</f>
        <v/>
      </c>
    </row>
    <row r="74">
      <c r="A74" t="inlineStr">
        <is>
          <t>28 Days Bill Amount</t>
        </is>
      </c>
      <c r="C74" s="167">
        <f>C73*30</f>
        <v/>
      </c>
    </row>
  </sheetData>
  <mergeCells count="44">
    <mergeCell ref="A5:D5"/>
    <mergeCell ref="G43:G44"/>
    <mergeCell ref="G17:G18"/>
    <mergeCell ref="G61:G62"/>
    <mergeCell ref="G57:G58"/>
    <mergeCell ref="G23:G24"/>
    <mergeCell ref="A4:D4"/>
    <mergeCell ref="E69:G69"/>
    <mergeCell ref="G13:G14"/>
    <mergeCell ref="G7:G8"/>
    <mergeCell ref="G39:G40"/>
    <mergeCell ref="G19:G20"/>
    <mergeCell ref="G53:G54"/>
    <mergeCell ref="G65:G66"/>
    <mergeCell ref="E3:N3"/>
    <mergeCell ref="E70:G70"/>
    <mergeCell ref="G37:G38"/>
    <mergeCell ref="G15:G16"/>
    <mergeCell ref="G55:G56"/>
    <mergeCell ref="G49:G50"/>
    <mergeCell ref="G29:G30"/>
    <mergeCell ref="A1:D1"/>
    <mergeCell ref="E5:N5"/>
    <mergeCell ref="G63:G64"/>
    <mergeCell ref="G33:G34"/>
    <mergeCell ref="G51:G52"/>
    <mergeCell ref="E4:N4"/>
    <mergeCell ref="G45:G46"/>
    <mergeCell ref="G25:G26"/>
    <mergeCell ref="G41:G42"/>
    <mergeCell ref="G59:G60"/>
    <mergeCell ref="G35:G36"/>
    <mergeCell ref="E71:G71"/>
    <mergeCell ref="E1:N1"/>
    <mergeCell ref="G9:G10"/>
    <mergeCell ref="G27:G28"/>
    <mergeCell ref="G47:G48"/>
    <mergeCell ref="A3:D3"/>
    <mergeCell ref="G21:G22"/>
    <mergeCell ref="G31:G32"/>
    <mergeCell ref="G11:G12"/>
    <mergeCell ref="A2:D2"/>
    <mergeCell ref="A67:E67"/>
    <mergeCell ref="E2:N2"/>
  </mergeCells>
  <pageMargins left="0.31" right="0.7" top="0.42" bottom="0.75" header="0.3" footer="0.3"/>
  <pageSetup orientation="portrait" scale="64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73"/>
  <sheetViews>
    <sheetView topLeftCell="A55" workbookViewId="0">
      <selection activeCell="A74" sqref="A74"/>
    </sheetView>
  </sheetViews>
  <sheetFormatPr baseColWidth="8" defaultRowHeight="15"/>
  <cols>
    <col width="8.85546875" customWidth="1" min="1" max="1"/>
    <col width="9.5703125" customWidth="1" min="2" max="2"/>
    <col width="24.140625" customWidth="1" min="14" max="14"/>
  </cols>
  <sheetData>
    <row r="1" ht="18.75" customHeight="1">
      <c r="A1" s="194" t="inlineStr">
        <is>
          <t xml:space="preserve">Vendor Description  </t>
        </is>
      </c>
      <c r="B1" s="189" t="n"/>
      <c r="C1" s="189" t="n"/>
      <c r="D1" s="190" t="n"/>
      <c r="E1" s="204" t="inlineStr">
        <is>
          <t>EKTA ENTERPRISES</t>
        </is>
      </c>
      <c r="F1" s="205" t="n"/>
      <c r="G1" s="205" t="n"/>
      <c r="H1" s="205" t="n"/>
      <c r="I1" s="205" t="n"/>
      <c r="J1" s="205" t="n"/>
      <c r="K1" s="205" t="n"/>
      <c r="L1" s="205" t="n"/>
      <c r="M1" s="205" t="n"/>
      <c r="N1" s="206" t="n"/>
    </row>
    <row r="2" ht="18.75" customHeight="1">
      <c r="A2" s="194" t="inlineStr">
        <is>
          <t xml:space="preserve">Asset  Discription  </t>
        </is>
      </c>
      <c r="B2" s="189" t="n"/>
      <c r="C2" s="189" t="n"/>
      <c r="D2" s="190" t="n"/>
      <c r="E2" s="197" t="inlineStr">
        <is>
          <t xml:space="preserve">XCMG Crawler CRANE </t>
        </is>
      </c>
      <c r="F2" s="198" t="n"/>
      <c r="G2" s="198" t="n"/>
      <c r="H2" s="198" t="n"/>
      <c r="I2" s="198" t="n"/>
      <c r="J2" s="198" t="n"/>
      <c r="K2" s="198" t="n"/>
      <c r="L2" s="198" t="n"/>
      <c r="M2" s="198" t="n"/>
      <c r="N2" s="199" t="n"/>
    </row>
    <row r="3" ht="18.75" customHeight="1">
      <c r="A3" s="194" t="inlineStr">
        <is>
          <t xml:space="preserve">Asset  Capacity  </t>
        </is>
      </c>
      <c r="B3" s="189" t="n"/>
      <c r="C3" s="189" t="n"/>
      <c r="D3" s="190" t="n"/>
      <c r="E3" s="197" t="inlineStr">
        <is>
          <t>45 Ton</t>
        </is>
      </c>
      <c r="F3" s="198" t="n"/>
      <c r="G3" s="198" t="n"/>
      <c r="H3" s="198" t="n"/>
      <c r="I3" s="198" t="n"/>
      <c r="J3" s="198" t="n"/>
      <c r="K3" s="198" t="n"/>
      <c r="L3" s="198" t="n"/>
      <c r="M3" s="198" t="n"/>
      <c r="N3" s="199" t="n"/>
    </row>
    <row r="4" ht="18.75" customHeight="1">
      <c r="A4" s="194" t="inlineStr">
        <is>
          <t xml:space="preserve">Billing Period  </t>
        </is>
      </c>
      <c r="B4" s="189" t="n"/>
      <c r="C4" s="189" t="n"/>
      <c r="D4" s="190" t="n"/>
      <c r="E4" s="203" t="inlineStr">
        <is>
          <t>01-07-2026 TO 31-07-2026</t>
        </is>
      </c>
      <c r="F4" s="198" t="n"/>
      <c r="G4" s="198" t="n"/>
      <c r="H4" s="198" t="n"/>
      <c r="I4" s="198" t="n"/>
      <c r="J4" s="198" t="n"/>
      <c r="K4" s="198" t="n"/>
      <c r="L4" s="198" t="n"/>
      <c r="M4" s="198" t="n"/>
      <c r="N4" s="199" t="n"/>
    </row>
    <row r="5" ht="18.75" customHeight="1" thickBot="1">
      <c r="A5" s="188" t="inlineStr">
        <is>
          <t>COMPANY  NAME</t>
        </is>
      </c>
      <c r="B5" s="189" t="n"/>
      <c r="C5" s="189" t="n"/>
      <c r="D5" s="190" t="n"/>
      <c r="E5" s="200" t="inlineStr">
        <is>
          <t>Hindustan Infrastructure solution Ahemdabaad</t>
        </is>
      </c>
      <c r="F5" s="201" t="n"/>
      <c r="G5" s="201" t="n"/>
      <c r="H5" s="201" t="n"/>
      <c r="I5" s="201" t="n"/>
      <c r="J5" s="201" t="n"/>
      <c r="K5" s="201" t="n"/>
      <c r="L5" s="201" t="n"/>
      <c r="M5" s="201" t="n"/>
      <c r="N5" s="202" t="n"/>
    </row>
    <row r="6" ht="39" customHeight="1" thickBot="1">
      <c r="A6" s="131" t="inlineStr">
        <is>
          <t>SR. NO.</t>
        </is>
      </c>
      <c r="B6" s="131" t="inlineStr">
        <is>
          <t>Shift</t>
        </is>
      </c>
      <c r="C6" s="132" t="inlineStr">
        <is>
          <t>Date</t>
        </is>
      </c>
      <c r="D6" s="132" t="inlineStr">
        <is>
          <t>Starting HMR</t>
        </is>
      </c>
      <c r="E6" s="17" t="inlineStr">
        <is>
          <t>Closing    HMR</t>
        </is>
      </c>
      <c r="F6" s="38" t="inlineStr">
        <is>
          <t>HMR</t>
        </is>
      </c>
      <c r="G6" s="18" t="inlineStr">
        <is>
          <t>Normal  Shift
Hours</t>
        </is>
      </c>
      <c r="H6" s="3" t="inlineStr">
        <is>
          <t>BD Start</t>
        </is>
      </c>
      <c r="I6" s="4" t="inlineStr">
        <is>
          <t>BD End</t>
        </is>
      </c>
      <c r="J6" s="2" t="inlineStr">
        <is>
          <t>Total B/D</t>
        </is>
      </c>
      <c r="K6" s="5" t="inlineStr">
        <is>
          <t>Diesel  issued</t>
        </is>
      </c>
      <c r="L6" s="2" t="inlineStr">
        <is>
          <t>Diesel HMR</t>
        </is>
      </c>
      <c r="M6" s="2" t="inlineStr">
        <is>
          <t>Hours</t>
        </is>
      </c>
      <c r="N6" s="2" t="inlineStr">
        <is>
          <t>Remark</t>
        </is>
      </c>
    </row>
    <row r="7" ht="15.75" customHeight="1">
      <c r="A7" s="19" t="n">
        <v>1</v>
      </c>
      <c r="B7" s="20" t="inlineStr">
        <is>
          <t>Day</t>
        </is>
      </c>
      <c r="C7" s="21" t="n">
        <v>46204</v>
      </c>
      <c r="D7" s="24" t="n">
        <v>1665</v>
      </c>
      <c r="E7" s="23" t="n">
        <v>1667</v>
      </c>
      <c r="F7" s="24">
        <f>E7-D7</f>
        <v/>
      </c>
      <c r="G7" s="196">
        <f>F7+F8</f>
        <v/>
      </c>
      <c r="H7" s="6" t="n"/>
      <c r="I7" s="6" t="n"/>
      <c r="J7" s="6" t="n"/>
      <c r="K7" s="6" t="n"/>
      <c r="L7" s="158" t="n"/>
      <c r="M7" s="8" t="n"/>
      <c r="N7" s="9" t="n"/>
    </row>
    <row r="8" ht="15.75" customHeight="1">
      <c r="A8" s="19" t="n">
        <v>2</v>
      </c>
      <c r="B8" s="20" t="inlineStr">
        <is>
          <t>Night</t>
        </is>
      </c>
      <c r="C8" s="21">
        <f>C7</f>
        <v/>
      </c>
      <c r="D8" s="22">
        <f>E7</f>
        <v/>
      </c>
      <c r="E8" s="23" t="n">
        <v>1669</v>
      </c>
      <c r="F8" s="24">
        <f>E8-D8</f>
        <v/>
      </c>
      <c r="G8" s="192" t="n"/>
      <c r="H8" s="159" t="n"/>
      <c r="I8" s="159" t="n"/>
      <c r="J8" s="160" t="n"/>
      <c r="K8" s="160" t="n"/>
      <c r="L8" s="158" t="n"/>
      <c r="M8" s="158" t="n"/>
      <c r="N8" s="161" t="n"/>
    </row>
    <row r="9" ht="15.75" customHeight="1">
      <c r="A9" s="19" t="n">
        <v>3</v>
      </c>
      <c r="B9" s="20" t="inlineStr">
        <is>
          <t>Day</t>
        </is>
      </c>
      <c r="C9" s="21">
        <f>C7+1</f>
        <v/>
      </c>
      <c r="D9" s="22">
        <f>E8</f>
        <v/>
      </c>
      <c r="E9" s="23" t="n">
        <v>1671</v>
      </c>
      <c r="F9" s="24">
        <f>E9-D9</f>
        <v/>
      </c>
      <c r="G9" s="191">
        <f>F9+F10</f>
        <v/>
      </c>
      <c r="H9" s="162" t="n"/>
      <c r="I9" s="162" t="n"/>
      <c r="J9" s="160" t="n"/>
      <c r="K9" s="160" t="n"/>
      <c r="L9" s="160" t="n"/>
      <c r="M9" s="160" t="n"/>
      <c r="N9" s="161" t="n"/>
    </row>
    <row r="10" ht="15.75" customHeight="1">
      <c r="A10" s="19" t="n">
        <v>4</v>
      </c>
      <c r="B10" s="20" t="inlineStr">
        <is>
          <t>Night</t>
        </is>
      </c>
      <c r="C10" s="21">
        <f>C9</f>
        <v/>
      </c>
      <c r="D10" s="22">
        <f>E9</f>
        <v/>
      </c>
      <c r="E10" s="23" t="n">
        <v>1672</v>
      </c>
      <c r="F10" s="24">
        <f>E10-D10</f>
        <v/>
      </c>
      <c r="G10" s="192" t="n"/>
      <c r="H10" s="162" t="n"/>
      <c r="I10" s="162" t="n"/>
      <c r="J10" s="160" t="n"/>
      <c r="K10" s="160" t="n"/>
      <c r="L10" s="160" t="n"/>
      <c r="M10" s="160" t="n"/>
      <c r="N10" s="161" t="n"/>
    </row>
    <row r="11" ht="15.75" customHeight="1">
      <c r="A11" s="19" t="n">
        <v>5</v>
      </c>
      <c r="B11" s="20" t="inlineStr">
        <is>
          <t>Day</t>
        </is>
      </c>
      <c r="C11" s="21">
        <f>C9+1</f>
        <v/>
      </c>
      <c r="D11" s="22">
        <f>E10</f>
        <v/>
      </c>
      <c r="E11" s="23" t="n">
        <v>1672</v>
      </c>
      <c r="F11" s="24">
        <f>E11-D11</f>
        <v/>
      </c>
      <c r="G11" s="191">
        <f>F11+F12</f>
        <v/>
      </c>
      <c r="H11" s="162" t="n"/>
      <c r="I11" s="162" t="n"/>
      <c r="J11" s="163" t="n"/>
      <c r="K11" s="160" t="n"/>
      <c r="L11" s="160" t="n"/>
      <c r="M11" s="160" t="n"/>
      <c r="N11" s="164" t="n"/>
    </row>
    <row r="12" ht="15.75" customHeight="1">
      <c r="A12" s="19" t="n">
        <v>6</v>
      </c>
      <c r="B12" s="20" t="inlineStr">
        <is>
          <t>Night</t>
        </is>
      </c>
      <c r="C12" s="21">
        <f>C11</f>
        <v/>
      </c>
      <c r="D12" s="22">
        <f>E11</f>
        <v/>
      </c>
      <c r="E12" s="23" t="n">
        <v>1672</v>
      </c>
      <c r="F12" s="24">
        <f>E12-D12</f>
        <v/>
      </c>
      <c r="G12" s="192" t="n"/>
      <c r="H12" s="162" t="n"/>
      <c r="I12" s="162" t="n"/>
      <c r="J12" s="160" t="n"/>
      <c r="K12" s="160" t="n"/>
      <c r="L12" s="160" t="n"/>
      <c r="M12" s="160" t="n"/>
      <c r="N12" s="164" t="n"/>
    </row>
    <row r="13" ht="15.75" customHeight="1">
      <c r="A13" s="19" t="n">
        <v>7</v>
      </c>
      <c r="B13" s="20" t="inlineStr">
        <is>
          <t>Day</t>
        </is>
      </c>
      <c r="C13" s="21">
        <f>C11+1</f>
        <v/>
      </c>
      <c r="D13" s="22">
        <f>E12</f>
        <v/>
      </c>
      <c r="E13" s="23" t="n">
        <v>1672</v>
      </c>
      <c r="F13" s="24">
        <f>E13-D13</f>
        <v/>
      </c>
      <c r="G13" s="191">
        <f>F13+F14</f>
        <v/>
      </c>
      <c r="H13" s="162" t="n"/>
      <c r="I13" s="162" t="n"/>
      <c r="J13" s="160" t="n"/>
      <c r="K13" s="160" t="n"/>
      <c r="L13" s="160" t="n"/>
      <c r="M13" s="160" t="n"/>
      <c r="N13" s="164" t="n"/>
    </row>
    <row r="14" ht="15.75" customHeight="1">
      <c r="A14" s="19" t="n">
        <v>8</v>
      </c>
      <c r="B14" s="20" t="inlineStr">
        <is>
          <t>Night</t>
        </is>
      </c>
      <c r="C14" s="21">
        <f>C13</f>
        <v/>
      </c>
      <c r="D14" s="22">
        <f>E13</f>
        <v/>
      </c>
      <c r="E14" s="23" t="n">
        <v>1672</v>
      </c>
      <c r="F14" s="24">
        <f>E14-D14</f>
        <v/>
      </c>
      <c r="G14" s="192" t="n"/>
      <c r="H14" s="162" t="n"/>
      <c r="I14" s="162" t="n"/>
      <c r="J14" s="160" t="n"/>
      <c r="K14" s="160" t="n"/>
      <c r="L14" s="160" t="n"/>
      <c r="M14" s="160" t="n"/>
      <c r="N14" s="164" t="n"/>
    </row>
    <row r="15" ht="15.75" customHeight="1">
      <c r="A15" s="143" t="n">
        <v>9</v>
      </c>
      <c r="B15" s="144" t="inlineStr">
        <is>
          <t>Day</t>
        </is>
      </c>
      <c r="C15" s="88">
        <f>C13+1</f>
        <v/>
      </c>
      <c r="D15" s="145">
        <f>E14</f>
        <v/>
      </c>
      <c r="E15" s="146" t="n">
        <v>1672</v>
      </c>
      <c r="F15" s="89">
        <f>E15-D15</f>
        <v/>
      </c>
      <c r="G15" s="193">
        <f>F15+F16</f>
        <v/>
      </c>
      <c r="H15" s="147" t="n"/>
      <c r="I15" s="147" t="n"/>
      <c r="J15" s="149" t="n"/>
      <c r="K15" s="149" t="n"/>
      <c r="L15" s="149" t="n"/>
      <c r="M15" s="149" t="n"/>
      <c r="N15" s="150" t="inlineStr">
        <is>
          <t>SUNDAY</t>
        </is>
      </c>
    </row>
    <row r="16" ht="15.75" customHeight="1">
      <c r="A16" s="143" t="n">
        <v>10</v>
      </c>
      <c r="B16" s="144" t="inlineStr">
        <is>
          <t>Night</t>
        </is>
      </c>
      <c r="C16" s="88">
        <f>C15</f>
        <v/>
      </c>
      <c r="D16" s="145">
        <f>E15</f>
        <v/>
      </c>
      <c r="E16" s="146" t="n">
        <v>1672</v>
      </c>
      <c r="F16" s="89">
        <f>E16-D16</f>
        <v/>
      </c>
      <c r="G16" s="192" t="n"/>
      <c r="H16" s="147" t="n"/>
      <c r="I16" s="147" t="n"/>
      <c r="J16" s="149" t="n"/>
      <c r="K16" s="149" t="n"/>
      <c r="L16" s="149" t="n"/>
      <c r="M16" s="149" t="n"/>
      <c r="N16" s="150" t="n"/>
    </row>
    <row r="17" ht="15.75" customHeight="1">
      <c r="A17" s="19" t="n">
        <v>11</v>
      </c>
      <c r="B17" s="20" t="inlineStr">
        <is>
          <t>Day</t>
        </is>
      </c>
      <c r="C17" s="21">
        <f>C15+1</f>
        <v/>
      </c>
      <c r="D17" s="22">
        <f>E16</f>
        <v/>
      </c>
      <c r="E17" s="23" t="n">
        <v>1674</v>
      </c>
      <c r="F17" s="24">
        <f>E17-D17</f>
        <v/>
      </c>
      <c r="G17" s="191">
        <f>F17+F18</f>
        <v/>
      </c>
      <c r="H17" s="162" t="n"/>
      <c r="I17" s="162" t="n"/>
      <c r="J17" s="160" t="n"/>
      <c r="K17" s="160" t="n"/>
      <c r="L17" s="160" t="n"/>
      <c r="M17" s="160" t="n"/>
      <c r="N17" s="164" t="n"/>
    </row>
    <row r="18" ht="15.75" customHeight="1">
      <c r="A18" s="19" t="n">
        <v>12</v>
      </c>
      <c r="B18" s="20" t="inlineStr">
        <is>
          <t>Night</t>
        </is>
      </c>
      <c r="C18" s="21">
        <f>C17</f>
        <v/>
      </c>
      <c r="D18" s="22">
        <f>E17</f>
        <v/>
      </c>
      <c r="E18" s="23" t="n">
        <v>1676</v>
      </c>
      <c r="F18" s="24">
        <f>E18-D18</f>
        <v/>
      </c>
      <c r="G18" s="192" t="n"/>
      <c r="H18" s="162" t="n"/>
      <c r="I18" s="162" t="n"/>
      <c r="J18" s="160" t="n"/>
      <c r="K18" s="160" t="n"/>
      <c r="L18" s="160" t="n"/>
      <c r="M18" s="160" t="n"/>
      <c r="N18" s="164" t="n"/>
    </row>
    <row r="19" ht="15.75" customHeight="1">
      <c r="A19" s="19" t="n">
        <v>13</v>
      </c>
      <c r="B19" s="20" t="inlineStr">
        <is>
          <t>Day</t>
        </is>
      </c>
      <c r="C19" s="21">
        <f>C17+1</f>
        <v/>
      </c>
      <c r="D19" s="24">
        <f>E18</f>
        <v/>
      </c>
      <c r="E19" s="24" t="n">
        <v>1677</v>
      </c>
      <c r="F19" s="24">
        <f>E19-D19</f>
        <v/>
      </c>
      <c r="G19" s="191">
        <f>F19+F20</f>
        <v/>
      </c>
      <c r="H19" s="162" t="n"/>
      <c r="I19" s="162" t="n"/>
      <c r="J19" s="160" t="n"/>
      <c r="K19" s="160" t="n"/>
      <c r="L19" s="160" t="n"/>
      <c r="M19" s="160" t="n"/>
      <c r="N19" s="164" t="n"/>
    </row>
    <row r="20" ht="15.75" customHeight="1">
      <c r="A20" s="19" t="n">
        <v>14</v>
      </c>
      <c r="B20" s="20" t="inlineStr">
        <is>
          <t>Night</t>
        </is>
      </c>
      <c r="C20" s="21">
        <f>C19</f>
        <v/>
      </c>
      <c r="D20" s="24">
        <f>E19</f>
        <v/>
      </c>
      <c r="E20" s="24" t="n">
        <v>1678</v>
      </c>
      <c r="F20" s="24">
        <f>E20-D20</f>
        <v/>
      </c>
      <c r="G20" s="192" t="n"/>
      <c r="H20" s="162" t="n"/>
      <c r="I20" s="162" t="n"/>
      <c r="J20" s="160" t="n"/>
      <c r="K20" s="160" t="n"/>
      <c r="L20" s="160" t="n"/>
      <c r="M20" s="160" t="n"/>
      <c r="N20" s="164" t="n"/>
    </row>
    <row r="21" ht="15.75" customHeight="1">
      <c r="A21" s="19" t="n">
        <v>15</v>
      </c>
      <c r="B21" s="20" t="inlineStr">
        <is>
          <t>Day</t>
        </is>
      </c>
      <c r="C21" s="21">
        <f>C19+1</f>
        <v/>
      </c>
      <c r="D21" s="24">
        <f>E20</f>
        <v/>
      </c>
      <c r="E21" s="24" t="n">
        <v>1679</v>
      </c>
      <c r="F21" s="24">
        <f>E21-D21</f>
        <v/>
      </c>
      <c r="G21" s="191">
        <f>F21+F22</f>
        <v/>
      </c>
      <c r="H21" s="162" t="n"/>
      <c r="I21" s="162" t="n"/>
      <c r="J21" s="160" t="n"/>
      <c r="K21" s="160" t="n"/>
      <c r="L21" s="160" t="n"/>
      <c r="M21" s="160" t="n"/>
      <c r="N21" s="164" t="n"/>
    </row>
    <row r="22" ht="15.75" customHeight="1">
      <c r="A22" s="19" t="n">
        <v>16</v>
      </c>
      <c r="B22" s="20" t="inlineStr">
        <is>
          <t>Night</t>
        </is>
      </c>
      <c r="C22" s="21">
        <f>C21</f>
        <v/>
      </c>
      <c r="D22" s="24">
        <f>E21</f>
        <v/>
      </c>
      <c r="E22" s="24" t="n">
        <v>1682</v>
      </c>
      <c r="F22" s="24">
        <f>E22-D22</f>
        <v/>
      </c>
      <c r="G22" s="192" t="n"/>
      <c r="H22" s="162" t="n"/>
      <c r="I22" s="162" t="n"/>
      <c r="J22" s="160" t="n"/>
      <c r="K22" s="160" t="n"/>
      <c r="L22" s="160" t="n"/>
      <c r="M22" s="160" t="n"/>
      <c r="N22" s="164" t="n"/>
    </row>
    <row r="23" ht="15.75" customHeight="1">
      <c r="A23" s="19" t="n">
        <v>17</v>
      </c>
      <c r="B23" s="20" t="inlineStr">
        <is>
          <t>Day</t>
        </is>
      </c>
      <c r="C23" s="21">
        <f>C21+1</f>
        <v/>
      </c>
      <c r="D23" s="24">
        <f>E22</f>
        <v/>
      </c>
      <c r="E23" s="24" t="n">
        <v>1683</v>
      </c>
      <c r="F23" s="24">
        <f>E23-D23</f>
        <v/>
      </c>
      <c r="G23" s="191">
        <f>F23+F24</f>
        <v/>
      </c>
      <c r="H23" s="162" t="n"/>
      <c r="I23" s="162" t="n"/>
      <c r="J23" s="160" t="n"/>
      <c r="K23" s="160" t="n"/>
      <c r="L23" s="160" t="n"/>
      <c r="M23" s="160" t="n"/>
      <c r="N23" s="164" t="n"/>
    </row>
    <row r="24" ht="15.75" customHeight="1">
      <c r="A24" s="19" t="n">
        <v>18</v>
      </c>
      <c r="B24" s="20" t="inlineStr">
        <is>
          <t>Night</t>
        </is>
      </c>
      <c r="C24" s="21">
        <f>C23</f>
        <v/>
      </c>
      <c r="D24" s="24">
        <f>E23</f>
        <v/>
      </c>
      <c r="E24" s="24" t="n">
        <v>1684</v>
      </c>
      <c r="F24" s="24">
        <f>E24-D24</f>
        <v/>
      </c>
      <c r="G24" s="192" t="n"/>
      <c r="H24" s="162" t="n"/>
      <c r="I24" s="162" t="n"/>
      <c r="J24" s="160" t="n"/>
      <c r="K24" s="160" t="n"/>
      <c r="L24" s="160" t="n"/>
      <c r="M24" s="160" t="n"/>
      <c r="N24" s="164" t="n"/>
    </row>
    <row r="25" ht="15.75" customHeight="1">
      <c r="A25" s="19" t="n">
        <v>19</v>
      </c>
      <c r="B25" s="20" t="inlineStr">
        <is>
          <t>Day</t>
        </is>
      </c>
      <c r="C25" s="21">
        <f>C23+1</f>
        <v/>
      </c>
      <c r="D25" s="24">
        <f>E24</f>
        <v/>
      </c>
      <c r="E25" s="24" t="n">
        <v>1685</v>
      </c>
      <c r="F25" s="24">
        <f>E25-D25</f>
        <v/>
      </c>
      <c r="G25" s="191">
        <f>F25+F26</f>
        <v/>
      </c>
      <c r="H25" s="162" t="n"/>
      <c r="I25" s="162" t="n"/>
      <c r="J25" s="160" t="n"/>
      <c r="K25" s="160" t="n"/>
      <c r="L25" s="160" t="n"/>
      <c r="M25" s="160" t="n"/>
      <c r="N25" s="164" t="n"/>
    </row>
    <row r="26" ht="15.75" customHeight="1">
      <c r="A26" s="19" t="n">
        <v>20</v>
      </c>
      <c r="B26" s="20" t="inlineStr">
        <is>
          <t>Night</t>
        </is>
      </c>
      <c r="C26" s="21">
        <f>C25</f>
        <v/>
      </c>
      <c r="D26" s="24">
        <f>E25</f>
        <v/>
      </c>
      <c r="E26" s="24" t="n">
        <v>1686</v>
      </c>
      <c r="F26" s="24">
        <f>E26-D26</f>
        <v/>
      </c>
      <c r="G26" s="192" t="n"/>
      <c r="H26" s="162" t="n"/>
      <c r="I26" s="162" t="n"/>
      <c r="J26" s="160" t="n"/>
      <c r="K26" s="160" t="n"/>
      <c r="L26" s="160" t="n"/>
      <c r="M26" s="160" t="n"/>
      <c r="N26" s="164" t="n"/>
    </row>
    <row r="27" ht="15.75" customHeight="1">
      <c r="A27" s="19" t="n">
        <v>21</v>
      </c>
      <c r="B27" s="20" t="inlineStr">
        <is>
          <t>Day</t>
        </is>
      </c>
      <c r="C27" s="21">
        <f>C25+1</f>
        <v/>
      </c>
      <c r="D27" s="24">
        <f>E26</f>
        <v/>
      </c>
      <c r="E27" s="24" t="n">
        <v>1690</v>
      </c>
      <c r="F27" s="24">
        <f>E27-D27</f>
        <v/>
      </c>
      <c r="G27" s="191">
        <f>F27+F28</f>
        <v/>
      </c>
      <c r="H27" s="162" t="n"/>
      <c r="I27" s="162" t="n"/>
      <c r="J27" s="160" t="n"/>
      <c r="K27" s="160" t="n"/>
      <c r="L27" s="160" t="n"/>
      <c r="M27" s="160" t="n"/>
      <c r="N27" s="164" t="n"/>
    </row>
    <row r="28" ht="15.75" customHeight="1">
      <c r="A28" s="19" t="n">
        <v>22</v>
      </c>
      <c r="B28" s="20" t="inlineStr">
        <is>
          <t>Night</t>
        </is>
      </c>
      <c r="C28" s="21">
        <f>C27</f>
        <v/>
      </c>
      <c r="D28" s="24">
        <f>E27</f>
        <v/>
      </c>
      <c r="E28" s="24" t="n">
        <v>1691</v>
      </c>
      <c r="F28" s="24">
        <f>E28-D28</f>
        <v/>
      </c>
      <c r="G28" s="192" t="n"/>
      <c r="H28" s="162" t="n"/>
      <c r="I28" s="162" t="n"/>
      <c r="J28" s="160" t="n"/>
      <c r="K28" s="160" t="n"/>
      <c r="L28" s="160" t="n"/>
      <c r="M28" s="160" t="n"/>
      <c r="N28" s="164" t="n"/>
    </row>
    <row r="29" ht="15.75" customHeight="1">
      <c r="A29" s="143" t="n">
        <v>23</v>
      </c>
      <c r="B29" s="144" t="inlineStr">
        <is>
          <t>Day</t>
        </is>
      </c>
      <c r="C29" s="88">
        <f>C27+1</f>
        <v/>
      </c>
      <c r="D29" s="89">
        <f>E28</f>
        <v/>
      </c>
      <c r="E29" s="89" t="n">
        <v>1691</v>
      </c>
      <c r="F29" s="89">
        <f>E29-D29</f>
        <v/>
      </c>
      <c r="G29" s="193">
        <f>F29+F30</f>
        <v/>
      </c>
      <c r="H29" s="147" t="n"/>
      <c r="I29" s="147" t="n"/>
      <c r="J29" s="149" t="n"/>
      <c r="K29" s="149" t="n"/>
      <c r="L29" s="149" t="n"/>
      <c r="M29" s="149" t="n"/>
      <c r="N29" s="150" t="inlineStr">
        <is>
          <t>SUNDAY</t>
        </is>
      </c>
    </row>
    <row r="30" ht="15.75" customHeight="1">
      <c r="A30" s="143" t="n">
        <v>24</v>
      </c>
      <c r="B30" s="144" t="inlineStr">
        <is>
          <t>Night</t>
        </is>
      </c>
      <c r="C30" s="88">
        <f>C29</f>
        <v/>
      </c>
      <c r="D30" s="89">
        <f>E29</f>
        <v/>
      </c>
      <c r="E30" s="89" t="n">
        <v>1691</v>
      </c>
      <c r="F30" s="89">
        <f>E30-D30</f>
        <v/>
      </c>
      <c r="G30" s="192" t="n"/>
      <c r="H30" s="147" t="n"/>
      <c r="I30" s="147" t="n"/>
      <c r="J30" s="149" t="n"/>
      <c r="K30" s="149" t="n"/>
      <c r="L30" s="149" t="n"/>
      <c r="M30" s="149" t="n"/>
      <c r="N30" s="150" t="n"/>
    </row>
    <row r="31" ht="15.75" customHeight="1">
      <c r="A31" s="19" t="n">
        <v>25</v>
      </c>
      <c r="B31" s="20" t="inlineStr">
        <is>
          <t>Day</t>
        </is>
      </c>
      <c r="C31" s="21">
        <f>C29+1</f>
        <v/>
      </c>
      <c r="D31" s="24">
        <f>E30</f>
        <v/>
      </c>
      <c r="E31" s="24" t="n">
        <v>1695</v>
      </c>
      <c r="F31" s="24">
        <f>E31-D31</f>
        <v/>
      </c>
      <c r="G31" s="191">
        <f>F31+F32</f>
        <v/>
      </c>
      <c r="H31" s="162" t="n"/>
      <c r="I31" s="162" t="n"/>
      <c r="J31" s="160" t="n"/>
      <c r="K31" s="160" t="n"/>
      <c r="L31" s="160" t="n"/>
      <c r="M31" s="160" t="n"/>
      <c r="N31" s="164" t="n"/>
    </row>
    <row r="32" ht="15.75" customHeight="1">
      <c r="A32" s="19" t="n">
        <v>26</v>
      </c>
      <c r="B32" s="20" t="inlineStr">
        <is>
          <t>Night</t>
        </is>
      </c>
      <c r="C32" s="21">
        <f>C31</f>
        <v/>
      </c>
      <c r="D32" s="24">
        <f>E31</f>
        <v/>
      </c>
      <c r="E32" s="24" t="n">
        <v>1697</v>
      </c>
      <c r="F32" s="24">
        <f>E32-D32</f>
        <v/>
      </c>
      <c r="G32" s="192" t="n"/>
      <c r="H32" s="162" t="n"/>
      <c r="I32" s="162" t="n"/>
      <c r="J32" s="160" t="n"/>
      <c r="K32" s="160" t="n"/>
      <c r="L32" s="160" t="n"/>
      <c r="M32" s="160" t="n"/>
      <c r="N32" s="164" t="n"/>
    </row>
    <row r="33" ht="15.75" customHeight="1">
      <c r="A33" s="19" t="n">
        <v>27</v>
      </c>
      <c r="B33" s="20" t="inlineStr">
        <is>
          <t>Day</t>
        </is>
      </c>
      <c r="C33" s="21">
        <f>C31+1</f>
        <v/>
      </c>
      <c r="D33" s="24">
        <f>E32</f>
        <v/>
      </c>
      <c r="E33" s="24" t="n">
        <v>1700</v>
      </c>
      <c r="F33" s="24">
        <f>E33-D33</f>
        <v/>
      </c>
      <c r="G33" s="191">
        <f>F33+F34</f>
        <v/>
      </c>
      <c r="H33" s="162" t="n"/>
      <c r="I33" s="162" t="n"/>
      <c r="J33" s="160" t="n"/>
      <c r="K33" s="160" t="n"/>
      <c r="L33" s="160" t="n"/>
      <c r="M33" s="160" t="n"/>
      <c r="N33" s="164" t="n"/>
    </row>
    <row r="34" ht="15.75" customHeight="1">
      <c r="A34" s="19" t="n">
        <v>28</v>
      </c>
      <c r="B34" s="20" t="inlineStr">
        <is>
          <t>Night</t>
        </is>
      </c>
      <c r="C34" s="21">
        <f>C33</f>
        <v/>
      </c>
      <c r="D34" s="24">
        <f>E33</f>
        <v/>
      </c>
      <c r="E34" s="24" t="n">
        <v>1701</v>
      </c>
      <c r="F34" s="24">
        <f>E34-D34</f>
        <v/>
      </c>
      <c r="G34" s="192" t="n"/>
      <c r="H34" s="162" t="n"/>
      <c r="I34" s="162" t="n"/>
      <c r="J34" s="160" t="n"/>
      <c r="K34" s="160" t="n"/>
      <c r="L34" s="160" t="n"/>
      <c r="M34" s="160" t="n"/>
      <c r="N34" s="164" t="n"/>
    </row>
    <row r="35" ht="15.75" customHeight="1">
      <c r="A35" s="19" t="n">
        <v>29</v>
      </c>
      <c r="B35" s="20" t="inlineStr">
        <is>
          <t>Day</t>
        </is>
      </c>
      <c r="C35" s="21">
        <f>C33+1</f>
        <v/>
      </c>
      <c r="D35" s="24">
        <f>E34</f>
        <v/>
      </c>
      <c r="E35" s="24" t="n">
        <v>1704</v>
      </c>
      <c r="F35" s="24">
        <f>E35-D35</f>
        <v/>
      </c>
      <c r="G35" s="191">
        <f>F35+F36</f>
        <v/>
      </c>
      <c r="H35" s="162" t="n"/>
      <c r="I35" s="162" t="n"/>
      <c r="J35" s="160" t="n"/>
      <c r="K35" s="160" t="n"/>
      <c r="L35" s="160" t="n"/>
      <c r="M35" s="160" t="n"/>
      <c r="N35" s="164" t="n"/>
    </row>
    <row r="36" ht="15.75" customHeight="1">
      <c r="A36" s="19" t="n">
        <v>30</v>
      </c>
      <c r="B36" s="20" t="inlineStr">
        <is>
          <t>Night</t>
        </is>
      </c>
      <c r="C36" s="21">
        <f>C35</f>
        <v/>
      </c>
      <c r="D36" s="24">
        <f>E35</f>
        <v/>
      </c>
      <c r="E36" s="24" t="n">
        <v>1706</v>
      </c>
      <c r="F36" s="24">
        <f>E36-D36</f>
        <v/>
      </c>
      <c r="G36" s="192" t="n"/>
      <c r="H36" s="162" t="n"/>
      <c r="I36" s="162" t="n"/>
      <c r="J36" s="160" t="n"/>
      <c r="K36" s="160" t="n"/>
      <c r="L36" s="160" t="n"/>
      <c r="M36" s="160" t="n"/>
      <c r="N36" s="164" t="n"/>
    </row>
    <row r="37" ht="15.75" customHeight="1">
      <c r="A37" s="19" t="n">
        <v>31</v>
      </c>
      <c r="B37" s="20" t="inlineStr">
        <is>
          <t>Day</t>
        </is>
      </c>
      <c r="C37" s="21">
        <f>C35+1</f>
        <v/>
      </c>
      <c r="D37" s="24">
        <f>E36</f>
        <v/>
      </c>
      <c r="E37" s="24" t="n">
        <v>1708</v>
      </c>
      <c r="F37" s="24">
        <f>E37-D37</f>
        <v/>
      </c>
      <c r="G37" s="191">
        <f>F37+F38</f>
        <v/>
      </c>
      <c r="H37" s="162" t="n"/>
      <c r="I37" s="162" t="n"/>
      <c r="J37" s="160" t="n"/>
      <c r="K37" s="160" t="n">
        <v>175</v>
      </c>
      <c r="L37" s="160" t="n"/>
      <c r="M37" s="160" t="n"/>
      <c r="N37" s="164" t="n"/>
    </row>
    <row r="38" ht="15.75" customHeight="1">
      <c r="A38" s="19" t="n">
        <v>32</v>
      </c>
      <c r="B38" s="20" t="inlineStr">
        <is>
          <t>Night</t>
        </is>
      </c>
      <c r="C38" s="21">
        <f>C37</f>
        <v/>
      </c>
      <c r="D38" s="24">
        <f>E37</f>
        <v/>
      </c>
      <c r="E38" s="24" t="n">
        <v>1712</v>
      </c>
      <c r="F38" s="24">
        <f>E38-D38</f>
        <v/>
      </c>
      <c r="G38" s="192" t="n"/>
      <c r="H38" s="165" t="n"/>
      <c r="I38" s="165" t="n"/>
      <c r="J38" s="158" t="n"/>
      <c r="K38" s="160" t="n"/>
      <c r="L38" s="158" t="n"/>
      <c r="M38" s="158" t="n"/>
      <c r="N38" s="164" t="n"/>
    </row>
    <row r="39" ht="15.75" customHeight="1">
      <c r="A39" s="19" t="n">
        <v>33</v>
      </c>
      <c r="B39" s="20" t="inlineStr">
        <is>
          <t>Day</t>
        </is>
      </c>
      <c r="C39" s="21">
        <f>C37+1</f>
        <v/>
      </c>
      <c r="D39" s="24">
        <f>E38</f>
        <v/>
      </c>
      <c r="E39" s="24" t="n">
        <v>1713</v>
      </c>
      <c r="F39" s="24">
        <f>E39-D39</f>
        <v/>
      </c>
      <c r="G39" s="191">
        <f>F39+F40</f>
        <v/>
      </c>
      <c r="H39" s="165" t="n"/>
      <c r="I39" s="165" t="n"/>
      <c r="J39" s="158" t="n"/>
      <c r="K39" s="160" t="n"/>
      <c r="L39" s="158" t="n"/>
      <c r="M39" s="158" t="n"/>
      <c r="N39" s="164" t="n"/>
    </row>
    <row r="40" ht="15.75" customHeight="1">
      <c r="A40" s="19" t="n">
        <v>34</v>
      </c>
      <c r="B40" s="20" t="inlineStr">
        <is>
          <t>Night</t>
        </is>
      </c>
      <c r="C40" s="21">
        <f>C39</f>
        <v/>
      </c>
      <c r="D40" s="24">
        <f>E39</f>
        <v/>
      </c>
      <c r="E40" s="24" t="n">
        <v>1715</v>
      </c>
      <c r="F40" s="24">
        <f>E40-D40</f>
        <v/>
      </c>
      <c r="G40" s="192" t="n"/>
      <c r="H40" s="165" t="n"/>
      <c r="I40" s="165" t="n"/>
      <c r="J40" s="158" t="n"/>
      <c r="K40" s="160" t="n"/>
      <c r="L40" s="158" t="n"/>
      <c r="M40" s="158" t="n"/>
      <c r="N40" s="164" t="n"/>
    </row>
    <row r="41" ht="15.75" customHeight="1">
      <c r="A41" s="19" t="n">
        <v>35</v>
      </c>
      <c r="B41" s="20" t="inlineStr">
        <is>
          <t>Day</t>
        </is>
      </c>
      <c r="C41" s="21">
        <f>C39+1</f>
        <v/>
      </c>
      <c r="D41" s="24">
        <f>E40</f>
        <v/>
      </c>
      <c r="E41" s="24" t="n">
        <v>1718</v>
      </c>
      <c r="F41" s="24">
        <f>E41-D41</f>
        <v/>
      </c>
      <c r="G41" s="191">
        <f>F41+F42</f>
        <v/>
      </c>
      <c r="H41" s="165" t="n"/>
      <c r="I41" s="165" t="n"/>
      <c r="J41" s="158" t="n"/>
      <c r="K41" s="160" t="n"/>
      <c r="L41" s="158" t="n"/>
      <c r="M41" s="158" t="n"/>
      <c r="N41" s="164" t="n"/>
    </row>
    <row r="42" ht="15.75" customHeight="1">
      <c r="A42" s="19" t="n">
        <v>36</v>
      </c>
      <c r="B42" s="20" t="inlineStr">
        <is>
          <t>Night</t>
        </is>
      </c>
      <c r="C42" s="21">
        <f>C41</f>
        <v/>
      </c>
      <c r="D42" s="24">
        <f>E41</f>
        <v/>
      </c>
      <c r="E42" s="24" t="n">
        <v>1719</v>
      </c>
      <c r="F42" s="24">
        <f>E42-D42</f>
        <v/>
      </c>
      <c r="G42" s="192" t="n"/>
      <c r="H42" s="165" t="n"/>
      <c r="I42" s="165" t="n"/>
      <c r="J42" s="158" t="n"/>
      <c r="K42" s="160" t="n"/>
      <c r="L42" s="158" t="n"/>
      <c r="M42" s="158" t="n"/>
      <c r="N42" s="164" t="n"/>
    </row>
    <row r="43" ht="15.75" customHeight="1">
      <c r="A43" s="143" t="n">
        <v>37</v>
      </c>
      <c r="B43" s="144" t="inlineStr">
        <is>
          <t>Day</t>
        </is>
      </c>
      <c r="C43" s="88">
        <f>C41+1</f>
        <v/>
      </c>
      <c r="D43" s="89">
        <f>E42</f>
        <v/>
      </c>
      <c r="E43" s="89" t="n">
        <v>1722</v>
      </c>
      <c r="F43" s="89">
        <f>E43-D43</f>
        <v/>
      </c>
      <c r="G43" s="193">
        <f>F43+F44</f>
        <v/>
      </c>
      <c r="H43" s="151" t="n"/>
      <c r="I43" s="151" t="n"/>
      <c r="J43" s="152" t="n"/>
      <c r="K43" s="149" t="n"/>
      <c r="L43" s="152" t="n"/>
      <c r="M43" s="152" t="n"/>
      <c r="N43" s="150" t="inlineStr">
        <is>
          <t>SUNDAY</t>
        </is>
      </c>
    </row>
    <row r="44" ht="15.75" customHeight="1">
      <c r="A44" s="168" t="n">
        <v>38</v>
      </c>
      <c r="B44" s="157" t="inlineStr">
        <is>
          <t>Night</t>
        </is>
      </c>
      <c r="C44" s="88">
        <f>C43</f>
        <v/>
      </c>
      <c r="D44" s="89">
        <f>E43</f>
        <v/>
      </c>
      <c r="E44" s="89" t="n">
        <v>1724</v>
      </c>
      <c r="F44" s="89">
        <f>E44-D44</f>
        <v/>
      </c>
      <c r="G44" s="192" t="n"/>
      <c r="H44" s="151" t="n"/>
      <c r="I44" s="151" t="n"/>
      <c r="J44" s="152" t="n"/>
      <c r="K44" s="149" t="n"/>
      <c r="L44" s="152" t="n"/>
      <c r="M44" s="152" t="n"/>
      <c r="N44" s="150" t="n"/>
    </row>
    <row r="45" ht="15.75" customHeight="1">
      <c r="A45" s="28" t="n">
        <v>39</v>
      </c>
      <c r="B45" s="29" t="inlineStr">
        <is>
          <t>Day</t>
        </is>
      </c>
      <c r="C45" s="21">
        <f>C43+1</f>
        <v/>
      </c>
      <c r="D45" s="24">
        <f>E44</f>
        <v/>
      </c>
      <c r="E45" s="24" t="n">
        <v>1727</v>
      </c>
      <c r="F45" s="24">
        <f>E45-D45</f>
        <v/>
      </c>
      <c r="G45" s="191">
        <f>F45+F46</f>
        <v/>
      </c>
      <c r="H45" s="165" t="n"/>
      <c r="I45" s="165" t="n"/>
      <c r="J45" s="158" t="n"/>
      <c r="K45" s="160" t="n"/>
      <c r="L45" s="158" t="n"/>
      <c r="M45" s="158" t="n"/>
      <c r="N45" s="164" t="n"/>
    </row>
    <row r="46" ht="15.75" customHeight="1">
      <c r="A46" s="28" t="n">
        <v>40</v>
      </c>
      <c r="B46" s="29" t="inlineStr">
        <is>
          <t>Night</t>
        </is>
      </c>
      <c r="C46" s="21">
        <f>C45</f>
        <v/>
      </c>
      <c r="D46" s="24">
        <f>E45</f>
        <v/>
      </c>
      <c r="E46" s="24" t="n">
        <v>1728</v>
      </c>
      <c r="F46" s="24">
        <f>E46-D46</f>
        <v/>
      </c>
      <c r="G46" s="192" t="n"/>
      <c r="H46" s="165" t="n"/>
      <c r="I46" s="165" t="n"/>
      <c r="J46" s="158" t="n"/>
      <c r="K46" s="160" t="n"/>
      <c r="L46" s="158" t="n"/>
      <c r="M46" s="158" t="n"/>
      <c r="N46" s="164" t="n"/>
    </row>
    <row r="47" ht="15.75" customHeight="1">
      <c r="A47" s="30" t="n">
        <v>41</v>
      </c>
      <c r="B47" s="20" t="inlineStr">
        <is>
          <t>Day</t>
        </is>
      </c>
      <c r="C47" s="21">
        <f>C45+1</f>
        <v/>
      </c>
      <c r="D47" s="24">
        <f>E46</f>
        <v/>
      </c>
      <c r="E47" s="24" t="n">
        <v>1732</v>
      </c>
      <c r="F47" s="24">
        <f>E47-D47</f>
        <v/>
      </c>
      <c r="G47" s="191">
        <f>F47+F48</f>
        <v/>
      </c>
      <c r="H47" s="165" t="n"/>
      <c r="I47" s="165" t="n"/>
      <c r="J47" s="158" t="n"/>
      <c r="K47" s="160" t="n"/>
      <c r="L47" s="158" t="n"/>
      <c r="M47" s="158" t="n"/>
      <c r="N47" s="164" t="n"/>
    </row>
    <row r="48" ht="15.75" customHeight="1">
      <c r="A48" s="28" t="n">
        <v>42</v>
      </c>
      <c r="B48" s="20" t="inlineStr">
        <is>
          <t>Night</t>
        </is>
      </c>
      <c r="C48" s="21">
        <f>C47</f>
        <v/>
      </c>
      <c r="D48" s="24">
        <f>E47</f>
        <v/>
      </c>
      <c r="E48" s="24" t="n">
        <v>1736</v>
      </c>
      <c r="F48" s="24">
        <f>E48-D48</f>
        <v/>
      </c>
      <c r="G48" s="192" t="n"/>
      <c r="H48" s="165" t="n"/>
      <c r="I48" s="165" t="n"/>
      <c r="J48" s="158" t="n"/>
      <c r="K48" s="160" t="n"/>
      <c r="L48" s="158" t="n"/>
      <c r="M48" s="158" t="n"/>
      <c r="N48" s="164" t="n"/>
    </row>
    <row r="49" ht="15.75" customHeight="1">
      <c r="A49" s="28" t="n">
        <v>43</v>
      </c>
      <c r="B49" s="20" t="inlineStr">
        <is>
          <t>Day</t>
        </is>
      </c>
      <c r="C49" s="21">
        <f>C47+1</f>
        <v/>
      </c>
      <c r="D49" s="24">
        <f>E48</f>
        <v/>
      </c>
      <c r="E49" s="24" t="n">
        <v>1737</v>
      </c>
      <c r="F49" s="24">
        <f>E49-D49</f>
        <v/>
      </c>
      <c r="G49" s="191">
        <f>F49+F50</f>
        <v/>
      </c>
      <c r="H49" s="165" t="n"/>
      <c r="I49" s="165" t="n"/>
      <c r="J49" s="158" t="n"/>
      <c r="K49" s="160" t="n">
        <v>65</v>
      </c>
      <c r="L49" s="158" t="n"/>
      <c r="M49" s="158" t="n"/>
      <c r="N49" s="164" t="n"/>
    </row>
    <row r="50" ht="15.75" customHeight="1">
      <c r="A50" s="28" t="n">
        <v>44</v>
      </c>
      <c r="B50" s="20" t="inlineStr">
        <is>
          <t>Night</t>
        </is>
      </c>
      <c r="C50" s="21">
        <f>C49</f>
        <v/>
      </c>
      <c r="D50" s="24">
        <f>E49</f>
        <v/>
      </c>
      <c r="E50" s="24" t="n">
        <v>1737</v>
      </c>
      <c r="F50" s="24">
        <f>E50-D50</f>
        <v/>
      </c>
      <c r="G50" s="192" t="n"/>
      <c r="H50" s="165" t="n"/>
      <c r="I50" s="165" t="n"/>
      <c r="J50" s="158" t="n"/>
      <c r="K50" s="160" t="n"/>
      <c r="L50" s="158" t="n"/>
      <c r="M50" s="158" t="n"/>
      <c r="N50" s="164" t="n"/>
    </row>
    <row r="51" ht="15.75" customHeight="1">
      <c r="A51" s="28" t="n">
        <v>45</v>
      </c>
      <c r="B51" s="20" t="inlineStr">
        <is>
          <t>Day</t>
        </is>
      </c>
      <c r="C51" s="21">
        <f>C49+1</f>
        <v/>
      </c>
      <c r="D51" s="24">
        <f>E50</f>
        <v/>
      </c>
      <c r="E51" s="24" t="n">
        <v>1739</v>
      </c>
      <c r="F51" s="24">
        <f>E51-D51</f>
        <v/>
      </c>
      <c r="G51" s="191">
        <f>F51+F52</f>
        <v/>
      </c>
      <c r="H51" s="165" t="n"/>
      <c r="I51" s="165" t="n"/>
      <c r="J51" s="158" t="n"/>
      <c r="K51" s="160" t="n"/>
      <c r="L51" s="158" t="n"/>
      <c r="M51" s="158" t="n"/>
      <c r="N51" s="164" t="n"/>
    </row>
    <row r="52" ht="15.75" customHeight="1">
      <c r="A52" s="28" t="n">
        <v>46</v>
      </c>
      <c r="B52" s="20" t="inlineStr">
        <is>
          <t>Night</t>
        </is>
      </c>
      <c r="C52" s="21">
        <f>C51</f>
        <v/>
      </c>
      <c r="D52" s="24">
        <f>E51</f>
        <v/>
      </c>
      <c r="E52" s="24" t="n">
        <v>1739</v>
      </c>
      <c r="F52" s="24">
        <f>E52-D52</f>
        <v/>
      </c>
      <c r="G52" s="192" t="n"/>
      <c r="H52" s="165" t="n"/>
      <c r="I52" s="165" t="n"/>
      <c r="J52" s="158" t="n"/>
      <c r="K52" s="160" t="n"/>
      <c r="L52" s="158" t="n"/>
      <c r="M52" s="158" t="n"/>
      <c r="N52" s="164" t="n"/>
    </row>
    <row r="53" ht="15.75" customHeight="1">
      <c r="A53" s="28" t="n">
        <v>47</v>
      </c>
      <c r="B53" s="20" t="inlineStr">
        <is>
          <t>Day</t>
        </is>
      </c>
      <c r="C53" s="21">
        <f>C51+1</f>
        <v/>
      </c>
      <c r="D53" s="24">
        <f>E52</f>
        <v/>
      </c>
      <c r="E53" s="24" t="n">
        <v>1739</v>
      </c>
      <c r="F53" s="24">
        <f>E53-D53</f>
        <v/>
      </c>
      <c r="G53" s="191">
        <f>F53+F54</f>
        <v/>
      </c>
      <c r="H53" s="165" t="n"/>
      <c r="I53" s="165" t="n"/>
      <c r="J53" s="158" t="n"/>
      <c r="K53" s="160" t="n"/>
      <c r="L53" s="158" t="n"/>
      <c r="M53" s="158" t="n"/>
      <c r="N53" s="164" t="n"/>
    </row>
    <row r="54" ht="15.75" customHeight="1">
      <c r="A54" s="28" t="n">
        <v>48</v>
      </c>
      <c r="B54" s="20" t="inlineStr">
        <is>
          <t>Night</t>
        </is>
      </c>
      <c r="C54" s="21">
        <f>C53</f>
        <v/>
      </c>
      <c r="D54" s="24">
        <f>E53</f>
        <v/>
      </c>
      <c r="E54" s="24" t="n">
        <v>1739</v>
      </c>
      <c r="F54" s="24">
        <f>E54-D54</f>
        <v/>
      </c>
      <c r="G54" s="192" t="n"/>
      <c r="H54" s="165" t="n"/>
      <c r="I54" s="165" t="n"/>
      <c r="J54" s="158" t="n"/>
      <c r="K54" s="160" t="n"/>
      <c r="L54" s="158" t="n"/>
      <c r="M54" s="158" t="n"/>
      <c r="N54" s="164" t="n"/>
    </row>
    <row r="55" ht="15.75" customHeight="1">
      <c r="A55" s="28" t="n">
        <v>49</v>
      </c>
      <c r="B55" s="20" t="inlineStr">
        <is>
          <t>Day</t>
        </is>
      </c>
      <c r="C55" s="21">
        <f>C53+1</f>
        <v/>
      </c>
      <c r="D55" s="24">
        <f>E54</f>
        <v/>
      </c>
      <c r="E55" s="24" t="n">
        <v>1739</v>
      </c>
      <c r="F55" s="24">
        <f>E55-D55</f>
        <v/>
      </c>
      <c r="G55" s="191">
        <f>F55+F56</f>
        <v/>
      </c>
      <c r="H55" s="165" t="n"/>
      <c r="I55" s="165" t="n"/>
      <c r="J55" s="158" t="n"/>
      <c r="K55" s="160" t="n"/>
      <c r="L55" s="158" t="n"/>
      <c r="M55" s="158" t="n"/>
      <c r="N55" s="164" t="n"/>
    </row>
    <row r="56" ht="15.75" customHeight="1">
      <c r="A56" s="28" t="n">
        <v>50</v>
      </c>
      <c r="B56" s="20" t="inlineStr">
        <is>
          <t>Night</t>
        </is>
      </c>
      <c r="C56" s="21">
        <f>C55</f>
        <v/>
      </c>
      <c r="D56" s="24">
        <f>E55</f>
        <v/>
      </c>
      <c r="E56" s="24" t="n">
        <v>1739</v>
      </c>
      <c r="F56" s="24">
        <f>E56-D56</f>
        <v/>
      </c>
      <c r="G56" s="192" t="n"/>
      <c r="H56" s="165" t="n"/>
      <c r="I56" s="165" t="n"/>
      <c r="J56" s="158" t="n"/>
      <c r="K56" s="160" t="n"/>
      <c r="L56" s="158" t="n"/>
      <c r="M56" s="158" t="n"/>
      <c r="N56" s="164" t="n"/>
    </row>
    <row r="57" ht="15.75" customHeight="1">
      <c r="A57" s="154" t="n">
        <v>51</v>
      </c>
      <c r="B57" s="144" t="inlineStr">
        <is>
          <t>Day</t>
        </is>
      </c>
      <c r="C57" s="88">
        <f>C55+1</f>
        <v/>
      </c>
      <c r="D57" s="89">
        <f>E56</f>
        <v/>
      </c>
      <c r="E57" s="89" t="n">
        <v>1739</v>
      </c>
      <c r="F57" s="89">
        <f>E57-D57</f>
        <v/>
      </c>
      <c r="G57" s="193">
        <f>F57+F58</f>
        <v/>
      </c>
      <c r="H57" s="151" t="n"/>
      <c r="I57" s="151" t="n"/>
      <c r="J57" s="152" t="n"/>
      <c r="K57" s="149" t="n"/>
      <c r="L57" s="152" t="n"/>
      <c r="M57" s="152" t="n"/>
      <c r="N57" s="150" t="inlineStr">
        <is>
          <t>SUNDAY</t>
        </is>
      </c>
    </row>
    <row r="58" ht="15.75" customHeight="1">
      <c r="A58" s="154" t="n">
        <v>52</v>
      </c>
      <c r="B58" s="144" t="inlineStr">
        <is>
          <t>Night</t>
        </is>
      </c>
      <c r="C58" s="88">
        <f>C57</f>
        <v/>
      </c>
      <c r="D58" s="89">
        <f>E57</f>
        <v/>
      </c>
      <c r="E58" s="89" t="n">
        <v>1739</v>
      </c>
      <c r="F58" s="89">
        <f>E58-D58</f>
        <v/>
      </c>
      <c r="G58" s="192" t="n"/>
      <c r="H58" s="151" t="n"/>
      <c r="I58" s="151" t="n"/>
      <c r="J58" s="152" t="n"/>
      <c r="K58" s="149" t="n"/>
      <c r="L58" s="152" t="n"/>
      <c r="M58" s="152" t="n"/>
      <c r="N58" s="150" t="n"/>
    </row>
    <row r="59" ht="15.75" customHeight="1">
      <c r="A59" s="28" t="n">
        <v>53</v>
      </c>
      <c r="B59" s="20" t="inlineStr">
        <is>
          <t>Day</t>
        </is>
      </c>
      <c r="C59" s="21">
        <f>C57+1</f>
        <v/>
      </c>
      <c r="D59" s="24">
        <f>E58</f>
        <v/>
      </c>
      <c r="E59" s="24" t="n">
        <v>1739</v>
      </c>
      <c r="F59" s="24">
        <f>E59-D59</f>
        <v/>
      </c>
      <c r="G59" s="191">
        <f>F59+F60</f>
        <v/>
      </c>
      <c r="H59" s="165" t="n"/>
      <c r="I59" s="165" t="n"/>
      <c r="J59" s="158" t="n"/>
      <c r="K59" s="160" t="n"/>
      <c r="L59" s="158" t="n"/>
      <c r="M59" s="158" t="n"/>
      <c r="N59" s="164" t="n"/>
    </row>
    <row r="60" ht="15.75" customHeight="1">
      <c r="A60" s="28" t="n">
        <v>54</v>
      </c>
      <c r="B60" s="20" t="inlineStr">
        <is>
          <t>Night</t>
        </is>
      </c>
      <c r="C60" s="21">
        <f>C59</f>
        <v/>
      </c>
      <c r="D60" s="24">
        <f>E59</f>
        <v/>
      </c>
      <c r="E60" s="24" t="n">
        <v>1739</v>
      </c>
      <c r="F60" s="24">
        <f>E60-D60</f>
        <v/>
      </c>
      <c r="G60" s="192" t="n"/>
      <c r="H60" s="165" t="n"/>
      <c r="I60" s="165" t="n"/>
      <c r="J60" s="158" t="n"/>
      <c r="K60" s="160" t="n"/>
      <c r="L60" s="158" t="n"/>
      <c r="M60" s="158" t="n"/>
      <c r="N60" s="164" t="n"/>
    </row>
    <row r="61" ht="15.75" customHeight="1">
      <c r="A61" s="28" t="n">
        <v>55</v>
      </c>
      <c r="B61" s="20" t="inlineStr">
        <is>
          <t>Day</t>
        </is>
      </c>
      <c r="C61" s="21">
        <f>C59+1</f>
        <v/>
      </c>
      <c r="D61" s="24">
        <f>E60</f>
        <v/>
      </c>
      <c r="E61" s="24" t="n">
        <v>1739</v>
      </c>
      <c r="F61" s="24">
        <f>E61-D61</f>
        <v/>
      </c>
      <c r="G61" s="191">
        <f>F61+F62</f>
        <v/>
      </c>
      <c r="H61" s="165" t="n"/>
      <c r="I61" s="165" t="n"/>
      <c r="J61" s="158" t="n"/>
      <c r="K61" s="160" t="n"/>
      <c r="L61" s="158" t="n"/>
      <c r="M61" s="158" t="n"/>
      <c r="N61" s="164" t="n"/>
    </row>
    <row r="62" ht="15.75" customHeight="1">
      <c r="A62" s="28" t="n">
        <v>56</v>
      </c>
      <c r="B62" s="20" t="inlineStr">
        <is>
          <t>Night</t>
        </is>
      </c>
      <c r="C62" s="21">
        <f>C61</f>
        <v/>
      </c>
      <c r="D62" s="24">
        <f>E61</f>
        <v/>
      </c>
      <c r="E62" s="24" t="n">
        <v>1739</v>
      </c>
      <c r="F62" s="24">
        <f>E62-D62</f>
        <v/>
      </c>
      <c r="G62" s="192" t="n"/>
      <c r="H62" s="165" t="n"/>
      <c r="I62" s="165" t="n"/>
      <c r="J62" s="158" t="n"/>
      <c r="K62" s="160" t="n"/>
      <c r="L62" s="158" t="n"/>
      <c r="M62" s="158" t="n"/>
      <c r="N62" s="164" t="n"/>
    </row>
    <row r="63" ht="15.75" customHeight="1">
      <c r="A63" s="28" t="n">
        <v>57</v>
      </c>
      <c r="B63" s="20" t="inlineStr">
        <is>
          <t>Day</t>
        </is>
      </c>
      <c r="C63" s="21">
        <f>C61+1</f>
        <v/>
      </c>
      <c r="D63" s="24">
        <f>E62</f>
        <v/>
      </c>
      <c r="E63" s="24" t="n">
        <v>1739</v>
      </c>
      <c r="F63" s="24">
        <f>E63-D63</f>
        <v/>
      </c>
      <c r="G63" s="191">
        <f>F63+F64</f>
        <v/>
      </c>
      <c r="H63" s="165" t="n"/>
      <c r="I63" s="165" t="n"/>
      <c r="J63" s="158" t="n"/>
      <c r="K63" s="160" t="n"/>
      <c r="L63" s="158" t="n"/>
      <c r="M63" s="158" t="n"/>
      <c r="N63" s="164" t="n"/>
    </row>
    <row r="64" ht="15.75" customHeight="1">
      <c r="A64" s="28" t="n">
        <v>58</v>
      </c>
      <c r="B64" s="20" t="inlineStr">
        <is>
          <t>Night</t>
        </is>
      </c>
      <c r="C64" s="21">
        <f>C63</f>
        <v/>
      </c>
      <c r="D64" s="24">
        <f>E63</f>
        <v/>
      </c>
      <c r="E64" s="24" t="n">
        <v>1739</v>
      </c>
      <c r="F64" s="24">
        <f>E64-D64</f>
        <v/>
      </c>
      <c r="G64" s="192" t="n"/>
      <c r="H64" s="165" t="n"/>
      <c r="I64" s="165" t="n"/>
      <c r="J64" s="158" t="n"/>
      <c r="K64" s="160" t="n"/>
      <c r="L64" s="158" t="n"/>
      <c r="M64" s="158" t="n"/>
      <c r="N64" s="161" t="n"/>
    </row>
    <row r="65" ht="15.75" customHeight="1">
      <c r="A65" s="28" t="n">
        <v>59</v>
      </c>
      <c r="B65" s="27" t="inlineStr">
        <is>
          <t>Day</t>
        </is>
      </c>
      <c r="C65" s="21">
        <f>C63+1</f>
        <v/>
      </c>
      <c r="D65" s="24">
        <f>E64</f>
        <v/>
      </c>
      <c r="E65" s="24" t="n">
        <v>1743</v>
      </c>
      <c r="F65" s="24">
        <f>E65-D65</f>
        <v/>
      </c>
      <c r="G65" s="191">
        <f>F65+F66</f>
        <v/>
      </c>
      <c r="H65" s="165" t="n"/>
      <c r="I65" s="165" t="n"/>
      <c r="J65" s="158" t="n"/>
      <c r="K65" s="160" t="n"/>
      <c r="L65" s="158" t="n"/>
      <c r="M65" s="158" t="n"/>
      <c r="N65" s="161" t="n"/>
    </row>
    <row r="66" ht="15.75" customHeight="1">
      <c r="A66" s="31" t="n">
        <v>60</v>
      </c>
      <c r="B66" s="29" t="inlineStr">
        <is>
          <t>Night</t>
        </is>
      </c>
      <c r="C66" s="21">
        <f>C64+1</f>
        <v/>
      </c>
      <c r="D66" s="24">
        <f>E65</f>
        <v/>
      </c>
      <c r="E66" s="24" t="n">
        <v>1743</v>
      </c>
      <c r="F66" s="24">
        <f>E66-D66</f>
        <v/>
      </c>
      <c r="G66" s="192" t="n"/>
      <c r="H66" s="165" t="n"/>
      <c r="I66" s="165" t="n"/>
      <c r="J66" s="158" t="n"/>
      <c r="K66" s="158" t="n"/>
      <c r="L66" s="158" t="n"/>
      <c r="M66" s="158" t="n"/>
      <c r="N66" s="161" t="n"/>
    </row>
    <row r="67" ht="15.75" customHeight="1">
      <c r="A67" s="28" t="n">
        <v>61</v>
      </c>
      <c r="B67" s="27" t="inlineStr">
        <is>
          <t>Day</t>
        </is>
      </c>
      <c r="C67" s="21">
        <f>C65+1</f>
        <v/>
      </c>
      <c r="D67" s="24">
        <f>E66</f>
        <v/>
      </c>
      <c r="E67" s="24" t="n">
        <v>1745</v>
      </c>
      <c r="F67" s="24">
        <f>E67-D67</f>
        <v/>
      </c>
      <c r="G67" s="191">
        <f>F67+F68</f>
        <v/>
      </c>
      <c r="H67" s="165" t="n"/>
      <c r="I67" s="165" t="n"/>
      <c r="J67" s="158" t="n"/>
      <c r="K67" s="160" t="n"/>
      <c r="L67" s="158" t="n"/>
      <c r="M67" s="158" t="n"/>
      <c r="N67" s="161" t="n"/>
    </row>
    <row r="68" ht="16.5" customHeight="1" thickBot="1">
      <c r="A68" s="31" t="n">
        <v>62</v>
      </c>
      <c r="B68" s="29" t="inlineStr">
        <is>
          <t>Night</t>
        </is>
      </c>
      <c r="C68" s="21">
        <f>C66+1</f>
        <v/>
      </c>
      <c r="D68" s="24">
        <f>E67</f>
        <v/>
      </c>
      <c r="E68" s="24" t="n">
        <v>1745</v>
      </c>
      <c r="F68" s="24">
        <f>E68-D68</f>
        <v/>
      </c>
      <c r="G68" s="192" t="n"/>
      <c r="H68" s="165" t="n"/>
      <c r="I68" s="165" t="n"/>
      <c r="J68" s="158" t="n"/>
      <c r="K68" s="158" t="n"/>
      <c r="L68" s="158" t="n"/>
      <c r="M68" s="158" t="n"/>
      <c r="N68" s="161" t="n"/>
    </row>
    <row r="69" ht="16.5" customHeight="1" thickBot="1">
      <c r="A69" s="207" t="inlineStr">
        <is>
          <t>Total</t>
        </is>
      </c>
      <c r="B69" s="208" t="n"/>
      <c r="C69" s="208" t="n"/>
      <c r="D69" s="208" t="n"/>
      <c r="E69" s="209" t="n"/>
      <c r="F69" s="32">
        <f>SUBTOTAL(9,F7:F68)</f>
        <v/>
      </c>
      <c r="G69" s="32">
        <f>SUBTOTAL(9,G7:G68)</f>
        <v/>
      </c>
      <c r="H69" s="34" t="n"/>
      <c r="I69" s="35" t="n"/>
      <c r="J69" s="36" t="n"/>
      <c r="K69" s="32">
        <f>SUBTOTAL(9,K7:K68)</f>
        <v/>
      </c>
      <c r="L69" s="36" t="n"/>
      <c r="M69" s="36" t="n"/>
      <c r="N69" s="37" t="n"/>
    </row>
    <row r="71" ht="15.75" customHeight="1">
      <c r="A71" t="inlineStr">
        <is>
          <t>Monthly rate</t>
        </is>
      </c>
      <c r="C71" t="n">
        <v>260000</v>
      </c>
      <c r="E71" s="195" t="inlineStr">
        <is>
          <t>Max hsd as per loi(5-6)</t>
        </is>
      </c>
      <c r="F71" s="189" t="n"/>
      <c r="G71" s="190" t="n"/>
      <c r="H71" s="195">
        <f>G69*6</f>
        <v/>
      </c>
    </row>
    <row r="72" ht="15.75" customHeight="1">
      <c r="A72" t="inlineStr">
        <is>
          <t>Per Day Rate/31</t>
        </is>
      </c>
      <c r="C72" s="167">
        <f>C71/31</f>
        <v/>
      </c>
      <c r="E72" s="195" t="inlineStr">
        <is>
          <t>Actual diesel cosumption</t>
        </is>
      </c>
      <c r="F72" s="189" t="n"/>
      <c r="G72" s="190" t="n"/>
      <c r="H72" s="140">
        <f>K69</f>
        <v/>
      </c>
    </row>
    <row r="73" ht="15.75" customHeight="1">
      <c r="A73" t="inlineStr">
        <is>
          <t>31 Days Bill Amount</t>
        </is>
      </c>
      <c r="C73" t="n">
        <v>260000</v>
      </c>
      <c r="E73" s="195" t="inlineStr">
        <is>
          <t>Fuel ecxess</t>
        </is>
      </c>
      <c r="F73" s="189" t="n"/>
      <c r="G73" s="190" t="n"/>
      <c r="H73" s="140">
        <f>H72-H71</f>
        <v/>
      </c>
    </row>
  </sheetData>
  <mergeCells count="45">
    <mergeCell ref="A5:D5"/>
    <mergeCell ref="G67:G68"/>
    <mergeCell ref="G43:G44"/>
    <mergeCell ref="G23:G24"/>
    <mergeCell ref="G17:G18"/>
    <mergeCell ref="G57:G58"/>
    <mergeCell ref="G61:G62"/>
    <mergeCell ref="A4:D4"/>
    <mergeCell ref="G13:G14"/>
    <mergeCell ref="G7:G8"/>
    <mergeCell ref="G39:G40"/>
    <mergeCell ref="G19:G20"/>
    <mergeCell ref="A69:E69"/>
    <mergeCell ref="G53:G54"/>
    <mergeCell ref="G65:G66"/>
    <mergeCell ref="E3:N3"/>
    <mergeCell ref="G37:G38"/>
    <mergeCell ref="G15:G16"/>
    <mergeCell ref="G55:G56"/>
    <mergeCell ref="G49:G50"/>
    <mergeCell ref="G29:G30"/>
    <mergeCell ref="A1:D1"/>
    <mergeCell ref="E72:G72"/>
    <mergeCell ref="E5:N5"/>
    <mergeCell ref="G63:G64"/>
    <mergeCell ref="G33:G34"/>
    <mergeCell ref="G51:G52"/>
    <mergeCell ref="E4:N4"/>
    <mergeCell ref="G45:G46"/>
    <mergeCell ref="G25:G26"/>
    <mergeCell ref="G41:G42"/>
    <mergeCell ref="G59:G60"/>
    <mergeCell ref="G35:G36"/>
    <mergeCell ref="E1:N1"/>
    <mergeCell ref="E71:G71"/>
    <mergeCell ref="G9:G10"/>
    <mergeCell ref="G27:G28"/>
    <mergeCell ref="G47:G48"/>
    <mergeCell ref="A3:D3"/>
    <mergeCell ref="G21:G22"/>
    <mergeCell ref="E73:G73"/>
    <mergeCell ref="A2:D2"/>
    <mergeCell ref="G31:G32"/>
    <mergeCell ref="G11:G12"/>
    <mergeCell ref="E2:N2"/>
  </mergeCells>
  <pageMargins left="0.37" right="0.7" top="0.33" bottom="0.75" header="0.3" footer="0.3"/>
  <pageSetup orientation="portrait" scale="6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E2" sqref="E2:N2"/>
    </sheetView>
  </sheetViews>
  <sheetFormatPr baseColWidth="8" defaultRowHeight="15"/>
  <sheetData>
    <row r="1" ht="18.75" customHeight="1">
      <c r="A1" s="194" t="inlineStr">
        <is>
          <t xml:space="preserve">Vendor Description  </t>
        </is>
      </c>
      <c r="B1" s="189" t="n"/>
      <c r="C1" s="189" t="n"/>
      <c r="D1" s="190" t="n"/>
      <c r="E1" s="204" t="inlineStr">
        <is>
          <t>EKTA ENTERPRISES</t>
        </is>
      </c>
      <c r="F1" s="205" t="n"/>
      <c r="G1" s="205" t="n"/>
      <c r="H1" s="205" t="n"/>
      <c r="I1" s="205" t="n"/>
      <c r="J1" s="205" t="n"/>
      <c r="K1" s="205" t="n"/>
      <c r="L1" s="205" t="n"/>
      <c r="M1" s="205" t="n"/>
      <c r="N1" s="206" t="n"/>
    </row>
    <row r="2" ht="18.75" customHeight="1">
      <c r="A2" s="194" t="inlineStr">
        <is>
          <t xml:space="preserve">Asset  Discription  </t>
        </is>
      </c>
      <c r="B2" s="189" t="n"/>
      <c r="C2" s="189" t="n"/>
      <c r="D2" s="190" t="n"/>
      <c r="E2" s="197" t="inlineStr">
        <is>
          <t xml:space="preserve">XCMG Crawler CRANE </t>
        </is>
      </c>
      <c r="F2" s="198" t="n"/>
      <c r="G2" s="198" t="n"/>
      <c r="H2" s="198" t="n"/>
      <c r="I2" s="198" t="n"/>
      <c r="J2" s="198" t="n"/>
      <c r="K2" s="198" t="n"/>
      <c r="L2" s="198" t="n"/>
      <c r="M2" s="198" t="n"/>
      <c r="N2" s="199" t="n"/>
    </row>
    <row r="3" ht="18.75" customHeight="1">
      <c r="A3" s="194" t="inlineStr">
        <is>
          <t xml:space="preserve">Asset  Capacity  </t>
        </is>
      </c>
      <c r="B3" s="189" t="n"/>
      <c r="C3" s="189" t="n"/>
      <c r="D3" s="190" t="n"/>
      <c r="E3" s="197" t="inlineStr">
        <is>
          <t>45 Ton</t>
        </is>
      </c>
      <c r="F3" s="198" t="n"/>
      <c r="G3" s="198" t="n"/>
      <c r="H3" s="198" t="n"/>
      <c r="I3" s="198" t="n"/>
      <c r="J3" s="198" t="n"/>
      <c r="K3" s="198" t="n"/>
      <c r="L3" s="198" t="n"/>
      <c r="M3" s="198" t="n"/>
      <c r="N3" s="199" t="n"/>
    </row>
    <row r="4" ht="18.75" customHeight="1">
      <c r="A4" s="194" t="inlineStr">
        <is>
          <t xml:space="preserve">Billing Period  </t>
        </is>
      </c>
      <c r="B4" s="189" t="n"/>
      <c r="C4" s="189" t="n"/>
      <c r="D4" s="190" t="n"/>
      <c r="E4" s="203" t="inlineStr">
        <is>
          <t>01-08-2026 TO 31-08-2026</t>
        </is>
      </c>
      <c r="F4" s="198" t="n"/>
      <c r="G4" s="198" t="n"/>
      <c r="H4" s="198" t="n"/>
      <c r="I4" s="198" t="n"/>
      <c r="J4" s="198" t="n"/>
      <c r="K4" s="198" t="n"/>
      <c r="L4" s="198" t="n"/>
      <c r="M4" s="198" t="n"/>
      <c r="N4" s="199" t="n"/>
    </row>
    <row r="5" ht="18.75" customHeight="1" thickBot="1">
      <c r="A5" s="188" t="inlineStr">
        <is>
          <t>COMPANY  NAME</t>
        </is>
      </c>
      <c r="B5" s="189" t="n"/>
      <c r="C5" s="189" t="n"/>
      <c r="D5" s="190" t="n"/>
      <c r="E5" s="200" t="inlineStr">
        <is>
          <t>Hindustan Infrastructure solution Ahemdabaad</t>
        </is>
      </c>
      <c r="F5" s="201" t="n"/>
      <c r="G5" s="201" t="n"/>
      <c r="H5" s="201" t="n"/>
      <c r="I5" s="201" t="n"/>
      <c r="J5" s="201" t="n"/>
      <c r="K5" s="201" t="n"/>
      <c r="L5" s="201" t="n"/>
      <c r="M5" s="201" t="n"/>
      <c r="N5" s="202" t="n"/>
    </row>
    <row r="6" ht="39" customHeight="1" thickBot="1">
      <c r="A6" s="131" t="inlineStr">
        <is>
          <t>SR. NO.</t>
        </is>
      </c>
      <c r="B6" s="131" t="inlineStr">
        <is>
          <t>Shift</t>
        </is>
      </c>
      <c r="C6" s="132" t="inlineStr">
        <is>
          <t>Date</t>
        </is>
      </c>
      <c r="D6" s="132" t="inlineStr">
        <is>
          <t>Starting HMR</t>
        </is>
      </c>
      <c r="E6" s="17" t="inlineStr">
        <is>
          <t>Closing    HMR</t>
        </is>
      </c>
      <c r="F6" s="38" t="inlineStr">
        <is>
          <t>HMR</t>
        </is>
      </c>
      <c r="G6" s="18" t="inlineStr">
        <is>
          <t>Normal  Shift
Hours</t>
        </is>
      </c>
      <c r="H6" s="3" t="inlineStr">
        <is>
          <t>BD Start</t>
        </is>
      </c>
      <c r="I6" s="4" t="inlineStr">
        <is>
          <t>BD End</t>
        </is>
      </c>
      <c r="J6" s="2" t="inlineStr">
        <is>
          <t>Total B/D</t>
        </is>
      </c>
      <c r="K6" s="5" t="inlineStr">
        <is>
          <t>Diesel  issued</t>
        </is>
      </c>
      <c r="L6" s="2" t="inlineStr">
        <is>
          <t>Diesel HMR</t>
        </is>
      </c>
      <c r="M6" s="2" t="inlineStr">
        <is>
          <t>Hours</t>
        </is>
      </c>
      <c r="N6" s="2" t="inlineStr">
        <is>
          <t>Remark</t>
        </is>
      </c>
    </row>
    <row r="7" ht="15.75" customHeight="1">
      <c r="A7" s="19" t="n">
        <v>1</v>
      </c>
      <c r="B7" s="20" t="inlineStr">
        <is>
          <t>Day</t>
        </is>
      </c>
      <c r="C7" s="21" t="n">
        <v>46235</v>
      </c>
      <c r="D7" s="24" t="n">
        <v>1745</v>
      </c>
      <c r="E7" s="23" t="n">
        <v>1745</v>
      </c>
      <c r="F7" s="24">
        <f>E7-D7</f>
        <v/>
      </c>
      <c r="G7" s="196">
        <f>F7+F8</f>
        <v/>
      </c>
      <c r="H7" s="6" t="n"/>
      <c r="I7" s="6" t="n"/>
      <c r="J7" s="6" t="n"/>
      <c r="K7" s="6" t="n"/>
      <c r="L7" s="158" t="n"/>
      <c r="M7" s="8" t="n"/>
      <c r="N7" s="9" t="n"/>
    </row>
    <row r="8" ht="15.75" customHeight="1">
      <c r="A8" s="19" t="n">
        <v>2</v>
      </c>
      <c r="B8" s="20" t="inlineStr">
        <is>
          <t>Night</t>
        </is>
      </c>
      <c r="C8" s="21">
        <f>C7</f>
        <v/>
      </c>
      <c r="D8" s="22">
        <f>E7</f>
        <v/>
      </c>
      <c r="E8" s="23" t="n">
        <v>1745</v>
      </c>
      <c r="F8" s="24">
        <f>E8-D8</f>
        <v/>
      </c>
      <c r="G8" s="192" t="n"/>
      <c r="H8" s="159" t="n"/>
      <c r="I8" s="159" t="n"/>
      <c r="J8" s="160" t="n"/>
      <c r="K8" s="160" t="n"/>
      <c r="L8" s="158" t="n"/>
      <c r="M8" s="158" t="n"/>
      <c r="N8" s="161" t="n"/>
    </row>
    <row r="9" ht="15.75" customHeight="1">
      <c r="A9" s="143" t="n">
        <v>3</v>
      </c>
      <c r="B9" s="144" t="inlineStr">
        <is>
          <t>Day</t>
        </is>
      </c>
      <c r="C9" s="88">
        <f>C7+1</f>
        <v/>
      </c>
      <c r="D9" s="145">
        <f>E8</f>
        <v/>
      </c>
      <c r="E9" s="146" t="n">
        <v>1745</v>
      </c>
      <c r="F9" s="89">
        <f>E9-D9</f>
        <v/>
      </c>
      <c r="G9" s="193">
        <f>F9+F10</f>
        <v/>
      </c>
      <c r="H9" s="147" t="n"/>
      <c r="I9" s="147" t="n"/>
      <c r="J9" s="149" t="n"/>
      <c r="K9" s="149" t="n"/>
      <c r="L9" s="149" t="n"/>
      <c r="M9" s="149" t="n"/>
      <c r="N9" s="153" t="inlineStr">
        <is>
          <t>Sunday</t>
        </is>
      </c>
    </row>
    <row r="10" ht="15.75" customHeight="1">
      <c r="A10" s="143" t="n">
        <v>4</v>
      </c>
      <c r="B10" s="144" t="inlineStr">
        <is>
          <t>Night</t>
        </is>
      </c>
      <c r="C10" s="88">
        <f>C9</f>
        <v/>
      </c>
      <c r="D10" s="145">
        <f>E9</f>
        <v/>
      </c>
      <c r="E10" s="146" t="n">
        <v>1745</v>
      </c>
      <c r="F10" s="89">
        <f>E10-D10</f>
        <v/>
      </c>
      <c r="G10" s="192" t="n"/>
      <c r="H10" s="147" t="n"/>
      <c r="I10" s="147" t="n"/>
      <c r="J10" s="149" t="n"/>
      <c r="K10" s="149" t="n"/>
      <c r="L10" s="149" t="n"/>
      <c r="M10" s="149" t="n"/>
      <c r="N10" s="153" t="n"/>
    </row>
    <row r="11" ht="15.75" customHeight="1">
      <c r="A11" s="19" t="n">
        <v>5</v>
      </c>
      <c r="B11" s="20" t="inlineStr">
        <is>
          <t>Day</t>
        </is>
      </c>
      <c r="C11" s="21">
        <f>C9+1</f>
        <v/>
      </c>
      <c r="D11" s="22">
        <f>E10</f>
        <v/>
      </c>
      <c r="E11" s="23" t="n">
        <v>1745</v>
      </c>
      <c r="F11" s="24">
        <f>E11-D11</f>
        <v/>
      </c>
      <c r="G11" s="191">
        <f>F11+F12</f>
        <v/>
      </c>
      <c r="H11" s="162" t="n"/>
      <c r="I11" s="162" t="n"/>
      <c r="J11" s="163" t="n"/>
      <c r="K11" s="160" t="n"/>
      <c r="L11" s="160" t="n"/>
      <c r="M11" s="160" t="n"/>
      <c r="N11" s="164" t="n"/>
    </row>
    <row r="12" ht="15.75" customHeight="1">
      <c r="A12" s="19" t="n">
        <v>6</v>
      </c>
      <c r="B12" s="20" t="inlineStr">
        <is>
          <t>Night</t>
        </is>
      </c>
      <c r="C12" s="21">
        <f>C11</f>
        <v/>
      </c>
      <c r="D12" s="22">
        <f>E11</f>
        <v/>
      </c>
      <c r="E12" s="23" t="n">
        <v>1745</v>
      </c>
      <c r="F12" s="24">
        <f>E12-D12</f>
        <v/>
      </c>
      <c r="G12" s="192" t="n"/>
      <c r="H12" s="162" t="n"/>
      <c r="I12" s="162" t="n"/>
      <c r="J12" s="160" t="n"/>
      <c r="K12" s="160" t="n"/>
      <c r="L12" s="160" t="n"/>
      <c r="M12" s="160" t="n"/>
      <c r="N12" s="164" t="n"/>
    </row>
    <row r="13" ht="15.75" customHeight="1">
      <c r="A13" s="19" t="n">
        <v>7</v>
      </c>
      <c r="B13" s="20" t="inlineStr">
        <is>
          <t>Day</t>
        </is>
      </c>
      <c r="C13" s="21">
        <f>C11+1</f>
        <v/>
      </c>
      <c r="D13" s="22">
        <f>E12</f>
        <v/>
      </c>
      <c r="E13" s="23" t="n">
        <v>1746</v>
      </c>
      <c r="F13" s="24">
        <f>E13-D13</f>
        <v/>
      </c>
      <c r="G13" s="191">
        <f>F13+F14</f>
        <v/>
      </c>
      <c r="H13" s="162" t="n"/>
      <c r="I13" s="162" t="n"/>
      <c r="J13" s="160" t="n"/>
      <c r="K13" s="160" t="n"/>
      <c r="L13" s="160" t="n"/>
      <c r="M13" s="160" t="n"/>
      <c r="N13" s="164" t="n"/>
    </row>
    <row r="14" ht="15.75" customHeight="1">
      <c r="A14" s="19" t="n">
        <v>8</v>
      </c>
      <c r="B14" s="20" t="inlineStr">
        <is>
          <t>Night</t>
        </is>
      </c>
      <c r="C14" s="21">
        <f>C13</f>
        <v/>
      </c>
      <c r="D14" s="22">
        <f>E13</f>
        <v/>
      </c>
      <c r="E14" s="23" t="n">
        <v>1746</v>
      </c>
      <c r="F14" s="24">
        <f>E14-D14</f>
        <v/>
      </c>
      <c r="G14" s="192" t="n"/>
      <c r="H14" s="162" t="n"/>
      <c r="I14" s="162" t="n"/>
      <c r="J14" s="160" t="n"/>
      <c r="K14" s="160" t="n"/>
      <c r="L14" s="160" t="n"/>
      <c r="M14" s="160" t="n"/>
      <c r="N14" s="164" t="n"/>
    </row>
    <row r="15" ht="15.75" customHeight="1">
      <c r="A15" s="19" t="n">
        <v>9</v>
      </c>
      <c r="B15" s="20" t="inlineStr">
        <is>
          <t>Day</t>
        </is>
      </c>
      <c r="C15" s="21">
        <f>C13+1</f>
        <v/>
      </c>
      <c r="D15" s="22">
        <f>E14</f>
        <v/>
      </c>
      <c r="E15" s="23" t="n">
        <v>1746</v>
      </c>
      <c r="F15" s="24">
        <f>E15-D15</f>
        <v/>
      </c>
      <c r="G15" s="191">
        <f>F15+F16</f>
        <v/>
      </c>
      <c r="H15" s="162" t="n"/>
      <c r="I15" s="162" t="n"/>
      <c r="J15" s="160" t="n"/>
      <c r="K15" s="160" t="n"/>
      <c r="L15" s="160" t="n"/>
      <c r="M15" s="160" t="n"/>
      <c r="N15" s="164" t="n"/>
    </row>
    <row r="16" ht="15.75" customHeight="1">
      <c r="A16" s="19" t="n">
        <v>10</v>
      </c>
      <c r="B16" s="20" t="inlineStr">
        <is>
          <t>Night</t>
        </is>
      </c>
      <c r="C16" s="21">
        <f>C15</f>
        <v/>
      </c>
      <c r="D16" s="22">
        <f>E15</f>
        <v/>
      </c>
      <c r="E16" s="23" t="n">
        <v>1746</v>
      </c>
      <c r="F16" s="24">
        <f>E16-D16</f>
        <v/>
      </c>
      <c r="G16" s="192" t="n"/>
      <c r="H16" s="162" t="n"/>
      <c r="I16" s="162" t="n"/>
      <c r="J16" s="160" t="n"/>
      <c r="K16" s="160" t="n"/>
      <c r="L16" s="160" t="n"/>
      <c r="M16" s="160" t="n"/>
      <c r="N16" s="164" t="n"/>
    </row>
    <row r="17" ht="15.75" customHeight="1">
      <c r="A17" s="19" t="n">
        <v>11</v>
      </c>
      <c r="B17" s="20" t="inlineStr">
        <is>
          <t>Day</t>
        </is>
      </c>
      <c r="C17" s="21">
        <f>C15+1</f>
        <v/>
      </c>
      <c r="D17" s="22">
        <f>E16</f>
        <v/>
      </c>
      <c r="E17" s="23" t="n">
        <v>1746</v>
      </c>
      <c r="F17" s="24">
        <f>E17-D17</f>
        <v/>
      </c>
      <c r="G17" s="191">
        <f>F17+F18</f>
        <v/>
      </c>
      <c r="H17" s="162" t="n"/>
      <c r="I17" s="162" t="n"/>
      <c r="J17" s="160" t="n"/>
      <c r="K17" s="160" t="n"/>
      <c r="L17" s="160" t="n"/>
      <c r="M17" s="160" t="n"/>
      <c r="N17" s="164" t="n"/>
    </row>
    <row r="18" ht="15.75" customHeight="1">
      <c r="A18" s="19" t="n">
        <v>12</v>
      </c>
      <c r="B18" s="20" t="inlineStr">
        <is>
          <t>Night</t>
        </is>
      </c>
      <c r="C18" s="21">
        <f>C17</f>
        <v/>
      </c>
      <c r="D18" s="22">
        <f>E17</f>
        <v/>
      </c>
      <c r="E18" s="23" t="n">
        <v>1746</v>
      </c>
      <c r="F18" s="24">
        <f>E18-D18</f>
        <v/>
      </c>
      <c r="G18" s="192" t="n"/>
      <c r="H18" s="162" t="n"/>
      <c r="I18" s="162" t="n"/>
      <c r="J18" s="160" t="n"/>
      <c r="K18" s="160" t="n"/>
      <c r="L18" s="160" t="n"/>
      <c r="M18" s="160" t="n"/>
      <c r="N18" s="164" t="n"/>
    </row>
    <row r="19" ht="15.75" customHeight="1">
      <c r="A19" s="19" t="n">
        <v>13</v>
      </c>
      <c r="B19" s="20" t="inlineStr">
        <is>
          <t>Day</t>
        </is>
      </c>
      <c r="C19" s="21">
        <f>C17+1</f>
        <v/>
      </c>
      <c r="D19" s="24">
        <f>E18</f>
        <v/>
      </c>
      <c r="E19" s="24" t="n">
        <v>1748</v>
      </c>
      <c r="F19" s="24">
        <f>E19-D19</f>
        <v/>
      </c>
      <c r="G19" s="191">
        <f>F19+F20</f>
        <v/>
      </c>
      <c r="H19" s="162" t="n"/>
      <c r="I19" s="162" t="n"/>
      <c r="J19" s="160" t="n"/>
      <c r="K19" s="160" t="n"/>
      <c r="L19" s="160" t="n"/>
      <c r="M19" s="160" t="n"/>
      <c r="N19" s="164" t="n"/>
    </row>
    <row r="20" ht="15.75" customHeight="1">
      <c r="A20" s="19" t="n">
        <v>14</v>
      </c>
      <c r="B20" s="20" t="inlineStr">
        <is>
          <t>Night</t>
        </is>
      </c>
      <c r="C20" s="21">
        <f>C19</f>
        <v/>
      </c>
      <c r="D20" s="24">
        <f>E19</f>
        <v/>
      </c>
      <c r="E20" s="24" t="n">
        <v>1748</v>
      </c>
      <c r="F20" s="24">
        <f>E20-D20</f>
        <v/>
      </c>
      <c r="G20" s="192" t="n"/>
      <c r="H20" s="162" t="n"/>
      <c r="I20" s="162" t="n"/>
      <c r="J20" s="160" t="n"/>
      <c r="K20" s="160" t="n"/>
      <c r="L20" s="160" t="n"/>
      <c r="M20" s="160" t="n"/>
      <c r="N20" s="164" t="n"/>
    </row>
    <row r="21" ht="15.75" customHeight="1">
      <c r="A21" s="19" t="n">
        <v>15</v>
      </c>
      <c r="B21" s="20" t="inlineStr">
        <is>
          <t>Day</t>
        </is>
      </c>
      <c r="C21" s="21">
        <f>C19+1</f>
        <v/>
      </c>
      <c r="D21" s="24">
        <f>E20</f>
        <v/>
      </c>
      <c r="E21" s="24" t="n">
        <v>1751</v>
      </c>
      <c r="F21" s="24">
        <f>E21-D21</f>
        <v/>
      </c>
      <c r="G21" s="191">
        <f>F21+F22</f>
        <v/>
      </c>
      <c r="H21" s="162" t="n"/>
      <c r="I21" s="162" t="n"/>
      <c r="J21" s="160" t="n"/>
      <c r="K21" s="160" t="n"/>
      <c r="L21" s="160" t="n"/>
      <c r="M21" s="160" t="n"/>
      <c r="N21" s="164" t="n"/>
    </row>
    <row r="22" ht="15.75" customHeight="1">
      <c r="A22" s="19" t="n">
        <v>16</v>
      </c>
      <c r="B22" s="20" t="inlineStr">
        <is>
          <t>Night</t>
        </is>
      </c>
      <c r="C22" s="21">
        <f>C21</f>
        <v/>
      </c>
      <c r="D22" s="24">
        <f>E21</f>
        <v/>
      </c>
      <c r="E22" s="24" t="n">
        <v>1751</v>
      </c>
      <c r="F22" s="24">
        <f>E22-D22</f>
        <v/>
      </c>
      <c r="G22" s="192" t="n"/>
      <c r="H22" s="162" t="n"/>
      <c r="I22" s="162" t="n"/>
      <c r="J22" s="160" t="n"/>
      <c r="K22" s="160" t="n"/>
      <c r="L22" s="160" t="n"/>
      <c r="M22" s="160" t="n"/>
      <c r="N22" s="164" t="n"/>
    </row>
    <row r="23" ht="15.75" customHeight="1">
      <c r="A23" s="143" t="n">
        <v>17</v>
      </c>
      <c r="B23" s="144" t="inlineStr">
        <is>
          <t>Day</t>
        </is>
      </c>
      <c r="C23" s="88">
        <f>C21+1</f>
        <v/>
      </c>
      <c r="D23" s="89">
        <f>E22</f>
        <v/>
      </c>
      <c r="E23" s="89" t="n">
        <v>1751</v>
      </c>
      <c r="F23" s="89">
        <f>E23-D23</f>
        <v/>
      </c>
      <c r="G23" s="193">
        <f>F23+F24</f>
        <v/>
      </c>
      <c r="H23" s="147" t="n"/>
      <c r="I23" s="147" t="n"/>
      <c r="J23" s="149" t="n"/>
      <c r="K23" s="149" t="n"/>
      <c r="L23" s="149" t="n"/>
      <c r="M23" s="149" t="n"/>
      <c r="N23" s="153" t="inlineStr">
        <is>
          <t>Sunday</t>
        </is>
      </c>
    </row>
    <row r="24" ht="15.75" customHeight="1">
      <c r="A24" s="143" t="n">
        <v>18</v>
      </c>
      <c r="B24" s="144" t="inlineStr">
        <is>
          <t>Night</t>
        </is>
      </c>
      <c r="C24" s="88">
        <f>C23</f>
        <v/>
      </c>
      <c r="D24" s="89">
        <f>E23</f>
        <v/>
      </c>
      <c r="E24" s="89" t="n">
        <v>1751</v>
      </c>
      <c r="F24" s="89">
        <f>E24-D24</f>
        <v/>
      </c>
      <c r="G24" s="192" t="n"/>
      <c r="H24" s="147" t="n"/>
      <c r="I24" s="147" t="n"/>
      <c r="J24" s="149" t="n"/>
      <c r="K24" s="149" t="n"/>
      <c r="L24" s="149" t="n"/>
      <c r="M24" s="149" t="n"/>
      <c r="N24" s="150" t="n"/>
    </row>
    <row r="25" ht="15.75" customHeight="1">
      <c r="A25" s="19" t="n">
        <v>19</v>
      </c>
      <c r="B25" s="20" t="inlineStr">
        <is>
          <t>Day</t>
        </is>
      </c>
      <c r="C25" s="21">
        <f>C23+1</f>
        <v/>
      </c>
      <c r="D25" s="24">
        <f>E24</f>
        <v/>
      </c>
      <c r="E25" s="24" t="n">
        <v>1751</v>
      </c>
      <c r="F25" s="24">
        <f>E25-D25</f>
        <v/>
      </c>
      <c r="G25" s="191">
        <f>F25+F26</f>
        <v/>
      </c>
      <c r="H25" s="162" t="n"/>
      <c r="I25" s="162" t="n"/>
      <c r="J25" s="160" t="n"/>
      <c r="K25" s="160" t="n">
        <v>220</v>
      </c>
      <c r="L25" s="160" t="n"/>
      <c r="M25" s="160" t="n"/>
      <c r="N25" s="164" t="n"/>
    </row>
    <row r="26" ht="15.75" customHeight="1">
      <c r="A26" s="19" t="n">
        <v>20</v>
      </c>
      <c r="B26" s="20" t="inlineStr">
        <is>
          <t>Night</t>
        </is>
      </c>
      <c r="C26" s="21">
        <f>C25</f>
        <v/>
      </c>
      <c r="D26" s="24">
        <f>E25</f>
        <v/>
      </c>
      <c r="E26" s="24" t="n">
        <v>1751</v>
      </c>
      <c r="F26" s="24">
        <f>E26-D26</f>
        <v/>
      </c>
      <c r="G26" s="192" t="n"/>
      <c r="H26" s="162" t="n"/>
      <c r="I26" s="162" t="n"/>
      <c r="J26" s="160" t="n"/>
      <c r="K26" s="160" t="n"/>
      <c r="L26" s="160" t="n"/>
      <c r="M26" s="160" t="n"/>
      <c r="N26" s="164" t="n"/>
    </row>
    <row r="27" ht="15.75" customHeight="1">
      <c r="A27" s="19" t="n">
        <v>21</v>
      </c>
      <c r="B27" s="20" t="inlineStr">
        <is>
          <t>Day</t>
        </is>
      </c>
      <c r="C27" s="21">
        <f>C25+1</f>
        <v/>
      </c>
      <c r="D27" s="24">
        <f>E26</f>
        <v/>
      </c>
      <c r="E27" s="24" t="n">
        <v>1751</v>
      </c>
      <c r="F27" s="24">
        <f>E27-D27</f>
        <v/>
      </c>
      <c r="G27" s="191">
        <f>F27+F28</f>
        <v/>
      </c>
      <c r="H27" s="162" t="n"/>
      <c r="I27" s="162" t="n"/>
      <c r="J27" s="160" t="n"/>
      <c r="K27" s="160" t="n"/>
      <c r="L27" s="160" t="n"/>
      <c r="M27" s="160" t="n"/>
      <c r="N27" s="164" t="n"/>
    </row>
    <row r="28" ht="15.75" customHeight="1">
      <c r="A28" s="19" t="n">
        <v>22</v>
      </c>
      <c r="B28" s="20" t="inlineStr">
        <is>
          <t>Night</t>
        </is>
      </c>
      <c r="C28" s="21">
        <f>C27</f>
        <v/>
      </c>
      <c r="D28" s="24">
        <f>E27</f>
        <v/>
      </c>
      <c r="E28" s="24" t="n">
        <v>1751</v>
      </c>
      <c r="F28" s="24">
        <f>E28-D28</f>
        <v/>
      </c>
      <c r="G28" s="192" t="n"/>
      <c r="H28" s="162" t="n"/>
      <c r="I28" s="162" t="n"/>
      <c r="J28" s="160" t="n"/>
      <c r="K28" s="160" t="n"/>
      <c r="L28" s="160" t="n"/>
      <c r="M28" s="160" t="n"/>
      <c r="N28" s="164" t="n"/>
    </row>
    <row r="29" ht="15.75" customHeight="1">
      <c r="A29" s="19" t="n">
        <v>23</v>
      </c>
      <c r="B29" s="20" t="inlineStr">
        <is>
          <t>Day</t>
        </is>
      </c>
      <c r="C29" s="21">
        <f>C27+1</f>
        <v/>
      </c>
      <c r="D29" s="24">
        <f>E28</f>
        <v/>
      </c>
      <c r="E29" s="24" t="n">
        <v>1752</v>
      </c>
      <c r="F29" s="24">
        <f>E29-D29</f>
        <v/>
      </c>
      <c r="G29" s="191">
        <f>F29+F30</f>
        <v/>
      </c>
      <c r="H29" s="162" t="n"/>
      <c r="I29" s="162" t="n"/>
      <c r="J29" s="160" t="n"/>
      <c r="K29" s="160" t="n"/>
      <c r="L29" s="160" t="n"/>
      <c r="M29" s="160" t="n"/>
      <c r="N29" s="164" t="n"/>
    </row>
    <row r="30" ht="15.75" customHeight="1">
      <c r="A30" s="19" t="n">
        <v>24</v>
      </c>
      <c r="B30" s="20" t="inlineStr">
        <is>
          <t>Night</t>
        </is>
      </c>
      <c r="C30" s="21">
        <f>C29</f>
        <v/>
      </c>
      <c r="D30" s="24">
        <f>E29</f>
        <v/>
      </c>
      <c r="E30" s="24" t="n">
        <v>1752</v>
      </c>
      <c r="F30" s="24">
        <f>E30-D30</f>
        <v/>
      </c>
      <c r="G30" s="192" t="n"/>
      <c r="H30" s="162" t="n"/>
      <c r="I30" s="162" t="n"/>
      <c r="J30" s="160" t="n"/>
      <c r="K30" s="160" t="n"/>
      <c r="L30" s="160" t="n"/>
      <c r="M30" s="160" t="n"/>
      <c r="N30" s="164" t="n"/>
    </row>
    <row r="31" ht="15.75" customHeight="1">
      <c r="A31" s="19" t="n">
        <v>25</v>
      </c>
      <c r="B31" s="20" t="inlineStr">
        <is>
          <t>Day</t>
        </is>
      </c>
      <c r="C31" s="21">
        <f>C29+1</f>
        <v/>
      </c>
      <c r="D31" s="24">
        <f>E30</f>
        <v/>
      </c>
      <c r="E31" s="24" t="n">
        <v>1752</v>
      </c>
      <c r="F31" s="24">
        <f>E31-D31</f>
        <v/>
      </c>
      <c r="G31" s="191">
        <f>F31+F32</f>
        <v/>
      </c>
      <c r="H31" s="162" t="n"/>
      <c r="I31" s="162" t="n"/>
      <c r="J31" s="160" t="n"/>
      <c r="K31" s="160" t="n"/>
      <c r="L31" s="160" t="n"/>
      <c r="M31" s="160" t="n"/>
      <c r="N31" s="164" t="n"/>
    </row>
    <row r="32" ht="15.75" customHeight="1">
      <c r="A32" s="19" t="n">
        <v>26</v>
      </c>
      <c r="B32" s="20" t="inlineStr">
        <is>
          <t>Night</t>
        </is>
      </c>
      <c r="C32" s="21">
        <f>C31</f>
        <v/>
      </c>
      <c r="D32" s="24">
        <f>E31</f>
        <v/>
      </c>
      <c r="E32" s="24" t="n">
        <v>1752</v>
      </c>
      <c r="F32" s="24">
        <f>E32-D32</f>
        <v/>
      </c>
      <c r="G32" s="192" t="n"/>
      <c r="H32" s="162" t="n"/>
      <c r="I32" s="162" t="n"/>
      <c r="J32" s="160" t="n"/>
      <c r="K32" s="160" t="n"/>
      <c r="L32" s="160" t="n"/>
      <c r="M32" s="160" t="n"/>
      <c r="N32" s="164" t="n"/>
    </row>
    <row r="33" ht="15.75" customHeight="1">
      <c r="A33" s="19" t="n">
        <v>27</v>
      </c>
      <c r="B33" s="20" t="inlineStr">
        <is>
          <t>Day</t>
        </is>
      </c>
      <c r="C33" s="21">
        <f>C31+1</f>
        <v/>
      </c>
      <c r="D33" s="24">
        <f>E32</f>
        <v/>
      </c>
      <c r="E33" s="24" t="n">
        <v>1752</v>
      </c>
      <c r="F33" s="24">
        <f>E33-D33</f>
        <v/>
      </c>
      <c r="G33" s="191">
        <f>F33+F34</f>
        <v/>
      </c>
      <c r="H33" s="162" t="n"/>
      <c r="I33" s="162" t="n"/>
      <c r="J33" s="160" t="n"/>
      <c r="K33" s="160" t="n"/>
      <c r="L33" s="160" t="n"/>
      <c r="M33" s="160" t="n"/>
      <c r="N33" s="164" t="n"/>
    </row>
    <row r="34" ht="15.75" customHeight="1">
      <c r="A34" s="19" t="n">
        <v>28</v>
      </c>
      <c r="B34" s="20" t="inlineStr">
        <is>
          <t>Night</t>
        </is>
      </c>
      <c r="C34" s="21">
        <f>C33</f>
        <v/>
      </c>
      <c r="D34" s="24">
        <f>E33</f>
        <v/>
      </c>
      <c r="E34" s="24" t="n">
        <v>1752</v>
      </c>
      <c r="F34" s="24">
        <f>E34-D34</f>
        <v/>
      </c>
      <c r="G34" s="192" t="n"/>
      <c r="H34" s="162" t="n"/>
      <c r="I34" s="162" t="n"/>
      <c r="J34" s="160" t="n"/>
      <c r="K34" s="160" t="n"/>
      <c r="L34" s="160" t="n"/>
      <c r="M34" s="160" t="n"/>
      <c r="N34" s="164" t="n"/>
    </row>
    <row r="35" ht="15.75" customHeight="1">
      <c r="A35" s="19" t="n">
        <v>29</v>
      </c>
      <c r="B35" s="20" t="inlineStr">
        <is>
          <t>Day</t>
        </is>
      </c>
      <c r="C35" s="21">
        <f>C33+1</f>
        <v/>
      </c>
      <c r="D35" s="24">
        <f>E34</f>
        <v/>
      </c>
      <c r="E35" s="24" t="n">
        <v>1752</v>
      </c>
      <c r="F35" s="24">
        <f>E35-D35</f>
        <v/>
      </c>
      <c r="G35" s="191">
        <f>F35+F36</f>
        <v/>
      </c>
      <c r="H35" s="162" t="n"/>
      <c r="I35" s="162" t="n"/>
      <c r="J35" s="160" t="n"/>
      <c r="K35" s="160" t="n"/>
      <c r="L35" s="160" t="n"/>
      <c r="M35" s="160" t="n"/>
      <c r="N35" s="164" t="n"/>
    </row>
    <row r="36" ht="15.75" customHeight="1">
      <c r="A36" s="19" t="n">
        <v>30</v>
      </c>
      <c r="B36" s="20" t="inlineStr">
        <is>
          <t>Night</t>
        </is>
      </c>
      <c r="C36" s="21">
        <f>C35</f>
        <v/>
      </c>
      <c r="D36" s="24">
        <f>E35</f>
        <v/>
      </c>
      <c r="E36" s="24" t="n">
        <v>1753</v>
      </c>
      <c r="F36" s="24">
        <f>E36-D36</f>
        <v/>
      </c>
      <c r="G36" s="192" t="n"/>
      <c r="H36" s="162" t="n"/>
      <c r="I36" s="162" t="n"/>
      <c r="J36" s="160" t="n"/>
      <c r="K36" s="160" t="n"/>
      <c r="L36" s="160" t="n"/>
      <c r="M36" s="160" t="n"/>
      <c r="N36" s="164" t="n"/>
    </row>
    <row r="37" ht="15.75" customHeight="1">
      <c r="A37" s="143" t="n">
        <v>31</v>
      </c>
      <c r="B37" s="144" t="inlineStr">
        <is>
          <t>Day</t>
        </is>
      </c>
      <c r="C37" s="88">
        <f>C35+1</f>
        <v/>
      </c>
      <c r="D37" s="89">
        <f>E36</f>
        <v/>
      </c>
      <c r="E37" s="89" t="n">
        <v>1758</v>
      </c>
      <c r="F37" s="89">
        <f>E37-D37</f>
        <v/>
      </c>
      <c r="G37" s="193">
        <f>F37+F38</f>
        <v/>
      </c>
      <c r="H37" s="147" t="n"/>
      <c r="I37" s="147" t="n"/>
      <c r="J37" s="149" t="n"/>
      <c r="K37" s="149" t="n"/>
      <c r="L37" s="149" t="n"/>
      <c r="M37" s="149" t="n"/>
      <c r="N37" s="153" t="inlineStr">
        <is>
          <t>Sunday</t>
        </is>
      </c>
    </row>
    <row r="38" ht="15.75" customHeight="1">
      <c r="A38" s="143" t="n">
        <v>32</v>
      </c>
      <c r="B38" s="144" t="inlineStr">
        <is>
          <t>Night</t>
        </is>
      </c>
      <c r="C38" s="88">
        <f>C37</f>
        <v/>
      </c>
      <c r="D38" s="89">
        <f>E37</f>
        <v/>
      </c>
      <c r="E38" s="89" t="n">
        <v>1759</v>
      </c>
      <c r="F38" s="89">
        <f>E38-D38</f>
        <v/>
      </c>
      <c r="G38" s="192" t="n"/>
      <c r="H38" s="151" t="n"/>
      <c r="I38" s="151" t="n"/>
      <c r="J38" s="152" t="n"/>
      <c r="K38" s="149" t="n"/>
      <c r="L38" s="152" t="n"/>
      <c r="M38" s="152" t="n"/>
      <c r="N38" s="150" t="n"/>
    </row>
    <row r="39" ht="15.75" customHeight="1">
      <c r="A39" s="19" t="n">
        <v>33</v>
      </c>
      <c r="B39" s="20" t="inlineStr">
        <is>
          <t>Day</t>
        </is>
      </c>
      <c r="C39" s="21">
        <f>C37+1</f>
        <v/>
      </c>
      <c r="D39" s="24">
        <f>E38</f>
        <v/>
      </c>
      <c r="E39" s="24" t="n">
        <v>1762</v>
      </c>
      <c r="F39" s="24">
        <f>E39-D39</f>
        <v/>
      </c>
      <c r="G39" s="191">
        <f>F39+F40</f>
        <v/>
      </c>
      <c r="H39" s="165" t="n"/>
      <c r="I39" s="165" t="n"/>
      <c r="J39" s="158" t="n"/>
      <c r="K39" s="160" t="n"/>
      <c r="L39" s="158" t="n"/>
      <c r="M39" s="158" t="n"/>
      <c r="N39" s="164" t="n"/>
    </row>
    <row r="40" ht="15.75" customHeight="1">
      <c r="A40" s="19" t="n">
        <v>34</v>
      </c>
      <c r="B40" s="20" t="inlineStr">
        <is>
          <t>Night</t>
        </is>
      </c>
      <c r="C40" s="21">
        <f>C39</f>
        <v/>
      </c>
      <c r="D40" s="24">
        <f>E39</f>
        <v/>
      </c>
      <c r="E40" s="24" t="n">
        <v>1762</v>
      </c>
      <c r="F40" s="24">
        <f>E40-D40</f>
        <v/>
      </c>
      <c r="G40" s="192" t="n"/>
      <c r="H40" s="165" t="n"/>
      <c r="I40" s="165" t="n"/>
      <c r="J40" s="158" t="n"/>
      <c r="K40" s="160" t="n"/>
      <c r="L40" s="158" t="n"/>
      <c r="M40" s="158" t="n"/>
      <c r="N40" s="164" t="n"/>
    </row>
    <row r="41" ht="15.75" customHeight="1">
      <c r="A41" s="19" t="n">
        <v>35</v>
      </c>
      <c r="B41" s="20" t="inlineStr">
        <is>
          <t>Day</t>
        </is>
      </c>
      <c r="C41" s="21">
        <f>C39+1</f>
        <v/>
      </c>
      <c r="D41" s="24">
        <f>E40</f>
        <v/>
      </c>
      <c r="E41" s="24" t="n">
        <v>1763</v>
      </c>
      <c r="F41" s="24">
        <f>E41-D41</f>
        <v/>
      </c>
      <c r="G41" s="191">
        <f>F41+F42</f>
        <v/>
      </c>
      <c r="H41" s="165" t="n"/>
      <c r="I41" s="165" t="n"/>
      <c r="J41" s="158" t="n"/>
      <c r="K41" s="160" t="n"/>
      <c r="L41" s="158" t="n"/>
      <c r="M41" s="158" t="n"/>
      <c r="N41" s="164" t="n"/>
    </row>
    <row r="42" ht="15.75" customHeight="1">
      <c r="A42" s="19" t="n">
        <v>36</v>
      </c>
      <c r="B42" s="20" t="inlineStr">
        <is>
          <t>Night</t>
        </is>
      </c>
      <c r="C42" s="21">
        <f>C41</f>
        <v/>
      </c>
      <c r="D42" s="24">
        <f>E41</f>
        <v/>
      </c>
      <c r="E42" s="24" t="n">
        <v>1763</v>
      </c>
      <c r="F42" s="24">
        <f>E42-D42</f>
        <v/>
      </c>
      <c r="G42" s="192" t="n"/>
      <c r="H42" s="165" t="n"/>
      <c r="I42" s="165" t="n"/>
      <c r="J42" s="158" t="n"/>
      <c r="K42" s="160" t="n"/>
      <c r="L42" s="158" t="n"/>
      <c r="M42" s="158" t="n"/>
      <c r="N42" s="164" t="n"/>
    </row>
    <row r="43" ht="15.75" customHeight="1">
      <c r="A43" s="19" t="n">
        <v>37</v>
      </c>
      <c r="B43" s="20" t="inlineStr">
        <is>
          <t>Day</t>
        </is>
      </c>
      <c r="C43" s="21">
        <f>C41+1</f>
        <v/>
      </c>
      <c r="D43" s="24">
        <f>E42</f>
        <v/>
      </c>
      <c r="E43" s="24" t="n">
        <v>1764</v>
      </c>
      <c r="F43" s="24">
        <f>E43-D43</f>
        <v/>
      </c>
      <c r="G43" s="191">
        <f>F43+F44</f>
        <v/>
      </c>
      <c r="H43" s="165" t="n"/>
      <c r="I43" s="165" t="n"/>
      <c r="J43" s="158" t="n"/>
      <c r="K43" s="160" t="n"/>
      <c r="L43" s="158" t="n"/>
      <c r="M43" s="158" t="n"/>
      <c r="N43" s="164" t="n"/>
    </row>
    <row r="44" ht="15.75" customHeight="1">
      <c r="A44" s="26" t="n">
        <v>38</v>
      </c>
      <c r="B44" s="27" t="inlineStr">
        <is>
          <t>Night</t>
        </is>
      </c>
      <c r="C44" s="21">
        <f>C43</f>
        <v/>
      </c>
      <c r="D44" s="24">
        <f>E43</f>
        <v/>
      </c>
      <c r="E44" s="24" t="n">
        <v>1764</v>
      </c>
      <c r="F44" s="24">
        <f>E44-D44</f>
        <v/>
      </c>
      <c r="G44" s="192" t="n"/>
      <c r="H44" s="165" t="n"/>
      <c r="I44" s="165" t="n"/>
      <c r="J44" s="158" t="n"/>
      <c r="K44" s="160" t="n"/>
      <c r="L44" s="158" t="n"/>
      <c r="M44" s="158" t="n"/>
      <c r="N44" s="164" t="n"/>
    </row>
    <row r="45" ht="15.75" customHeight="1">
      <c r="A45" s="28" t="n">
        <v>39</v>
      </c>
      <c r="B45" s="29" t="inlineStr">
        <is>
          <t>Day</t>
        </is>
      </c>
      <c r="C45" s="21">
        <f>C43+1</f>
        <v/>
      </c>
      <c r="D45" s="24">
        <f>E44</f>
        <v/>
      </c>
      <c r="E45" s="24" t="n">
        <v>1765</v>
      </c>
      <c r="F45" s="24">
        <f>E45-D45</f>
        <v/>
      </c>
      <c r="G45" s="191">
        <f>F45+F46</f>
        <v/>
      </c>
      <c r="H45" s="165" t="n"/>
      <c r="I45" s="165" t="n"/>
      <c r="J45" s="158" t="n"/>
      <c r="K45" s="160" t="n"/>
      <c r="L45" s="158" t="n"/>
      <c r="M45" s="158" t="n"/>
      <c r="N45" s="164" t="n"/>
    </row>
    <row r="46" ht="15.75" customHeight="1">
      <c r="A46" s="28" t="n">
        <v>40</v>
      </c>
      <c r="B46" s="29" t="inlineStr">
        <is>
          <t>Night</t>
        </is>
      </c>
      <c r="C46" s="21">
        <f>C45</f>
        <v/>
      </c>
      <c r="D46" s="24">
        <f>E45</f>
        <v/>
      </c>
      <c r="E46" s="24" t="n">
        <v>1765</v>
      </c>
      <c r="F46" s="24">
        <f>E46-D46</f>
        <v/>
      </c>
      <c r="G46" s="192" t="n"/>
      <c r="H46" s="165" t="n"/>
      <c r="I46" s="165" t="n"/>
      <c r="J46" s="158" t="n"/>
      <c r="K46" s="160" t="n"/>
      <c r="L46" s="158" t="n"/>
      <c r="M46" s="158" t="n"/>
      <c r="N46" s="164" t="n"/>
    </row>
    <row r="47" ht="15.75" customHeight="1">
      <c r="A47" s="30" t="n">
        <v>41</v>
      </c>
      <c r="B47" s="20" t="inlineStr">
        <is>
          <t>Day</t>
        </is>
      </c>
      <c r="C47" s="21">
        <f>C45+1</f>
        <v/>
      </c>
      <c r="D47" s="24">
        <f>E46</f>
        <v/>
      </c>
      <c r="E47" s="24" t="n">
        <v>1769</v>
      </c>
      <c r="F47" s="24">
        <f>E47-D47</f>
        <v/>
      </c>
      <c r="G47" s="191">
        <f>F47+F48</f>
        <v/>
      </c>
      <c r="H47" s="165" t="n"/>
      <c r="I47" s="165" t="n"/>
      <c r="J47" s="158" t="n"/>
      <c r="K47" s="160" t="n"/>
      <c r="L47" s="158" t="n"/>
      <c r="M47" s="158" t="n"/>
      <c r="N47" s="164" t="n"/>
    </row>
    <row r="48" ht="15.75" customHeight="1">
      <c r="A48" s="28" t="n">
        <v>42</v>
      </c>
      <c r="B48" s="20" t="inlineStr">
        <is>
          <t>Night</t>
        </is>
      </c>
      <c r="C48" s="21">
        <f>C47</f>
        <v/>
      </c>
      <c r="D48" s="24">
        <f>E47</f>
        <v/>
      </c>
      <c r="E48" s="24" t="n">
        <v>1771</v>
      </c>
      <c r="F48" s="24">
        <f>E48-D48</f>
        <v/>
      </c>
      <c r="G48" s="192" t="n"/>
      <c r="H48" s="165" t="n"/>
      <c r="I48" s="165" t="n"/>
      <c r="J48" s="158" t="n"/>
      <c r="K48" s="160" t="n"/>
      <c r="L48" s="158" t="n"/>
      <c r="M48" s="158" t="n"/>
      <c r="N48" s="164" t="n"/>
    </row>
    <row r="49" ht="15.75" customHeight="1">
      <c r="A49" s="28" t="n">
        <v>43</v>
      </c>
      <c r="B49" s="20" t="inlineStr">
        <is>
          <t>Day</t>
        </is>
      </c>
      <c r="C49" s="21">
        <f>C47+1</f>
        <v/>
      </c>
      <c r="D49" s="24">
        <f>E48</f>
        <v/>
      </c>
      <c r="E49" s="24" t="n">
        <v>1773</v>
      </c>
      <c r="F49" s="24">
        <f>E49-D49</f>
        <v/>
      </c>
      <c r="G49" s="191">
        <f>F49+F50</f>
        <v/>
      </c>
      <c r="H49" s="165" t="n"/>
      <c r="I49" s="165" t="n"/>
      <c r="J49" s="158" t="n"/>
      <c r="K49" s="160" t="n"/>
      <c r="L49" s="158" t="n"/>
      <c r="M49" s="158" t="n"/>
      <c r="N49" s="164" t="n"/>
    </row>
    <row r="50" ht="15.75" customHeight="1">
      <c r="A50" s="28" t="n">
        <v>44</v>
      </c>
      <c r="B50" s="20" t="inlineStr">
        <is>
          <t>Night</t>
        </is>
      </c>
      <c r="C50" s="21">
        <f>C49</f>
        <v/>
      </c>
      <c r="D50" s="24">
        <f>E49</f>
        <v/>
      </c>
      <c r="E50" s="24" t="n">
        <v>1773</v>
      </c>
      <c r="F50" s="24">
        <f>E50-D50</f>
        <v/>
      </c>
      <c r="G50" s="192" t="n"/>
      <c r="H50" s="165" t="n"/>
      <c r="I50" s="165" t="n"/>
      <c r="J50" s="158" t="n"/>
      <c r="K50" s="160" t="n"/>
      <c r="L50" s="158" t="n"/>
      <c r="M50" s="158" t="n"/>
      <c r="N50" s="164" t="n"/>
    </row>
    <row r="51" ht="15.75" customHeight="1">
      <c r="A51" s="154" t="n">
        <v>45</v>
      </c>
      <c r="B51" s="144" t="inlineStr">
        <is>
          <t>Day</t>
        </is>
      </c>
      <c r="C51" s="88">
        <f>C49+1</f>
        <v/>
      </c>
      <c r="D51" s="89">
        <f>E50</f>
        <v/>
      </c>
      <c r="E51" s="89" t="n">
        <v>1776</v>
      </c>
      <c r="F51" s="89">
        <f>E51-D51</f>
        <v/>
      </c>
      <c r="G51" s="193">
        <f>F51+F52</f>
        <v/>
      </c>
      <c r="H51" s="151" t="n"/>
      <c r="I51" s="151" t="n"/>
      <c r="J51" s="152" t="n"/>
      <c r="K51" s="149" t="n"/>
      <c r="L51" s="152" t="n"/>
      <c r="M51" s="152" t="n"/>
      <c r="N51" s="153" t="inlineStr">
        <is>
          <t>Sunday</t>
        </is>
      </c>
    </row>
    <row r="52" ht="15.75" customHeight="1">
      <c r="A52" s="154" t="n">
        <v>46</v>
      </c>
      <c r="B52" s="144" t="inlineStr">
        <is>
          <t>Night</t>
        </is>
      </c>
      <c r="C52" s="88">
        <f>C51</f>
        <v/>
      </c>
      <c r="D52" s="89">
        <f>E51</f>
        <v/>
      </c>
      <c r="E52" s="89" t="n">
        <v>1777</v>
      </c>
      <c r="F52" s="89">
        <f>E52-D52</f>
        <v/>
      </c>
      <c r="G52" s="192" t="n"/>
      <c r="H52" s="151" t="n"/>
      <c r="I52" s="151" t="n"/>
      <c r="J52" s="152" t="n"/>
      <c r="K52" s="149" t="n"/>
      <c r="L52" s="152" t="n"/>
      <c r="M52" s="152" t="n"/>
      <c r="N52" s="150" t="n"/>
    </row>
    <row r="53" ht="15.75" customHeight="1">
      <c r="A53" s="28" t="n">
        <v>47</v>
      </c>
      <c r="B53" s="20" t="inlineStr">
        <is>
          <t>Day</t>
        </is>
      </c>
      <c r="C53" s="21">
        <f>C51+1</f>
        <v/>
      </c>
      <c r="D53" s="24">
        <f>E52</f>
        <v/>
      </c>
      <c r="E53" s="24" t="n">
        <v>1779</v>
      </c>
      <c r="F53" s="24">
        <f>E53-D53</f>
        <v/>
      </c>
      <c r="G53" s="191">
        <f>F53+F54</f>
        <v/>
      </c>
      <c r="H53" s="165" t="n"/>
      <c r="I53" s="165" t="n"/>
      <c r="J53" s="158" t="n"/>
      <c r="K53" s="160" t="n"/>
      <c r="L53" s="158" t="n"/>
      <c r="M53" s="158" t="n"/>
      <c r="N53" s="164" t="n"/>
    </row>
    <row r="54" ht="15.75" customHeight="1">
      <c r="A54" s="28" t="n">
        <v>48</v>
      </c>
      <c r="B54" s="20" t="inlineStr">
        <is>
          <t>Night</t>
        </is>
      </c>
      <c r="C54" s="21">
        <f>C53</f>
        <v/>
      </c>
      <c r="D54" s="24">
        <f>E53</f>
        <v/>
      </c>
      <c r="E54" s="24" t="n">
        <v>1779</v>
      </c>
      <c r="F54" s="24">
        <f>E54-D54</f>
        <v/>
      </c>
      <c r="G54" s="192" t="n"/>
      <c r="H54" s="165" t="n"/>
      <c r="I54" s="165" t="n"/>
      <c r="J54" s="158" t="n"/>
      <c r="K54" s="160" t="n"/>
      <c r="L54" s="158" t="n"/>
      <c r="M54" s="158" t="n"/>
      <c r="N54" s="164" t="n"/>
    </row>
    <row r="55" ht="15.75" customHeight="1">
      <c r="A55" s="28" t="n">
        <v>49</v>
      </c>
      <c r="B55" s="20" t="inlineStr">
        <is>
          <t>Day</t>
        </is>
      </c>
      <c r="C55" s="21">
        <f>C53+1</f>
        <v/>
      </c>
      <c r="D55" s="24">
        <f>E54</f>
        <v/>
      </c>
      <c r="E55" s="24" t="n">
        <v>1783</v>
      </c>
      <c r="F55" s="24">
        <f>E55-D55</f>
        <v/>
      </c>
      <c r="G55" s="191">
        <f>F55+F56</f>
        <v/>
      </c>
      <c r="H55" s="165" t="n"/>
      <c r="I55" s="165" t="n"/>
      <c r="J55" s="158" t="n"/>
      <c r="K55" s="160" t="n"/>
      <c r="L55" s="158" t="n"/>
      <c r="M55" s="158" t="n"/>
      <c r="N55" s="164" t="n"/>
    </row>
    <row r="56" ht="15.75" customHeight="1">
      <c r="A56" s="28" t="n">
        <v>50</v>
      </c>
      <c r="B56" s="20" t="inlineStr">
        <is>
          <t>Night</t>
        </is>
      </c>
      <c r="C56" s="21">
        <f>C55</f>
        <v/>
      </c>
      <c r="D56" s="24">
        <f>E55</f>
        <v/>
      </c>
      <c r="E56" s="24" t="n">
        <v>1784</v>
      </c>
      <c r="F56" s="24">
        <f>E56-D56</f>
        <v/>
      </c>
      <c r="G56" s="192" t="n"/>
      <c r="H56" s="165" t="n"/>
      <c r="I56" s="165" t="n"/>
      <c r="J56" s="158" t="n"/>
      <c r="K56" s="160" t="n"/>
      <c r="L56" s="158" t="n"/>
      <c r="M56" s="158" t="n"/>
      <c r="N56" s="164" t="n"/>
    </row>
    <row r="57" ht="15.75" customHeight="1">
      <c r="A57" s="28" t="n">
        <v>51</v>
      </c>
      <c r="B57" s="20" t="inlineStr">
        <is>
          <t>Day</t>
        </is>
      </c>
      <c r="C57" s="21">
        <f>C55+1</f>
        <v/>
      </c>
      <c r="D57" s="24">
        <f>E56</f>
        <v/>
      </c>
      <c r="E57" s="24" t="n">
        <v>1787</v>
      </c>
      <c r="F57" s="24">
        <f>E57-D57</f>
        <v/>
      </c>
      <c r="G57" s="191">
        <f>F57+F58</f>
        <v/>
      </c>
      <c r="H57" s="165" t="n"/>
      <c r="I57" s="165" t="n"/>
      <c r="J57" s="158" t="n"/>
      <c r="K57" s="160" t="n">
        <v>40</v>
      </c>
      <c r="L57" s="158" t="n">
        <v>1784</v>
      </c>
      <c r="M57" s="158" t="n"/>
      <c r="N57" s="164" t="n"/>
    </row>
    <row r="58" ht="15.75" customHeight="1">
      <c r="A58" s="28" t="n">
        <v>52</v>
      </c>
      <c r="B58" s="20" t="inlineStr">
        <is>
          <t>Night</t>
        </is>
      </c>
      <c r="C58" s="21">
        <f>C57</f>
        <v/>
      </c>
      <c r="D58" s="24">
        <f>E57</f>
        <v/>
      </c>
      <c r="E58" s="24" t="n">
        <v>1789</v>
      </c>
      <c r="F58" s="24">
        <f>E58-D58</f>
        <v/>
      </c>
      <c r="G58" s="192" t="n"/>
      <c r="H58" s="165" t="n"/>
      <c r="I58" s="165" t="n"/>
      <c r="J58" s="158" t="n"/>
      <c r="K58" s="160" t="n"/>
      <c r="L58" s="158" t="n"/>
      <c r="M58" s="158" t="n"/>
      <c r="N58" s="164" t="n"/>
    </row>
    <row r="59" ht="15.75" customHeight="1">
      <c r="A59" s="28" t="n">
        <v>53</v>
      </c>
      <c r="B59" s="20" t="inlineStr">
        <is>
          <t>Day</t>
        </is>
      </c>
      <c r="C59" s="21">
        <f>C57+1</f>
        <v/>
      </c>
      <c r="D59" s="24">
        <f>E58</f>
        <v/>
      </c>
      <c r="E59" s="24" t="n">
        <v>1791</v>
      </c>
      <c r="F59" s="24">
        <f>E59-D59</f>
        <v/>
      </c>
      <c r="G59" s="191">
        <f>F59+F60</f>
        <v/>
      </c>
      <c r="H59" s="165" t="n"/>
      <c r="I59" s="165" t="n"/>
      <c r="J59" s="158" t="n"/>
      <c r="K59" s="160" t="n"/>
      <c r="L59" s="158" t="n"/>
      <c r="M59" s="158" t="n"/>
      <c r="N59" s="164" t="n"/>
    </row>
    <row r="60" ht="15.75" customHeight="1">
      <c r="A60" s="28" t="n">
        <v>54</v>
      </c>
      <c r="B60" s="20" t="inlineStr">
        <is>
          <t>Night</t>
        </is>
      </c>
      <c r="C60" s="21">
        <f>C59</f>
        <v/>
      </c>
      <c r="D60" s="24">
        <f>E59</f>
        <v/>
      </c>
      <c r="E60" s="24" t="n">
        <v>1791</v>
      </c>
      <c r="F60" s="24">
        <f>E60-D60</f>
        <v/>
      </c>
      <c r="G60" s="192" t="n"/>
      <c r="H60" s="165" t="n"/>
      <c r="I60" s="165" t="n"/>
      <c r="J60" s="158" t="n"/>
      <c r="K60" s="160" t="n"/>
      <c r="L60" s="158" t="n"/>
      <c r="M60" s="158" t="n"/>
      <c r="N60" s="164" t="n"/>
    </row>
    <row r="61" ht="15.75" customHeight="1">
      <c r="A61" s="28" t="n">
        <v>55</v>
      </c>
      <c r="B61" s="20" t="inlineStr">
        <is>
          <t>Day</t>
        </is>
      </c>
      <c r="C61" s="21">
        <f>C59+1</f>
        <v/>
      </c>
      <c r="D61" s="24">
        <f>E60</f>
        <v/>
      </c>
      <c r="E61" s="24" t="n">
        <v>1791</v>
      </c>
      <c r="F61" s="24">
        <f>E61-D61</f>
        <v/>
      </c>
      <c r="G61" s="191">
        <f>F61+F62</f>
        <v/>
      </c>
      <c r="H61" s="165" t="n"/>
      <c r="I61" s="165" t="n"/>
      <c r="J61" s="158" t="n"/>
      <c r="K61" s="160" t="n"/>
      <c r="L61" s="158" t="n"/>
      <c r="M61" s="158" t="n"/>
      <c r="N61" s="164" t="n"/>
    </row>
    <row r="62" ht="15.75" customHeight="1">
      <c r="A62" s="28" t="n">
        <v>56</v>
      </c>
      <c r="B62" s="20" t="inlineStr">
        <is>
          <t>Night</t>
        </is>
      </c>
      <c r="C62" s="21">
        <f>C61</f>
        <v/>
      </c>
      <c r="D62" s="24">
        <f>E61</f>
        <v/>
      </c>
      <c r="E62" s="24" t="n">
        <v>1791</v>
      </c>
      <c r="F62" s="24">
        <f>E62-D62</f>
        <v/>
      </c>
      <c r="G62" s="192" t="n"/>
      <c r="H62" s="165" t="n"/>
      <c r="I62" s="165" t="n"/>
      <c r="J62" s="158" t="n"/>
      <c r="K62" s="160" t="n"/>
      <c r="L62" s="158" t="n"/>
      <c r="M62" s="158" t="n"/>
      <c r="N62" s="164" t="n"/>
    </row>
    <row r="63" ht="15.75" customHeight="1">
      <c r="A63" s="28" t="n">
        <v>57</v>
      </c>
      <c r="B63" s="20" t="inlineStr">
        <is>
          <t>Day</t>
        </is>
      </c>
      <c r="C63" s="21">
        <f>C61+1</f>
        <v/>
      </c>
      <c r="D63" s="24">
        <f>E62</f>
        <v/>
      </c>
      <c r="E63" s="24" t="n">
        <v>1792</v>
      </c>
      <c r="F63" s="24">
        <f>E63-D63</f>
        <v/>
      </c>
      <c r="G63" s="191">
        <f>F63+F64</f>
        <v/>
      </c>
      <c r="H63" s="165" t="n"/>
      <c r="I63" s="165" t="n"/>
      <c r="J63" s="158" t="n"/>
      <c r="K63" s="160" t="n"/>
      <c r="L63" s="158" t="n"/>
      <c r="M63" s="158" t="n"/>
      <c r="N63" s="164" t="n"/>
    </row>
    <row r="64" ht="15.75" customHeight="1">
      <c r="A64" s="28" t="n">
        <v>58</v>
      </c>
      <c r="B64" s="20" t="inlineStr">
        <is>
          <t>Night</t>
        </is>
      </c>
      <c r="C64" s="21">
        <f>C63</f>
        <v/>
      </c>
      <c r="D64" s="24">
        <f>E63</f>
        <v/>
      </c>
      <c r="E64" s="24" t="n">
        <v>1793</v>
      </c>
      <c r="F64" s="24">
        <f>E64-D64</f>
        <v/>
      </c>
      <c r="G64" s="192" t="n"/>
      <c r="H64" s="165" t="n"/>
      <c r="I64" s="165" t="n"/>
      <c r="J64" s="158" t="n"/>
      <c r="K64" s="160" t="n"/>
      <c r="L64" s="158" t="n"/>
      <c r="M64" s="158" t="n"/>
      <c r="N64" s="161" t="n"/>
    </row>
    <row r="65" ht="15.75" customHeight="1">
      <c r="A65" s="154" t="n">
        <v>59</v>
      </c>
      <c r="B65" s="157" t="inlineStr">
        <is>
          <t>Day</t>
        </is>
      </c>
      <c r="C65" s="88">
        <f>C63+1</f>
        <v/>
      </c>
      <c r="D65" s="89">
        <f>E64</f>
        <v/>
      </c>
      <c r="E65" s="89" t="n">
        <v>1797</v>
      </c>
      <c r="F65" s="89">
        <f>E65-D65</f>
        <v/>
      </c>
      <c r="G65" s="193">
        <f>F65+F66</f>
        <v/>
      </c>
      <c r="H65" s="151" t="n"/>
      <c r="I65" s="151" t="n"/>
      <c r="J65" s="152" t="n"/>
      <c r="K65" s="149" t="n">
        <v>75</v>
      </c>
      <c r="L65" s="152" t="n">
        <v>1793</v>
      </c>
      <c r="M65" s="152" t="n"/>
      <c r="N65" s="153" t="inlineStr">
        <is>
          <t>Sunday</t>
        </is>
      </c>
    </row>
    <row r="66" ht="15.75" customHeight="1">
      <c r="A66" s="155" t="n">
        <v>60</v>
      </c>
      <c r="B66" s="156" t="inlineStr">
        <is>
          <t>Night</t>
        </is>
      </c>
      <c r="C66" s="88">
        <f>C64+1</f>
        <v/>
      </c>
      <c r="D66" s="89">
        <f>E65</f>
        <v/>
      </c>
      <c r="E66" s="89" t="n">
        <v>1799</v>
      </c>
      <c r="F66" s="89">
        <f>E66-D66</f>
        <v/>
      </c>
      <c r="G66" s="192" t="n"/>
      <c r="H66" s="151" t="n"/>
      <c r="I66" s="151" t="n"/>
      <c r="J66" s="152" t="n"/>
      <c r="K66" s="152" t="n"/>
      <c r="L66" s="152" t="n"/>
      <c r="M66" s="152" t="n"/>
      <c r="N66" s="153" t="n"/>
    </row>
    <row r="67" ht="15.75" customHeight="1">
      <c r="A67" s="28" t="n">
        <v>61</v>
      </c>
      <c r="B67" s="27" t="inlineStr">
        <is>
          <t>Day</t>
        </is>
      </c>
      <c r="C67" s="21">
        <f>C65+1</f>
        <v/>
      </c>
      <c r="D67" s="24">
        <f>E66</f>
        <v/>
      </c>
      <c r="E67" s="24" t="n">
        <v>1799</v>
      </c>
      <c r="F67" s="24">
        <f>E67-D67</f>
        <v/>
      </c>
      <c r="G67" s="191">
        <f>F67+F68</f>
        <v/>
      </c>
      <c r="H67" s="165" t="n"/>
      <c r="I67" s="165" t="n"/>
      <c r="J67" s="158" t="n"/>
      <c r="K67" s="160" t="n"/>
      <c r="L67" s="158" t="n"/>
      <c r="M67" s="158" t="n"/>
      <c r="N67" s="161" t="n"/>
    </row>
    <row r="68" ht="16.5" customHeight="1" thickBot="1">
      <c r="A68" s="31" t="n">
        <v>62</v>
      </c>
      <c r="B68" s="29" t="inlineStr">
        <is>
          <t>Night</t>
        </is>
      </c>
      <c r="C68" s="21">
        <f>C66+1</f>
        <v/>
      </c>
      <c r="D68" s="24">
        <f>E67</f>
        <v/>
      </c>
      <c r="E68" s="24" t="n">
        <v>1800</v>
      </c>
      <c r="F68" s="24">
        <f>E68-D68</f>
        <v/>
      </c>
      <c r="G68" s="192" t="n"/>
      <c r="H68" s="165" t="n"/>
      <c r="I68" s="165" t="n"/>
      <c r="J68" s="158" t="n"/>
      <c r="K68" s="158" t="n"/>
      <c r="L68" s="158" t="n"/>
      <c r="M68" s="158" t="n"/>
      <c r="N68" s="161" t="n"/>
    </row>
    <row r="69" ht="16.5" customHeight="1" thickBot="1">
      <c r="A69" s="207" t="inlineStr">
        <is>
          <t>Total</t>
        </is>
      </c>
      <c r="B69" s="208" t="n"/>
      <c r="C69" s="208" t="n"/>
      <c r="D69" s="208" t="n"/>
      <c r="E69" s="209" t="n"/>
      <c r="F69" s="32">
        <f>SUBTOTAL(9,F7:F68)</f>
        <v/>
      </c>
      <c r="G69" s="32">
        <f>SUBTOTAL(9,G7:G68)</f>
        <v/>
      </c>
      <c r="H69" s="34" t="n"/>
      <c r="I69" s="35" t="n"/>
      <c r="J69" s="36" t="n"/>
      <c r="K69" s="32">
        <f>SUBTOTAL(9,K7:K68)</f>
        <v/>
      </c>
      <c r="L69" s="36" t="n"/>
      <c r="M69" s="36" t="n"/>
      <c r="N69" s="37" t="n"/>
    </row>
    <row r="71" ht="15.75" customHeight="1">
      <c r="E71" s="195" t="inlineStr">
        <is>
          <t>Max hsd as per loi(5-6)</t>
        </is>
      </c>
      <c r="F71" s="189" t="n"/>
      <c r="G71" s="190" t="n"/>
      <c r="H71" s="195">
        <f>G69*6</f>
        <v/>
      </c>
    </row>
    <row r="72" ht="15.75" customHeight="1">
      <c r="C72" s="167" t="n"/>
      <c r="E72" s="195" t="inlineStr">
        <is>
          <t>Actual diesel cosumption</t>
        </is>
      </c>
      <c r="F72" s="189" t="n"/>
      <c r="G72" s="190" t="n"/>
      <c r="H72" s="140">
        <f>K69</f>
        <v/>
      </c>
    </row>
    <row r="73" ht="15.75" customHeight="1">
      <c r="E73" s="195" t="inlineStr">
        <is>
          <t>Fuel ecxess</t>
        </is>
      </c>
      <c r="F73" s="189" t="n"/>
      <c r="G73" s="190" t="n"/>
      <c r="H73" s="140">
        <f>H72-H71</f>
        <v/>
      </c>
    </row>
    <row r="75">
      <c r="A75" t="inlineStr">
        <is>
          <t>Raise tax invoice with full hiring charges</t>
        </is>
      </c>
    </row>
    <row r="76">
      <c r="A76" t="inlineStr">
        <is>
          <t>Poonam Goswami</t>
        </is>
      </c>
    </row>
    <row r="77">
      <c r="A77" s="169" t="n">
        <v>46269</v>
      </c>
    </row>
  </sheetData>
  <mergeCells count="45">
    <mergeCell ref="A5:D5"/>
    <mergeCell ref="G67:G68"/>
    <mergeCell ref="G43:G44"/>
    <mergeCell ref="G23:G24"/>
    <mergeCell ref="G17:G18"/>
    <mergeCell ref="G57:G58"/>
    <mergeCell ref="G61:G62"/>
    <mergeCell ref="A4:D4"/>
    <mergeCell ref="G13:G14"/>
    <mergeCell ref="G7:G8"/>
    <mergeCell ref="G39:G40"/>
    <mergeCell ref="G19:G20"/>
    <mergeCell ref="A69:E69"/>
    <mergeCell ref="G53:G54"/>
    <mergeCell ref="G65:G66"/>
    <mergeCell ref="E3:N3"/>
    <mergeCell ref="G37:G38"/>
    <mergeCell ref="G15:G16"/>
    <mergeCell ref="G55:G56"/>
    <mergeCell ref="G49:G50"/>
    <mergeCell ref="G29:G30"/>
    <mergeCell ref="A1:D1"/>
    <mergeCell ref="E72:G72"/>
    <mergeCell ref="E5:N5"/>
    <mergeCell ref="G63:G64"/>
    <mergeCell ref="G33:G34"/>
    <mergeCell ref="G51:G52"/>
    <mergeCell ref="E4:N4"/>
    <mergeCell ref="G45:G46"/>
    <mergeCell ref="G25:G26"/>
    <mergeCell ref="G41:G42"/>
    <mergeCell ref="G59:G60"/>
    <mergeCell ref="G35:G36"/>
    <mergeCell ref="E1:N1"/>
    <mergeCell ref="E71:G71"/>
    <mergeCell ref="G9:G10"/>
    <mergeCell ref="G27:G28"/>
    <mergeCell ref="G47:G48"/>
    <mergeCell ref="A3:D3"/>
    <mergeCell ref="G21:G22"/>
    <mergeCell ref="E73:G73"/>
    <mergeCell ref="A2:D2"/>
    <mergeCell ref="G31:G32"/>
    <mergeCell ref="G11:G12"/>
    <mergeCell ref="E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1"/>
  <sheetViews>
    <sheetView tabSelected="1" topLeftCell="A28" workbookViewId="0">
      <selection activeCell="E50" sqref="E50"/>
    </sheetView>
  </sheetViews>
  <sheetFormatPr baseColWidth="8" defaultRowHeight="15"/>
  <cols>
    <col width="10.42578125" bestFit="1" customWidth="1" min="3" max="3"/>
  </cols>
  <sheetData>
    <row r="1" ht="18.75" customHeight="1">
      <c r="A1" s="194" t="inlineStr">
        <is>
          <t xml:space="preserve">Vendor Description  </t>
        </is>
      </c>
      <c r="B1" s="189" t="n"/>
      <c r="C1" s="189" t="n"/>
      <c r="D1" s="190" t="n"/>
      <c r="E1" s="204" t="inlineStr">
        <is>
          <t>EKTA ENTERPRISES</t>
        </is>
      </c>
      <c r="F1" s="205" t="n"/>
      <c r="G1" s="205" t="n"/>
      <c r="H1" s="205" t="n"/>
      <c r="I1" s="205" t="n"/>
      <c r="J1" s="205" t="n"/>
      <c r="K1" s="205" t="n"/>
      <c r="L1" s="205" t="n"/>
      <c r="M1" s="205" t="n"/>
      <c r="N1" s="206" t="n"/>
    </row>
    <row r="2" ht="18.75" customHeight="1">
      <c r="A2" s="194" t="inlineStr">
        <is>
          <t xml:space="preserve">Asset  Discription  </t>
        </is>
      </c>
      <c r="B2" s="189" t="n"/>
      <c r="C2" s="189" t="n"/>
      <c r="D2" s="190" t="n"/>
      <c r="E2" s="197" t="inlineStr">
        <is>
          <t xml:space="preserve">XCMG Crawler CRANE </t>
        </is>
      </c>
      <c r="F2" s="198" t="n"/>
      <c r="G2" s="198" t="n"/>
      <c r="H2" s="198" t="n"/>
      <c r="I2" s="198" t="n"/>
      <c r="J2" s="198" t="n"/>
      <c r="K2" s="198" t="n"/>
      <c r="L2" s="198" t="n"/>
      <c r="M2" s="198" t="n"/>
      <c r="N2" s="199" t="n"/>
    </row>
    <row r="3" ht="18.75" customHeight="1">
      <c r="A3" s="194" t="inlineStr">
        <is>
          <t xml:space="preserve">Asset  Capacity  </t>
        </is>
      </c>
      <c r="B3" s="189" t="n"/>
      <c r="C3" s="189" t="n"/>
      <c r="D3" s="190" t="n"/>
      <c r="E3" s="197" t="inlineStr">
        <is>
          <t>45 Ton</t>
        </is>
      </c>
      <c r="F3" s="198" t="n"/>
      <c r="G3" s="198" t="n"/>
      <c r="H3" s="198" t="n"/>
      <c r="I3" s="198" t="n"/>
      <c r="J3" s="198" t="n"/>
      <c r="K3" s="198" t="n"/>
      <c r="L3" s="198" t="n"/>
      <c r="M3" s="198" t="n"/>
      <c r="N3" s="199" t="n"/>
    </row>
    <row r="4" ht="18.75" customHeight="1">
      <c r="A4" s="194" t="inlineStr">
        <is>
          <t xml:space="preserve">Billing Period  </t>
        </is>
      </c>
      <c r="B4" s="189" t="n"/>
      <c r="C4" s="189" t="n"/>
      <c r="D4" s="190" t="n"/>
      <c r="E4" s="203" t="inlineStr">
        <is>
          <t>01-09-2026 TO 30-09-2026</t>
        </is>
      </c>
      <c r="F4" s="198" t="n"/>
      <c r="G4" s="198" t="n"/>
      <c r="H4" s="198" t="n"/>
      <c r="I4" s="198" t="n"/>
      <c r="J4" s="198" t="n"/>
      <c r="K4" s="198" t="n"/>
      <c r="L4" s="198" t="n"/>
      <c r="M4" s="198" t="n"/>
      <c r="N4" s="199" t="n"/>
    </row>
    <row r="5" ht="18.75" customHeight="1" thickBot="1">
      <c r="A5" s="188" t="inlineStr">
        <is>
          <t>COMPANY  NAME</t>
        </is>
      </c>
      <c r="B5" s="189" t="n"/>
      <c r="C5" s="189" t="n"/>
      <c r="D5" s="190" t="n"/>
      <c r="E5" s="200" t="inlineStr">
        <is>
          <t>Hindustan Infrastructure solution Ahemdabaad</t>
        </is>
      </c>
      <c r="F5" s="201" t="n"/>
      <c r="G5" s="201" t="n"/>
      <c r="H5" s="201" t="n"/>
      <c r="I5" s="201" t="n"/>
      <c r="J5" s="201" t="n"/>
      <c r="K5" s="201" t="n"/>
      <c r="L5" s="201" t="n"/>
      <c r="M5" s="201" t="n"/>
      <c r="N5" s="202" t="n"/>
    </row>
    <row r="6" ht="57.75" customHeight="1" thickBot="1">
      <c r="A6" s="131" t="inlineStr">
        <is>
          <t>SR. NO.</t>
        </is>
      </c>
      <c r="B6" s="131" t="inlineStr">
        <is>
          <t>Shift</t>
        </is>
      </c>
      <c r="C6" s="132" t="inlineStr">
        <is>
          <t>Date</t>
        </is>
      </c>
      <c r="D6" s="132" t="inlineStr">
        <is>
          <t>Starting HMR</t>
        </is>
      </c>
      <c r="E6" s="17" t="inlineStr">
        <is>
          <t>Closing HMR</t>
        </is>
      </c>
      <c r="F6" s="38" t="inlineStr">
        <is>
          <t>HMR at Diesel Fill</t>
        </is>
      </c>
      <c r="G6" s="18" t="inlineStr">
        <is>
          <t>Normal  Shift
Hours</t>
        </is>
      </c>
      <c r="H6" s="3" t="inlineStr">
        <is>
          <t>Breakdown Start Time</t>
        </is>
      </c>
      <c r="I6" s="4" t="inlineStr">
        <is>
          <t>Breakdown End Time</t>
        </is>
      </c>
      <c r="J6" s="2" t="inlineStr">
        <is>
          <t>Breakdown Hours</t>
        </is>
      </c>
      <c r="K6" s="5" t="inlineStr">
        <is>
          <t>Diesel Issued (Ltr)</t>
        </is>
      </c>
      <c r="L6" s="2" t="inlineStr">
        <is>
          <t>HMR at Diesel Fill</t>
        </is>
      </c>
      <c r="M6" s="2" t="inlineStr">
        <is>
          <t>Hours</t>
        </is>
      </c>
      <c r="N6" s="2" t="inlineStr">
        <is>
          <t>Remark</t>
        </is>
      </c>
    </row>
    <row r="7" ht="15.75" customHeight="1">
      <c r="A7" s="19" t="n">
        <v>1</v>
      </c>
      <c r="B7" s="20" t="inlineStr">
        <is>
          <t>Day</t>
        </is>
      </c>
      <c r="C7" s="21" t="n">
        <v>46266</v>
      </c>
      <c r="D7" s="24">
        <f>'Aug-26'!E68</f>
        <v/>
      </c>
      <c r="E7" s="23" t="n">
        <v>1804</v>
      </c>
      <c r="F7" s="24">
        <f>IF(OR(D7="",E7=""),0,E7-D7)</f>
        <v/>
      </c>
      <c r="G7" s="196">
        <f>F7+F8</f>
        <v/>
      </c>
      <c r="H7" s="6" t="n"/>
      <c r="I7" s="6" t="n"/>
      <c r="J7" s="6" t="n"/>
      <c r="K7" s="6" t="n">
        <v>270</v>
      </c>
      <c r="L7" s="158" t="n">
        <v>1802</v>
      </c>
      <c r="M7" s="8" t="n"/>
      <c r="N7" s="9" t="n"/>
    </row>
    <row r="8" ht="15.75" customHeight="1">
      <c r="A8" s="19" t="n">
        <v>2</v>
      </c>
      <c r="B8" s="20" t="inlineStr">
        <is>
          <t>Night</t>
        </is>
      </c>
      <c r="C8" s="21" t="n">
        <v>46266</v>
      </c>
      <c r="D8" s="22">
        <f>E7</f>
        <v/>
      </c>
      <c r="E8" s="23" t="n">
        <v>1806</v>
      </c>
      <c r="F8" s="24">
        <f>IF(OR(D8="",E8=""),0,E8-D8)</f>
        <v/>
      </c>
      <c r="G8" s="192" t="n"/>
      <c r="H8" s="159" t="n"/>
      <c r="I8" s="159" t="n"/>
      <c r="J8" s="160" t="n"/>
      <c r="K8" s="160" t="n"/>
      <c r="L8" s="158" t="n"/>
      <c r="M8" s="158" t="n"/>
      <c r="N8" s="161" t="n"/>
    </row>
    <row r="9" ht="15.75" customHeight="1">
      <c r="A9" s="143" t="n">
        <v>3</v>
      </c>
      <c r="B9" s="144" t="inlineStr">
        <is>
          <t>Day</t>
        </is>
      </c>
      <c r="C9" s="88" t="n">
        <v>46267</v>
      </c>
      <c r="D9" s="145">
        <f>E8</f>
        <v/>
      </c>
      <c r="E9" s="146" t="n">
        <v>1807</v>
      </c>
      <c r="F9" s="24">
        <f>IF(OR(D9="",E9=""),0,E9-D9)</f>
        <v/>
      </c>
      <c r="G9" s="193">
        <f>F9+F10</f>
        <v/>
      </c>
      <c r="H9" s="147" t="n"/>
      <c r="I9" s="147" t="n"/>
      <c r="J9" s="149" t="n"/>
      <c r="K9" s="149" t="n"/>
      <c r="L9" s="149" t="n"/>
      <c r="M9" s="149" t="n"/>
      <c r="N9" s="153" t="n"/>
    </row>
    <row r="10" ht="15.75" customHeight="1">
      <c r="A10" s="143" t="n">
        <v>4</v>
      </c>
      <c r="B10" s="144" t="inlineStr">
        <is>
          <t>Night</t>
        </is>
      </c>
      <c r="C10" s="88" t="n">
        <v>46267</v>
      </c>
      <c r="D10" s="145">
        <f>E9</f>
        <v/>
      </c>
      <c r="E10" s="146" t="n">
        <v>1807</v>
      </c>
      <c r="F10" s="24">
        <f>IF(OR(D10="",E10=""),0,E10-D10)</f>
        <v/>
      </c>
      <c r="G10" s="192" t="n"/>
      <c r="H10" s="147" t="n"/>
      <c r="I10" s="147" t="n"/>
      <c r="J10" s="149" t="n"/>
      <c r="K10" s="149" t="n"/>
      <c r="L10" s="149" t="n"/>
      <c r="M10" s="149" t="n"/>
      <c r="N10" s="153" t="n"/>
    </row>
    <row r="11" ht="15.75" customHeight="1">
      <c r="A11" s="19" t="n">
        <v>5</v>
      </c>
      <c r="B11" s="20" t="inlineStr">
        <is>
          <t>Day</t>
        </is>
      </c>
      <c r="C11" s="21" t="n">
        <v>46268</v>
      </c>
      <c r="D11" s="22">
        <f>E10</f>
        <v/>
      </c>
      <c r="E11" s="23" t="n">
        <v>1812</v>
      </c>
      <c r="F11" s="24">
        <f>IF(OR(D11="",E11=""),0,E11-D11)</f>
        <v/>
      </c>
      <c r="G11" s="191">
        <f>F11+F12</f>
        <v/>
      </c>
      <c r="H11" s="162" t="n"/>
      <c r="I11" s="162" t="n"/>
      <c r="J11" s="163" t="n"/>
      <c r="K11" s="160" t="n"/>
      <c r="L11" s="160" t="n"/>
      <c r="M11" s="160" t="n"/>
      <c r="N11" s="164" t="n"/>
    </row>
    <row r="12" ht="15.75" customHeight="1">
      <c r="A12" s="19" t="n">
        <v>6</v>
      </c>
      <c r="B12" s="20" t="inlineStr">
        <is>
          <t>Night</t>
        </is>
      </c>
      <c r="C12" s="21" t="n">
        <v>46268</v>
      </c>
      <c r="D12" s="22">
        <f>E11</f>
        <v/>
      </c>
      <c r="E12" s="23" t="n">
        <v>1814</v>
      </c>
      <c r="F12" s="24">
        <f>IF(OR(D12="",E12=""),0,E12-D12)</f>
        <v/>
      </c>
      <c r="G12" s="192" t="n"/>
      <c r="H12" s="162" t="n"/>
      <c r="I12" s="162" t="n"/>
      <c r="J12" s="160" t="n"/>
      <c r="K12" s="160" t="n"/>
      <c r="L12" s="160" t="n"/>
      <c r="M12" s="160" t="n"/>
      <c r="N12" s="164" t="n"/>
    </row>
    <row r="13" ht="15.75" customHeight="1">
      <c r="A13" s="19" t="n">
        <v>7</v>
      </c>
      <c r="B13" s="20" t="inlineStr">
        <is>
          <t>Day</t>
        </is>
      </c>
      <c r="C13" s="21" t="n">
        <v>46269</v>
      </c>
      <c r="D13" s="22">
        <f>E12</f>
        <v/>
      </c>
      <c r="E13" s="23" t="n">
        <v>1814</v>
      </c>
      <c r="F13" s="24">
        <f>IF(OR(D13="",E13=""),0,E13-D13)</f>
        <v/>
      </c>
      <c r="G13" s="191">
        <f>F13+F14</f>
        <v/>
      </c>
      <c r="H13" s="162" t="n"/>
      <c r="I13" s="162" t="n"/>
      <c r="J13" s="160" t="n"/>
      <c r="K13" s="160" t="n"/>
      <c r="L13" s="160" t="n"/>
      <c r="M13" s="160" t="n"/>
      <c r="N13" s="164" t="n"/>
    </row>
    <row r="14" ht="15.75" customHeight="1">
      <c r="A14" s="19" t="n">
        <v>8</v>
      </c>
      <c r="B14" s="20" t="inlineStr">
        <is>
          <t>Night</t>
        </is>
      </c>
      <c r="C14" s="21" t="n">
        <v>46269</v>
      </c>
      <c r="D14" s="22">
        <f>E13</f>
        <v/>
      </c>
      <c r="E14" s="23" t="n">
        <v>1814</v>
      </c>
      <c r="F14" s="24">
        <f>IF(OR(D14="",E14=""),0,E14-D14)</f>
        <v/>
      </c>
      <c r="G14" s="192" t="n"/>
      <c r="H14" s="162" t="n"/>
      <c r="I14" s="162" t="n"/>
      <c r="J14" s="160" t="n"/>
      <c r="K14" s="160" t="n"/>
      <c r="L14" s="160" t="n"/>
      <c r="M14" s="160" t="n"/>
      <c r="N14" s="164" t="n"/>
    </row>
    <row r="15" ht="15.75" customHeight="1">
      <c r="A15" s="19" t="n">
        <v>9</v>
      </c>
      <c r="B15" s="20" t="inlineStr">
        <is>
          <t>Day</t>
        </is>
      </c>
      <c r="C15" s="21" t="n">
        <v>46270</v>
      </c>
      <c r="D15" s="22">
        <f>E14</f>
        <v/>
      </c>
      <c r="E15" s="23" t="n">
        <v>1814</v>
      </c>
      <c r="F15" s="24">
        <f>IF(OR(D15="",E15=""),0,E15-D15)</f>
        <v/>
      </c>
      <c r="G15" s="191">
        <f>F15+F16</f>
        <v/>
      </c>
      <c r="H15" s="162" t="n"/>
      <c r="I15" s="162" t="n"/>
      <c r="J15" s="160" t="n"/>
      <c r="K15" s="160" t="n"/>
      <c r="L15" s="160" t="n"/>
      <c r="M15" s="160" t="n"/>
      <c r="N15" s="164" t="n"/>
    </row>
    <row r="16" ht="15.75" customHeight="1">
      <c r="A16" s="19" t="n">
        <v>10</v>
      </c>
      <c r="B16" s="20" t="inlineStr">
        <is>
          <t>Night</t>
        </is>
      </c>
      <c r="C16" s="21" t="n">
        <v>46270</v>
      </c>
      <c r="D16" s="22">
        <f>E15</f>
        <v/>
      </c>
      <c r="E16" s="23" t="n">
        <v>1814</v>
      </c>
      <c r="F16" s="24">
        <f>IF(OR(D16="",E16=""),0,E16-D16)</f>
        <v/>
      </c>
      <c r="G16" s="192" t="n"/>
      <c r="H16" s="162" t="n"/>
      <c r="I16" s="162" t="n"/>
      <c r="J16" s="160" t="n"/>
      <c r="K16" s="160" t="n"/>
      <c r="L16" s="160" t="n"/>
      <c r="M16" s="160" t="n"/>
      <c r="N16" s="164" t="n"/>
    </row>
    <row r="17" ht="15.75" customHeight="1">
      <c r="A17" s="19" t="n">
        <v>11</v>
      </c>
      <c r="B17" s="20" t="inlineStr">
        <is>
          <t>Day</t>
        </is>
      </c>
      <c r="C17" s="21" t="n">
        <v>46271</v>
      </c>
      <c r="D17" s="22">
        <f>E16</f>
        <v/>
      </c>
      <c r="E17" s="23" t="n">
        <v>1814</v>
      </c>
      <c r="F17" s="24">
        <f>IF(OR(D17="",E17=""),0,E17-D17)</f>
        <v/>
      </c>
      <c r="G17" s="191">
        <f>F17+F18</f>
        <v/>
      </c>
      <c r="H17" s="162" t="n"/>
      <c r="I17" s="162" t="n"/>
      <c r="J17" s="160" t="n"/>
      <c r="K17" s="160" t="n"/>
      <c r="L17" s="160" t="n"/>
      <c r="M17" s="160" t="n"/>
      <c r="N17" s="164" t="n"/>
    </row>
    <row r="18" ht="15.75" customHeight="1">
      <c r="A18" s="19" t="n">
        <v>12</v>
      </c>
      <c r="B18" s="20" t="inlineStr">
        <is>
          <t>Night</t>
        </is>
      </c>
      <c r="C18" s="21" t="n">
        <v>46271</v>
      </c>
      <c r="D18" s="22">
        <f>E17</f>
        <v/>
      </c>
      <c r="E18" s="23" t="n">
        <v>1814</v>
      </c>
      <c r="F18" s="24">
        <f>IF(OR(D18="",E18=""),0,E18-D18)</f>
        <v/>
      </c>
      <c r="G18" s="192" t="n"/>
      <c r="H18" s="162" t="n"/>
      <c r="I18" s="162" t="n"/>
      <c r="J18" s="160" t="n"/>
      <c r="K18" s="160" t="n"/>
      <c r="L18" s="160" t="n"/>
      <c r="M18" s="160" t="n"/>
      <c r="N18" s="164" t="n"/>
    </row>
    <row r="19" ht="15.75" customHeight="1">
      <c r="A19" s="19" t="n">
        <v>13</v>
      </c>
      <c r="B19" s="20" t="inlineStr">
        <is>
          <t>Day</t>
        </is>
      </c>
      <c r="C19" s="21" t="n">
        <v>46272</v>
      </c>
      <c r="D19" s="24">
        <f>E18</f>
        <v/>
      </c>
      <c r="E19" s="24" t="n">
        <v>1815</v>
      </c>
      <c r="F19" s="24">
        <f>IF(OR(D19="",E19=""),0,E19-D19)</f>
        <v/>
      </c>
      <c r="G19" s="191">
        <f>F19+F20</f>
        <v/>
      </c>
      <c r="H19" s="162" t="n"/>
      <c r="I19" s="162" t="n"/>
      <c r="J19" s="160" t="n"/>
      <c r="K19" s="160" t="n"/>
      <c r="L19" s="160" t="n"/>
      <c r="M19" s="160" t="n"/>
      <c r="N19" s="164" t="n"/>
    </row>
    <row r="20" ht="15.75" customHeight="1">
      <c r="A20" s="19" t="n">
        <v>14</v>
      </c>
      <c r="B20" s="20" t="inlineStr">
        <is>
          <t>Night</t>
        </is>
      </c>
      <c r="C20" s="21" t="n">
        <v>46272</v>
      </c>
      <c r="D20" s="24">
        <f>E19</f>
        <v/>
      </c>
      <c r="E20" s="24" t="n">
        <v>1815</v>
      </c>
      <c r="F20" s="24">
        <f>IF(OR(D20="",E20=""),0,E20-D20)</f>
        <v/>
      </c>
      <c r="G20" s="192" t="n"/>
      <c r="H20" s="162" t="n"/>
      <c r="I20" s="162" t="n"/>
      <c r="J20" s="160" t="n"/>
      <c r="K20" s="160" t="n"/>
      <c r="L20" s="160" t="n"/>
      <c r="M20" s="160" t="n"/>
      <c r="N20" s="164" t="n"/>
    </row>
    <row r="21" ht="15.75" customHeight="1">
      <c r="A21" s="19" t="n">
        <v>15</v>
      </c>
      <c r="B21" s="20" t="inlineStr">
        <is>
          <t>Day</t>
        </is>
      </c>
      <c r="C21" s="21" t="n">
        <v>46273</v>
      </c>
      <c r="D21" s="24">
        <f>E20</f>
        <v/>
      </c>
      <c r="E21" s="24" t="n">
        <v>1822</v>
      </c>
      <c r="F21" s="24">
        <f>IF(OR(D21="",E21=""),0,E21-D21)</f>
        <v/>
      </c>
      <c r="G21" s="191">
        <f>F21+F22</f>
        <v/>
      </c>
      <c r="H21" s="162" t="n"/>
      <c r="I21" s="162" t="n"/>
      <c r="J21" s="160" t="n"/>
      <c r="K21" s="160" t="n"/>
      <c r="L21" s="160" t="n"/>
      <c r="M21" s="160" t="n"/>
      <c r="N21" s="164" t="n"/>
    </row>
    <row r="22" ht="15.75" customHeight="1">
      <c r="A22" s="19" t="n">
        <v>16</v>
      </c>
      <c r="B22" s="20" t="inlineStr">
        <is>
          <t>Night</t>
        </is>
      </c>
      <c r="C22" s="21" t="n">
        <v>46273</v>
      </c>
      <c r="D22" s="24">
        <f>E21</f>
        <v/>
      </c>
      <c r="E22" s="24" t="n">
        <v>1822</v>
      </c>
      <c r="F22" s="24">
        <f>IF(OR(D22="",E22=""),0,E22-D22)</f>
        <v/>
      </c>
      <c r="G22" s="192" t="n"/>
      <c r="H22" s="162" t="n"/>
      <c r="I22" s="162" t="n"/>
      <c r="J22" s="160" t="n"/>
      <c r="K22" s="160" t="n"/>
      <c r="L22" s="160" t="n"/>
      <c r="M22" s="160" t="n"/>
      <c r="N22" s="164" t="n"/>
    </row>
    <row r="23" ht="15.75" customHeight="1">
      <c r="A23" s="143" t="n">
        <v>17</v>
      </c>
      <c r="B23" s="144" t="inlineStr">
        <is>
          <t>Day</t>
        </is>
      </c>
      <c r="C23" s="88" t="n">
        <v>46274</v>
      </c>
      <c r="D23" s="89">
        <f>E22</f>
        <v/>
      </c>
      <c r="E23" s="89" t="n">
        <v>1826</v>
      </c>
      <c r="F23" s="24">
        <f>IF(OR(D23="",E23=""),0,E23-D23)</f>
        <v/>
      </c>
      <c r="G23" s="193">
        <f>F23+F24</f>
        <v/>
      </c>
      <c r="H23" s="147" t="n"/>
      <c r="I23" s="147" t="n"/>
      <c r="J23" s="149" t="n"/>
      <c r="K23" s="149" t="n"/>
      <c r="L23" s="149" t="n"/>
      <c r="M23" s="149" t="n"/>
      <c r="N23" s="153" t="n"/>
    </row>
    <row r="24" ht="15.75" customHeight="1">
      <c r="A24" s="143" t="n">
        <v>18</v>
      </c>
      <c r="B24" s="144" t="inlineStr">
        <is>
          <t>Night</t>
        </is>
      </c>
      <c r="C24" s="88" t="n">
        <v>46274</v>
      </c>
      <c r="D24" s="89">
        <f>E23</f>
        <v/>
      </c>
      <c r="E24" s="89" t="n">
        <v>1826</v>
      </c>
      <c r="F24" s="24">
        <f>IF(OR(D24="",E24=""),0,E24-D24)</f>
        <v/>
      </c>
      <c r="G24" s="192" t="n"/>
      <c r="H24" s="147" t="n"/>
      <c r="I24" s="147" t="n"/>
      <c r="J24" s="149" t="n"/>
      <c r="K24" s="149" t="n"/>
      <c r="L24" s="149" t="n"/>
      <c r="M24" s="149" t="n"/>
      <c r="N24" s="150" t="n"/>
    </row>
    <row r="25" ht="15.75" customHeight="1">
      <c r="A25" s="19" t="n">
        <v>19</v>
      </c>
      <c r="B25" s="20" t="inlineStr">
        <is>
          <t>Day</t>
        </is>
      </c>
      <c r="C25" s="21" t="n">
        <v>46275</v>
      </c>
      <c r="D25" s="24">
        <f>E24</f>
        <v/>
      </c>
      <c r="E25" s="24" t="n">
        <v>1826</v>
      </c>
      <c r="F25" s="24">
        <f>IF(OR(D25="",E25=""),0,E25-D25)</f>
        <v/>
      </c>
      <c r="G25" s="191">
        <f>F25+F26</f>
        <v/>
      </c>
      <c r="H25" s="162" t="n"/>
      <c r="I25" s="162" t="n"/>
      <c r="J25" s="160" t="n"/>
      <c r="K25" s="160" t="n"/>
      <c r="L25" s="160" t="n"/>
      <c r="M25" s="160" t="n"/>
      <c r="N25" s="164" t="n"/>
    </row>
    <row r="26" ht="15.75" customHeight="1">
      <c r="A26" s="19" t="n">
        <v>20</v>
      </c>
      <c r="B26" s="20" t="inlineStr">
        <is>
          <t>Night</t>
        </is>
      </c>
      <c r="C26" s="21" t="n">
        <v>46275</v>
      </c>
      <c r="D26" s="24">
        <f>E25</f>
        <v/>
      </c>
      <c r="E26" s="24" t="n">
        <v>1826</v>
      </c>
      <c r="F26" s="24">
        <f>IF(OR(D26="",E26=""),0,E26-D26)</f>
        <v/>
      </c>
      <c r="G26" s="192" t="n"/>
      <c r="H26" s="162" t="n"/>
      <c r="I26" s="162" t="n"/>
      <c r="J26" s="160" t="n"/>
      <c r="K26" s="160" t="n"/>
      <c r="L26" s="160" t="n"/>
      <c r="M26" s="160" t="n"/>
      <c r="N26" s="164" t="n"/>
    </row>
    <row r="27" ht="15.75" customHeight="1">
      <c r="A27" s="19" t="n">
        <v>21</v>
      </c>
      <c r="B27" s="20" t="inlineStr">
        <is>
          <t>Day</t>
        </is>
      </c>
      <c r="C27" s="21" t="n">
        <v>46276</v>
      </c>
      <c r="D27" s="24">
        <f>E26</f>
        <v/>
      </c>
      <c r="E27" s="24" t="n">
        <v>1830</v>
      </c>
      <c r="F27" s="24">
        <f>IF(OR(D27="",E27=""),0,E27-D27)</f>
        <v/>
      </c>
      <c r="G27" s="191">
        <f>F27+F28</f>
        <v/>
      </c>
      <c r="H27" s="162" t="n"/>
      <c r="I27" s="162" t="n"/>
      <c r="J27" s="160" t="n"/>
      <c r="K27" s="160" t="n"/>
      <c r="L27" s="160" t="n"/>
      <c r="M27" s="160" t="n"/>
      <c r="N27" s="164" t="n"/>
    </row>
    <row r="28" ht="15.75" customHeight="1">
      <c r="A28" s="19" t="n">
        <v>22</v>
      </c>
      <c r="B28" s="20" t="inlineStr">
        <is>
          <t>Night</t>
        </is>
      </c>
      <c r="C28" s="21" t="n">
        <v>46276</v>
      </c>
      <c r="D28" s="24">
        <f>E27</f>
        <v/>
      </c>
      <c r="E28" s="24" t="n">
        <v>1830</v>
      </c>
      <c r="F28" s="24">
        <f>IF(OR(D28="",E28=""),0,E28-D28)</f>
        <v/>
      </c>
      <c r="G28" s="192" t="n"/>
      <c r="H28" s="162" t="n"/>
      <c r="I28" s="162" t="n"/>
      <c r="J28" s="160" t="n"/>
      <c r="K28" s="160" t="n"/>
      <c r="L28" s="160" t="n"/>
      <c r="M28" s="160" t="n"/>
      <c r="N28" s="164" t="n"/>
    </row>
    <row r="29" ht="15.75" customHeight="1">
      <c r="A29" s="19" t="n">
        <v>23</v>
      </c>
      <c r="B29" s="20" t="inlineStr">
        <is>
          <t>Day</t>
        </is>
      </c>
      <c r="C29" s="21" t="n">
        <v>46277</v>
      </c>
      <c r="D29" s="24">
        <f>E28</f>
        <v/>
      </c>
      <c r="E29" s="24" t="n">
        <v>1833</v>
      </c>
      <c r="F29" s="24">
        <f>IF(OR(D29="",E29=""),0,E29-D29)</f>
        <v/>
      </c>
      <c r="G29" s="191">
        <f>F29+F30</f>
        <v/>
      </c>
      <c r="H29" s="162" t="n"/>
      <c r="I29" s="162" t="n"/>
      <c r="J29" s="160" t="n"/>
      <c r="K29" s="160" t="n"/>
      <c r="L29" s="160" t="n"/>
      <c r="M29" s="160" t="n"/>
      <c r="N29" s="164" t="n"/>
    </row>
    <row r="30" ht="15.75" customHeight="1">
      <c r="A30" s="19" t="n">
        <v>24</v>
      </c>
      <c r="B30" s="20" t="inlineStr">
        <is>
          <t>Night</t>
        </is>
      </c>
      <c r="C30" s="21" t="n">
        <v>46277</v>
      </c>
      <c r="D30" s="24">
        <f>E29</f>
        <v/>
      </c>
      <c r="E30" s="24" t="n">
        <v>1834</v>
      </c>
      <c r="F30" s="24">
        <f>IF(OR(D30="",E30=""),0,E30-D30)</f>
        <v/>
      </c>
      <c r="G30" s="192" t="n"/>
      <c r="H30" s="162" t="n"/>
      <c r="I30" s="162" t="n"/>
      <c r="J30" s="160" t="n"/>
      <c r="K30" s="160" t="n"/>
      <c r="L30" s="160" t="n"/>
      <c r="M30" s="160" t="n"/>
      <c r="N30" s="164" t="n"/>
    </row>
    <row r="31" ht="15.75" customHeight="1">
      <c r="A31" s="19" t="n">
        <v>25</v>
      </c>
      <c r="B31" s="20" t="inlineStr">
        <is>
          <t>Day</t>
        </is>
      </c>
      <c r="C31" s="21" t="n">
        <v>46278</v>
      </c>
      <c r="D31" s="24">
        <f>E30</f>
        <v/>
      </c>
      <c r="E31" s="24" t="n">
        <v>1834</v>
      </c>
      <c r="F31" s="24">
        <f>IF(OR(D31="",E31=""),0,E31-D31)</f>
        <v/>
      </c>
      <c r="G31" s="191">
        <f>F31+F32</f>
        <v/>
      </c>
      <c r="H31" s="162" t="n"/>
      <c r="I31" s="162" t="n"/>
      <c r="J31" s="160" t="n"/>
      <c r="K31" s="160" t="n"/>
      <c r="L31" s="160" t="n"/>
      <c r="M31" s="160" t="n"/>
      <c r="N31" s="164" t="n"/>
    </row>
    <row r="32" ht="15.75" customHeight="1">
      <c r="A32" s="19" t="n">
        <v>26</v>
      </c>
      <c r="B32" s="20" t="inlineStr">
        <is>
          <t>Night</t>
        </is>
      </c>
      <c r="C32" s="21" t="n">
        <v>46278</v>
      </c>
      <c r="D32" s="24">
        <f>E31</f>
        <v/>
      </c>
      <c r="E32" s="24" t="n">
        <v>1834</v>
      </c>
      <c r="F32" s="24">
        <f>IF(OR(D32="",E32=""),0,E32-D32)</f>
        <v/>
      </c>
      <c r="G32" s="192" t="n"/>
      <c r="H32" s="162" t="n"/>
      <c r="I32" s="162" t="n"/>
      <c r="J32" s="160" t="n"/>
      <c r="K32" s="160" t="n"/>
      <c r="L32" s="160" t="n"/>
      <c r="M32" s="160" t="n"/>
      <c r="N32" s="164" t="n"/>
    </row>
    <row r="33" ht="15.75" customHeight="1">
      <c r="A33" s="19" t="n">
        <v>27</v>
      </c>
      <c r="B33" s="20" t="inlineStr">
        <is>
          <t>Day</t>
        </is>
      </c>
      <c r="C33" s="21" t="n">
        <v>46279</v>
      </c>
      <c r="D33" s="24">
        <f>E32</f>
        <v/>
      </c>
      <c r="E33" s="24" t="n">
        <v>1836</v>
      </c>
      <c r="F33" s="24">
        <f>IF(OR(D33="",E33=""),0,E33-D33)</f>
        <v/>
      </c>
      <c r="G33" s="191">
        <f>F33+F34</f>
        <v/>
      </c>
      <c r="H33" s="162" t="n"/>
      <c r="I33" s="162" t="n"/>
      <c r="J33" s="160" t="n"/>
      <c r="K33" s="160" t="n"/>
      <c r="L33" s="160" t="n"/>
      <c r="M33" s="160" t="n"/>
      <c r="N33" s="164" t="n"/>
    </row>
    <row r="34" ht="15.75" customHeight="1">
      <c r="A34" s="19" t="n">
        <v>28</v>
      </c>
      <c r="B34" s="20" t="inlineStr">
        <is>
          <t>Night</t>
        </is>
      </c>
      <c r="C34" s="21" t="n">
        <v>46279</v>
      </c>
      <c r="D34" s="24">
        <f>E33</f>
        <v/>
      </c>
      <c r="E34" s="24" t="n">
        <v>1836</v>
      </c>
      <c r="F34" s="24">
        <f>IF(OR(D34="",E34=""),0,E34-D34)</f>
        <v/>
      </c>
      <c r="G34" s="192" t="n"/>
      <c r="H34" s="162" t="n"/>
      <c r="I34" s="162" t="n"/>
      <c r="J34" s="160" t="n"/>
      <c r="K34" s="160" t="n"/>
      <c r="L34" s="160" t="n"/>
      <c r="M34" s="160" t="n"/>
      <c r="N34" s="164" t="n"/>
    </row>
    <row r="35" ht="15.75" customHeight="1">
      <c r="A35" s="19" t="n">
        <v>29</v>
      </c>
      <c r="B35" s="20" t="inlineStr">
        <is>
          <t>Day</t>
        </is>
      </c>
      <c r="C35" s="21" t="n">
        <v>46280</v>
      </c>
      <c r="D35" s="24">
        <f>E34</f>
        <v/>
      </c>
      <c r="E35" s="24" t="n">
        <v>1836</v>
      </c>
      <c r="F35" s="24">
        <f>IF(OR(D35="",E35=""),0,E35-D35)</f>
        <v/>
      </c>
      <c r="G35" s="191">
        <f>F35+F36</f>
        <v/>
      </c>
      <c r="H35" s="162" t="n"/>
      <c r="I35" s="162" t="n"/>
      <c r="J35" s="160" t="n"/>
      <c r="K35" s="160" t="n"/>
      <c r="L35" s="160" t="n"/>
      <c r="M35" s="160" t="n"/>
      <c r="N35" s="164" t="n"/>
    </row>
    <row r="36" ht="15.75" customHeight="1">
      <c r="A36" s="19" t="n">
        <v>30</v>
      </c>
      <c r="B36" s="20" t="inlineStr">
        <is>
          <t>Night</t>
        </is>
      </c>
      <c r="C36" s="21" t="n">
        <v>46280</v>
      </c>
      <c r="D36" s="24">
        <f>E35</f>
        <v/>
      </c>
      <c r="E36" s="24" t="n">
        <v>1836</v>
      </c>
      <c r="F36" s="24">
        <f>IF(OR(D36="",E36=""),0,E36-D36)</f>
        <v/>
      </c>
      <c r="G36" s="192" t="n"/>
      <c r="H36" s="162" t="n"/>
      <c r="I36" s="162" t="n"/>
      <c r="J36" s="160" t="n"/>
      <c r="K36" s="160" t="n"/>
      <c r="L36" s="160" t="n"/>
      <c r="M36" s="160" t="n"/>
      <c r="N36" s="164" t="n"/>
    </row>
    <row r="37" ht="15.75" customHeight="1">
      <c r="A37" s="143" t="n">
        <v>31</v>
      </c>
      <c r="B37" s="144" t="inlineStr">
        <is>
          <t>Day</t>
        </is>
      </c>
      <c r="C37" s="88" t="n">
        <v>46281</v>
      </c>
      <c r="D37" s="89">
        <f>E36</f>
        <v/>
      </c>
      <c r="E37" s="24" t="n">
        <v>1836</v>
      </c>
      <c r="F37" s="24">
        <f>IF(OR(D37="",E37=""),0,E37-D37)</f>
        <v/>
      </c>
      <c r="G37" s="193">
        <f>F37+F38</f>
        <v/>
      </c>
      <c r="H37" s="147" t="n"/>
      <c r="I37" s="147" t="n"/>
      <c r="J37" s="149" t="n"/>
      <c r="K37" s="149" t="n"/>
      <c r="L37" s="149" t="n"/>
      <c r="M37" s="149" t="n"/>
      <c r="N37" s="153" t="n"/>
    </row>
    <row r="38" ht="15.75" customHeight="1">
      <c r="A38" s="143" t="n">
        <v>32</v>
      </c>
      <c r="B38" s="144" t="inlineStr">
        <is>
          <t>Night</t>
        </is>
      </c>
      <c r="C38" s="88" t="n">
        <v>46281</v>
      </c>
      <c r="D38" s="89">
        <f>E37</f>
        <v/>
      </c>
      <c r="E38" s="24" t="n">
        <v>1836</v>
      </c>
      <c r="F38" s="24">
        <f>IF(OR(D38="",E38=""),0,E38-D38)</f>
        <v/>
      </c>
      <c r="G38" s="192" t="n"/>
      <c r="H38" s="151" t="n"/>
      <c r="I38" s="151" t="n"/>
      <c r="J38" s="152" t="n"/>
      <c r="K38" s="149" t="n"/>
      <c r="L38" s="152" t="n"/>
      <c r="M38" s="152" t="n"/>
      <c r="N38" s="150" t="n"/>
    </row>
    <row r="39" ht="15.75" customHeight="1">
      <c r="A39" s="19" t="n">
        <v>33</v>
      </c>
      <c r="B39" s="20" t="inlineStr">
        <is>
          <t>Day</t>
        </is>
      </c>
      <c r="C39" s="21" t="n">
        <v>46282</v>
      </c>
      <c r="D39" s="24">
        <f>E38</f>
        <v/>
      </c>
      <c r="E39" s="24" t="n">
        <v>1836</v>
      </c>
      <c r="F39" s="24">
        <f>IF(OR(D39="",E39=""),0,E39-D39)</f>
        <v/>
      </c>
      <c r="G39" s="191">
        <f>F39+F40</f>
        <v/>
      </c>
      <c r="H39" s="165" t="n"/>
      <c r="I39" s="165" t="n"/>
      <c r="J39" s="158" t="n"/>
      <c r="K39" s="160" t="n"/>
      <c r="L39" s="158" t="n"/>
      <c r="M39" s="158" t="n"/>
      <c r="N39" s="164" t="n"/>
    </row>
    <row r="40" ht="15.75" customHeight="1">
      <c r="A40" s="19" t="n">
        <v>34</v>
      </c>
      <c r="B40" s="20" t="inlineStr">
        <is>
          <t>Night</t>
        </is>
      </c>
      <c r="C40" s="21" t="n">
        <v>46282</v>
      </c>
      <c r="D40" s="24">
        <f>E39</f>
        <v/>
      </c>
      <c r="E40" s="24" t="n">
        <v>1836</v>
      </c>
      <c r="F40" s="24">
        <f>IF(OR(D40="",E40=""),0,E40-D40)</f>
        <v/>
      </c>
      <c r="G40" s="192" t="n"/>
      <c r="H40" s="165" t="n"/>
      <c r="I40" s="165" t="n"/>
      <c r="J40" s="158" t="n"/>
      <c r="K40" s="160" t="n"/>
      <c r="L40" s="158" t="n"/>
      <c r="M40" s="158" t="n"/>
      <c r="N40" s="164" t="n"/>
    </row>
    <row r="41" ht="15.75" customHeight="1">
      <c r="A41" s="19" t="n">
        <v>43</v>
      </c>
      <c r="B41" s="20" t="inlineStr">
        <is>
          <t>Day</t>
        </is>
      </c>
      <c r="C41" s="21" t="n">
        <v>46283</v>
      </c>
      <c r="D41" s="24">
        <f>E40</f>
        <v/>
      </c>
      <c r="E41" s="24" t="n">
        <v>1838</v>
      </c>
      <c r="F41" s="24">
        <f>IF(OR(D41="",E41=""),0,E41-D41)</f>
        <v/>
      </c>
      <c r="G41" s="191">
        <f>F41+F42</f>
        <v/>
      </c>
      <c r="H41" s="165" t="n"/>
      <c r="I41" s="165" t="n"/>
      <c r="J41" s="158" t="n"/>
      <c r="K41" s="160" t="n"/>
      <c r="L41" s="158" t="n"/>
      <c r="M41" s="158" t="n"/>
      <c r="N41" s="164" t="n"/>
    </row>
    <row r="42" ht="15.75" customHeight="1">
      <c r="A42" s="19" t="n">
        <v>44</v>
      </c>
      <c r="B42" s="20" t="inlineStr">
        <is>
          <t>Night</t>
        </is>
      </c>
      <c r="C42" s="21" t="n">
        <v>46283</v>
      </c>
      <c r="D42" s="24">
        <f>E41</f>
        <v/>
      </c>
      <c r="E42" s="24" t="n">
        <v>1838</v>
      </c>
      <c r="F42" s="24">
        <f>IF(OR(D42="",E42=""),0,E42-D42)</f>
        <v/>
      </c>
      <c r="G42" s="192" t="n"/>
      <c r="H42" s="165" t="n"/>
      <c r="I42" s="165" t="n"/>
      <c r="J42" s="158" t="n"/>
      <c r="K42" s="160" t="n"/>
      <c r="L42" s="158" t="n"/>
      <c r="M42" s="158" t="n"/>
      <c r="N42" s="164" t="n"/>
    </row>
    <row r="43" ht="15.75" customHeight="1">
      <c r="A43" s="19" t="n">
        <v>37</v>
      </c>
      <c r="B43" s="20" t="inlineStr">
        <is>
          <t>Day</t>
        </is>
      </c>
      <c r="C43" s="21" t="n">
        <v>46284</v>
      </c>
      <c r="D43" s="24">
        <f>E42</f>
        <v/>
      </c>
      <c r="E43" s="24" t="n">
        <v>1842</v>
      </c>
      <c r="F43" s="24">
        <f>IF(OR(D43="",E43=""),0,E43-D43)</f>
        <v/>
      </c>
      <c r="G43" s="191">
        <f>F43+F44</f>
        <v/>
      </c>
      <c r="H43" s="165" t="n"/>
      <c r="I43" s="165" t="n"/>
      <c r="J43" s="158" t="n"/>
      <c r="K43" s="160" t="n"/>
      <c r="L43" s="158" t="n"/>
      <c r="M43" s="158" t="n"/>
      <c r="N43" s="164" t="n"/>
    </row>
    <row r="44" ht="15.75" customHeight="1">
      <c r="A44" s="26" t="n">
        <v>38</v>
      </c>
      <c r="B44" s="27" t="inlineStr">
        <is>
          <t>Night</t>
        </is>
      </c>
      <c r="C44" s="21" t="n">
        <v>46284</v>
      </c>
      <c r="D44" s="24">
        <f>E43</f>
        <v/>
      </c>
      <c r="E44" s="24" t="n">
        <v>1848</v>
      </c>
      <c r="F44" s="24">
        <f>IF(OR(D44="",E44=""),0,E44-D44)</f>
        <v/>
      </c>
      <c r="G44" s="192" t="n"/>
      <c r="H44" s="165" t="n"/>
      <c r="I44" s="165" t="n"/>
      <c r="J44" s="158" t="n"/>
      <c r="K44" s="160" t="n">
        <v>118</v>
      </c>
      <c r="L44" s="158" t="n"/>
      <c r="M44" s="158" t="n"/>
      <c r="N44" s="164" t="n"/>
    </row>
    <row r="45" ht="15.75" customHeight="1">
      <c r="A45" s="28" t="n">
        <v>39</v>
      </c>
      <c r="B45" s="29" t="inlineStr">
        <is>
          <t>Day</t>
        </is>
      </c>
      <c r="C45" s="21" t="n">
        <v>46285</v>
      </c>
      <c r="D45" s="24">
        <f>E44</f>
        <v/>
      </c>
      <c r="E45" s="24" t="n">
        <v>1851</v>
      </c>
      <c r="F45" s="24">
        <f>IF(OR(D45="",E45=""),0,E45-D45)</f>
        <v/>
      </c>
      <c r="G45" s="191">
        <f>F45+F46</f>
        <v/>
      </c>
      <c r="H45" s="165" t="n"/>
      <c r="I45" s="165" t="n"/>
      <c r="J45" s="158" t="n"/>
      <c r="K45" s="160" t="n"/>
      <c r="L45" s="158" t="n"/>
      <c r="M45" s="158" t="n"/>
      <c r="N45" s="164" t="n"/>
    </row>
    <row r="46" ht="15.75" customHeight="1">
      <c r="A46" s="28" t="n">
        <v>40</v>
      </c>
      <c r="B46" s="29" t="inlineStr">
        <is>
          <t>Night</t>
        </is>
      </c>
      <c r="C46" s="21" t="n">
        <v>46285</v>
      </c>
      <c r="D46" s="24">
        <f>E45</f>
        <v/>
      </c>
      <c r="E46" s="24" t="n">
        <v>1854</v>
      </c>
      <c r="F46" s="24">
        <f>IF(OR(D46="",E46=""),0,E46-D46)</f>
        <v/>
      </c>
      <c r="G46" s="192" t="n"/>
      <c r="H46" s="165" t="n"/>
      <c r="I46" s="165" t="n"/>
      <c r="J46" s="158" t="n"/>
      <c r="K46" s="160" t="n"/>
      <c r="L46" s="158" t="n"/>
      <c r="M46" s="158" t="n"/>
      <c r="N46" s="164" t="n"/>
    </row>
    <row r="47" ht="15.75" customHeight="1">
      <c r="A47" s="30" t="n">
        <v>41</v>
      </c>
      <c r="B47" s="20" t="inlineStr">
        <is>
          <t>Day</t>
        </is>
      </c>
      <c r="C47" s="21" t="n">
        <v>46286</v>
      </c>
      <c r="D47" s="24">
        <f>E46</f>
        <v/>
      </c>
      <c r="E47" s="24" t="inlineStr">
        <is>
          <t xml:space="preserve"> </t>
        </is>
      </c>
      <c r="F47" s="24">
        <f>IF(OR(D47="",E47=""),0,E47-D47)</f>
        <v/>
      </c>
      <c r="G47" s="191">
        <f>F47+F48</f>
        <v/>
      </c>
      <c r="H47" s="165" t="n"/>
      <c r="I47" s="165" t="n"/>
      <c r="J47" s="158" t="n"/>
      <c r="K47" s="160" t="n"/>
      <c r="L47" s="158" t="n"/>
      <c r="M47" s="158" t="n"/>
      <c r="N47" s="164" t="n"/>
    </row>
    <row r="48" ht="15.75" customHeight="1">
      <c r="A48" s="28" t="n">
        <v>42</v>
      </c>
      <c r="B48" s="20" t="inlineStr">
        <is>
          <t>Night</t>
        </is>
      </c>
      <c r="C48" s="21" t="n">
        <v>46286</v>
      </c>
      <c r="D48" s="24">
        <f>E47</f>
        <v/>
      </c>
      <c r="E48" s="24" t="n"/>
      <c r="F48" s="24">
        <f>IF(OR(D48="",E48=""),0,E48-D48)</f>
        <v/>
      </c>
      <c r="G48" s="192" t="n"/>
      <c r="H48" s="165" t="n"/>
      <c r="I48" s="165" t="n"/>
      <c r="J48" s="158" t="n"/>
      <c r="K48" s="160" t="n"/>
      <c r="L48" s="158" t="n"/>
      <c r="M48" s="158" t="n"/>
      <c r="N48" s="164" t="n"/>
    </row>
    <row r="49" ht="15.75" customHeight="1">
      <c r="A49" s="28" t="n">
        <v>43</v>
      </c>
      <c r="B49" s="20" t="inlineStr">
        <is>
          <t>Day</t>
        </is>
      </c>
      <c r="C49" s="21" t="n">
        <v>46287</v>
      </c>
      <c r="D49" s="24">
        <f>E48</f>
        <v/>
      </c>
      <c r="E49" s="24" t="n">
        <v>10</v>
      </c>
      <c r="F49" s="24">
        <f>IF(OR(D49="",E49=""),0,E49-D49)</f>
        <v/>
      </c>
      <c r="G49" s="191">
        <f>F49+F50</f>
        <v/>
      </c>
      <c r="H49" s="165" t="n"/>
      <c r="I49" s="165" t="n"/>
      <c r="J49" s="158" t="n"/>
      <c r="K49" s="160" t="n"/>
      <c r="L49" s="158" t="n"/>
      <c r="M49" s="158" t="n"/>
      <c r="N49" s="164" t="n"/>
    </row>
    <row r="50" ht="15.75" customHeight="1">
      <c r="A50" s="28" t="n">
        <v>44</v>
      </c>
      <c r="B50" s="20" t="inlineStr">
        <is>
          <t>Night</t>
        </is>
      </c>
      <c r="C50" s="21" t="n">
        <v>46287</v>
      </c>
      <c r="D50" s="24">
        <f>E49</f>
        <v/>
      </c>
      <c r="E50" s="24" t="n"/>
      <c r="F50" s="24">
        <f>IF(OR(D50="",E50=""),0,E50-D50)</f>
        <v/>
      </c>
      <c r="G50" s="192" t="n"/>
      <c r="H50" s="165" t="n"/>
      <c r="I50" s="165" t="n"/>
      <c r="J50" s="158" t="n"/>
      <c r="K50" s="160" t="n"/>
      <c r="L50" s="158" t="n"/>
      <c r="M50" s="158" t="n"/>
      <c r="N50" s="164" t="n"/>
    </row>
    <row r="51" ht="15.75" customHeight="1">
      <c r="A51" s="154" t="n">
        <v>45</v>
      </c>
      <c r="B51" s="144" t="inlineStr">
        <is>
          <t>Day</t>
        </is>
      </c>
      <c r="C51" s="88" t="n">
        <v>46288</v>
      </c>
      <c r="D51" s="89">
        <f>E50</f>
        <v/>
      </c>
      <c r="E51" s="89" t="n">
        <v>1856</v>
      </c>
      <c r="F51" s="24">
        <f>IF(OR(D51="",E51=""),0,E51-D51)</f>
        <v/>
      </c>
      <c r="G51" s="193">
        <f>F51+F52</f>
        <v/>
      </c>
      <c r="H51" s="151" t="n"/>
      <c r="I51" s="151" t="n"/>
      <c r="J51" s="152" t="n"/>
      <c r="K51" s="149" t="n"/>
      <c r="L51" s="152" t="n"/>
      <c r="M51" s="152" t="n"/>
      <c r="N51" s="153" t="n"/>
    </row>
    <row r="52" ht="15.75" customHeight="1">
      <c r="A52" s="154" t="n">
        <v>46</v>
      </c>
      <c r="B52" s="144" t="inlineStr">
        <is>
          <t>Night</t>
        </is>
      </c>
      <c r="C52" s="88" t="n">
        <v>46288</v>
      </c>
      <c r="D52" s="89">
        <f>E51</f>
        <v/>
      </c>
      <c r="E52" s="89" t="n">
        <v>1856</v>
      </c>
      <c r="F52" s="24">
        <f>IF(OR(D52="",E52=""),0,E52-D52)</f>
        <v/>
      </c>
      <c r="G52" s="192" t="n"/>
      <c r="H52" s="151" t="n"/>
      <c r="I52" s="151" t="n"/>
      <c r="J52" s="152" t="n"/>
      <c r="K52" s="149" t="n"/>
      <c r="L52" s="152" t="n"/>
      <c r="M52" s="152" t="n"/>
      <c r="N52" s="150" t="n"/>
    </row>
    <row r="53" ht="15.75" customHeight="1">
      <c r="A53" s="28" t="n">
        <v>47</v>
      </c>
      <c r="B53" s="20" t="inlineStr">
        <is>
          <t>Day</t>
        </is>
      </c>
      <c r="C53" s="21" t="n">
        <v>46289</v>
      </c>
      <c r="D53" s="24">
        <f>E52</f>
        <v/>
      </c>
      <c r="E53" s="24" t="n"/>
      <c r="F53" s="24">
        <f>IF(OR(D53="",E53=""),0,E53-D53)</f>
        <v/>
      </c>
      <c r="G53" s="191">
        <f>F53+F54</f>
        <v/>
      </c>
      <c r="H53" s="165" t="n"/>
      <c r="I53" s="165" t="n"/>
      <c r="J53" s="158" t="n"/>
      <c r="K53" s="160" t="n"/>
      <c r="L53" s="158" t="n"/>
      <c r="M53" s="158" t="n"/>
      <c r="N53" s="164" t="n"/>
    </row>
    <row r="54" ht="15.75" customHeight="1">
      <c r="A54" s="28" t="n">
        <v>48</v>
      </c>
      <c r="B54" s="20" t="inlineStr">
        <is>
          <t>Night</t>
        </is>
      </c>
      <c r="C54" s="21" t="n">
        <v>46289</v>
      </c>
      <c r="D54" s="24">
        <f>E53</f>
        <v/>
      </c>
      <c r="E54" s="24" t="n"/>
      <c r="F54" s="24">
        <f>IF(OR(D54="",E54=""),0,E54-D54)</f>
        <v/>
      </c>
      <c r="G54" s="192" t="n"/>
      <c r="H54" s="165" t="n"/>
      <c r="I54" s="165" t="n"/>
      <c r="J54" s="158" t="n"/>
      <c r="K54" s="160" t="n"/>
      <c r="L54" s="158" t="n"/>
      <c r="M54" s="158" t="n"/>
      <c r="N54" s="164" t="n"/>
    </row>
    <row r="55" ht="15.75" customHeight="1">
      <c r="A55" s="28" t="n">
        <v>49</v>
      </c>
      <c r="B55" s="20" t="inlineStr">
        <is>
          <t>Day</t>
        </is>
      </c>
      <c r="C55" s="21" t="n">
        <v>46290</v>
      </c>
      <c r="D55" s="24">
        <f>E54</f>
        <v/>
      </c>
      <c r="E55" s="24" t="n"/>
      <c r="F55" s="24">
        <f>IF(OR(D55="",E55=""),0,E55-D55)</f>
        <v/>
      </c>
      <c r="G55" s="191">
        <f>F55+F56</f>
        <v/>
      </c>
      <c r="H55" s="165" t="n"/>
      <c r="I55" s="165" t="n"/>
      <c r="J55" s="158" t="n"/>
      <c r="K55" s="160" t="n"/>
      <c r="L55" s="158" t="n"/>
      <c r="M55" s="158" t="n"/>
      <c r="N55" s="164" t="n"/>
    </row>
    <row r="56" ht="15.75" customHeight="1">
      <c r="A56" s="28" t="n">
        <v>50</v>
      </c>
      <c r="B56" s="20" t="inlineStr">
        <is>
          <t>Night</t>
        </is>
      </c>
      <c r="C56" s="21" t="n">
        <v>46290</v>
      </c>
      <c r="D56" s="24">
        <f>E55</f>
        <v/>
      </c>
      <c r="E56" s="24" t="n"/>
      <c r="F56" s="24">
        <f>IF(OR(D56="",E56=""),0,E56-D56)</f>
        <v/>
      </c>
      <c r="G56" s="192" t="n"/>
      <c r="H56" s="165" t="n"/>
      <c r="I56" s="165" t="n"/>
      <c r="J56" s="158" t="n"/>
      <c r="K56" s="160" t="n"/>
      <c r="L56" s="158" t="n"/>
      <c r="M56" s="158" t="n"/>
      <c r="N56" s="164" t="n"/>
    </row>
    <row r="57" ht="15.75" customHeight="1">
      <c r="A57" s="28" t="n">
        <v>51</v>
      </c>
      <c r="B57" s="20" t="inlineStr">
        <is>
          <t>Day</t>
        </is>
      </c>
      <c r="C57" s="21" t="n">
        <v>46291</v>
      </c>
      <c r="D57" s="24">
        <f>E56</f>
        <v/>
      </c>
      <c r="E57" s="24" t="n"/>
      <c r="F57" s="24">
        <f>IF(OR(D57="",E57=""),0,E57-D57)</f>
        <v/>
      </c>
      <c r="G57" s="191">
        <f>F57+F58</f>
        <v/>
      </c>
      <c r="H57" s="165" t="n"/>
      <c r="I57" s="165" t="n"/>
      <c r="J57" s="158" t="n"/>
      <c r="K57" s="160" t="n"/>
      <c r="L57" s="158" t="n"/>
      <c r="M57" s="158" t="n"/>
      <c r="N57" s="164" t="n"/>
    </row>
    <row r="58" ht="15.75" customHeight="1">
      <c r="A58" s="28" t="n">
        <v>52</v>
      </c>
      <c r="B58" s="20" t="inlineStr">
        <is>
          <t>Night</t>
        </is>
      </c>
      <c r="C58" s="21" t="n">
        <v>46291</v>
      </c>
      <c r="D58" s="24">
        <f>E57</f>
        <v/>
      </c>
      <c r="E58" s="24" t="n"/>
      <c r="F58" s="24">
        <f>IF(OR(D58="",E58=""),0,E58-D58)</f>
        <v/>
      </c>
      <c r="G58" s="192" t="n"/>
      <c r="H58" s="165" t="n"/>
      <c r="I58" s="165" t="n"/>
      <c r="J58" s="158" t="n"/>
      <c r="K58" s="160" t="n"/>
      <c r="L58" s="158" t="n"/>
      <c r="M58" s="158" t="n"/>
      <c r="N58" s="164" t="n"/>
    </row>
    <row r="59" ht="15.75" customHeight="1">
      <c r="A59" s="28" t="n">
        <v>53</v>
      </c>
      <c r="B59" s="20" t="inlineStr">
        <is>
          <t>Day</t>
        </is>
      </c>
      <c r="C59" s="21" t="n">
        <v>46292</v>
      </c>
      <c r="D59" s="24">
        <f>E58</f>
        <v/>
      </c>
      <c r="E59" s="24" t="n"/>
      <c r="F59" s="24">
        <f>IF(OR(D59="",E59=""),0,E59-D59)</f>
        <v/>
      </c>
      <c r="G59" s="191">
        <f>F59+F60</f>
        <v/>
      </c>
      <c r="H59" s="165" t="n"/>
      <c r="I59" s="165" t="n"/>
      <c r="J59" s="158" t="n"/>
      <c r="K59" s="160" t="n"/>
      <c r="L59" s="158" t="n"/>
      <c r="M59" s="158" t="n"/>
      <c r="N59" s="164" t="n"/>
    </row>
    <row r="60" ht="15.75" customHeight="1">
      <c r="A60" s="28" t="n">
        <v>54</v>
      </c>
      <c r="B60" s="20" t="inlineStr">
        <is>
          <t>Night</t>
        </is>
      </c>
      <c r="C60" s="21" t="n">
        <v>46292</v>
      </c>
      <c r="D60" s="24">
        <f>E59</f>
        <v/>
      </c>
      <c r="E60" s="24" t="n"/>
      <c r="F60" s="24">
        <f>IF(OR(D60="",E60=""),0,E60-D60)</f>
        <v/>
      </c>
      <c r="G60" s="192" t="n"/>
      <c r="H60" s="165" t="n"/>
      <c r="I60" s="165" t="n"/>
      <c r="J60" s="158" t="n"/>
      <c r="K60" s="160" t="n"/>
      <c r="L60" s="158" t="n"/>
      <c r="M60" s="158" t="n"/>
      <c r="N60" s="164" t="n"/>
    </row>
    <row r="61" ht="15.75" customHeight="1">
      <c r="A61" s="28" t="n">
        <v>55</v>
      </c>
      <c r="B61" s="20" t="inlineStr">
        <is>
          <t>Day</t>
        </is>
      </c>
      <c r="C61" s="21" t="n">
        <v>46293</v>
      </c>
      <c r="D61" s="24">
        <f>E60</f>
        <v/>
      </c>
      <c r="E61" s="24" t="n"/>
      <c r="F61" s="24">
        <f>IF(OR(D61="",E61=""),0,E61-D61)</f>
        <v/>
      </c>
      <c r="G61" s="191">
        <f>F61+F62</f>
        <v/>
      </c>
      <c r="H61" s="165" t="n"/>
      <c r="I61" s="165" t="n"/>
      <c r="J61" s="158" t="n"/>
      <c r="K61" s="160" t="n"/>
      <c r="L61" s="158" t="n"/>
      <c r="M61" s="158" t="n"/>
      <c r="N61" s="164" t="n"/>
    </row>
    <row r="62" ht="15.75" customHeight="1">
      <c r="A62" s="28" t="n">
        <v>56</v>
      </c>
      <c r="B62" s="20" t="inlineStr">
        <is>
          <t>Night</t>
        </is>
      </c>
      <c r="C62" s="21" t="n">
        <v>46293</v>
      </c>
      <c r="D62" s="24">
        <f>E61</f>
        <v/>
      </c>
      <c r="E62" s="24" t="n"/>
      <c r="F62" s="24">
        <f>IF(OR(D62="",E62=""),0,E62-D62)</f>
        <v/>
      </c>
      <c r="G62" s="192" t="n"/>
      <c r="H62" s="165" t="n"/>
      <c r="I62" s="165" t="n"/>
      <c r="J62" s="158" t="n"/>
      <c r="K62" s="160" t="n"/>
      <c r="L62" s="158" t="n"/>
      <c r="M62" s="158" t="n"/>
      <c r="N62" s="164" t="n"/>
    </row>
    <row r="63" ht="15.75" customHeight="1">
      <c r="A63" s="28" t="n">
        <v>57</v>
      </c>
      <c r="B63" s="20" t="inlineStr">
        <is>
          <t>Day</t>
        </is>
      </c>
      <c r="C63" s="21" t="n">
        <v>46294</v>
      </c>
      <c r="D63" s="24">
        <f>E62</f>
        <v/>
      </c>
      <c r="E63" s="24" t="n"/>
      <c r="F63" s="24">
        <f>IF(OR(D63="",E63=""),0,E63-D63)</f>
        <v/>
      </c>
      <c r="G63" s="191">
        <f>F63+F64</f>
        <v/>
      </c>
      <c r="H63" s="165" t="n"/>
      <c r="I63" s="165" t="n"/>
      <c r="J63" s="158" t="n"/>
      <c r="K63" s="160" t="n"/>
      <c r="L63" s="158" t="n"/>
      <c r="M63" s="158" t="n"/>
      <c r="N63" s="164" t="n"/>
    </row>
    <row r="64" ht="15.75" customHeight="1">
      <c r="A64" s="28" t="n">
        <v>58</v>
      </c>
      <c r="B64" s="20" t="inlineStr">
        <is>
          <t>Night</t>
        </is>
      </c>
      <c r="C64" s="21" t="n">
        <v>46294</v>
      </c>
      <c r="D64" s="24">
        <f>E63</f>
        <v/>
      </c>
      <c r="E64" s="24" t="n"/>
      <c r="F64" s="24">
        <f>IF(OR(D64="",E64=""),0,E64-D64)</f>
        <v/>
      </c>
      <c r="G64" s="192" t="n"/>
      <c r="H64" s="165" t="n"/>
      <c r="I64" s="165" t="n"/>
      <c r="J64" s="158" t="n"/>
      <c r="K64" s="160" t="n"/>
      <c r="L64" s="158" t="n"/>
      <c r="M64" s="158" t="n"/>
      <c r="N64" s="161" t="n"/>
    </row>
    <row r="65" ht="15.75" customHeight="1">
      <c r="A65" s="154" t="n">
        <v>59</v>
      </c>
      <c r="B65" s="157" t="inlineStr">
        <is>
          <t>Day</t>
        </is>
      </c>
      <c r="C65" s="88" t="n">
        <v>46295</v>
      </c>
      <c r="D65" s="89">
        <f>E64</f>
        <v/>
      </c>
      <c r="E65" s="89" t="n"/>
      <c r="F65" s="24">
        <f>IF(OR(D65="",E65=""),0,E65-D65)</f>
        <v/>
      </c>
      <c r="G65" s="193">
        <f>F65+F66</f>
        <v/>
      </c>
      <c r="H65" s="151" t="n"/>
      <c r="I65" s="151" t="n"/>
      <c r="J65" s="152" t="n"/>
      <c r="K65" s="149" t="n"/>
      <c r="L65" s="152" t="n"/>
      <c r="M65" s="152" t="n"/>
      <c r="N65" s="153" t="n"/>
    </row>
    <row r="66" ht="16.5" customHeight="1" thickBot="1">
      <c r="A66" s="155" t="n">
        <v>60</v>
      </c>
      <c r="B66" s="156" t="inlineStr">
        <is>
          <t>Night</t>
        </is>
      </c>
      <c r="C66" s="88" t="n">
        <v>46295</v>
      </c>
      <c r="D66" s="89">
        <f>E65</f>
        <v/>
      </c>
      <c r="E66" s="89" t="n"/>
      <c r="F66" s="24">
        <f>IF(OR(D66="",E66=""),0,E66-D66)</f>
        <v/>
      </c>
      <c r="G66" s="192" t="n"/>
      <c r="H66" s="151" t="n"/>
      <c r="I66" s="151" t="n"/>
      <c r="J66" s="152" t="n"/>
      <c r="K66" s="152" t="n"/>
      <c r="L66" s="152" t="n"/>
      <c r="M66" s="152" t="n"/>
      <c r="N66" s="153" t="n"/>
    </row>
    <row r="67" ht="16.5" customHeight="1" thickBot="1">
      <c r="A67" s="207" t="inlineStr">
        <is>
          <t>Total</t>
        </is>
      </c>
      <c r="B67" s="208" t="n"/>
      <c r="C67" s="208" t="n"/>
      <c r="D67" s="208" t="n"/>
      <c r="E67" s="209" t="n"/>
      <c r="F67" s="32">
        <f>SUBTOTAL(9,F7:F66)</f>
        <v/>
      </c>
      <c r="G67" s="32">
        <f>SUBTOTAL(9,G7:G66)</f>
        <v/>
      </c>
      <c r="H67" s="34" t="n"/>
      <c r="I67" s="35" t="n"/>
      <c r="J67" s="36" t="n"/>
      <c r="K67" s="32">
        <f>SUBTOTAL(9,K7:K66)</f>
        <v/>
      </c>
      <c r="L67" s="36" t="n"/>
      <c r="M67" s="36" t="n"/>
      <c r="N67" s="37" t="n"/>
    </row>
    <row r="69" ht="15.75" customHeight="1">
      <c r="E69" s="195" t="inlineStr">
        <is>
          <t>Max hsd as per loi(5-6)</t>
        </is>
      </c>
      <c r="F69" s="189" t="n"/>
      <c r="G69" s="190" t="n"/>
      <c r="H69" s="195">
        <f>G67*6</f>
        <v/>
      </c>
    </row>
    <row r="70" ht="15.75" customHeight="1">
      <c r="C70" s="167" t="n"/>
      <c r="E70" s="195" t="inlineStr">
        <is>
          <t>Actual diesel cosumption</t>
        </is>
      </c>
      <c r="F70" s="189" t="n"/>
      <c r="G70" s="190" t="n"/>
      <c r="H70" s="140">
        <f>K67</f>
        <v/>
      </c>
    </row>
    <row r="71" ht="15.75" customHeight="1">
      <c r="E71" s="195" t="inlineStr">
        <is>
          <t>Fuel ecxess</t>
        </is>
      </c>
      <c r="F71" s="189" t="n"/>
      <c r="G71" s="190" t="n"/>
      <c r="H71" s="140">
        <f>H70-H69</f>
        <v/>
      </c>
    </row>
  </sheetData>
  <mergeCells count="44">
    <mergeCell ref="A5:D5"/>
    <mergeCell ref="G43:G44"/>
    <mergeCell ref="G17:G18"/>
    <mergeCell ref="G61:G62"/>
    <mergeCell ref="G57:G58"/>
    <mergeCell ref="G23:G24"/>
    <mergeCell ref="E2:N2"/>
    <mergeCell ref="A4:D4"/>
    <mergeCell ref="E69:G69"/>
    <mergeCell ref="G13:G14"/>
    <mergeCell ref="G7:G8"/>
    <mergeCell ref="G39:G40"/>
    <mergeCell ref="G19:G20"/>
    <mergeCell ref="G53:G54"/>
    <mergeCell ref="G65:G66"/>
    <mergeCell ref="E3:N3"/>
    <mergeCell ref="E70:G70"/>
    <mergeCell ref="G37:G38"/>
    <mergeCell ref="G15:G16"/>
    <mergeCell ref="G55:G56"/>
    <mergeCell ref="G49:G50"/>
    <mergeCell ref="G29:G30"/>
    <mergeCell ref="A1:D1"/>
    <mergeCell ref="E5:N5"/>
    <mergeCell ref="G63:G64"/>
    <mergeCell ref="G33:G34"/>
    <mergeCell ref="G51:G52"/>
    <mergeCell ref="E4:N4"/>
    <mergeCell ref="G45:G46"/>
    <mergeCell ref="G25:G26"/>
    <mergeCell ref="G41:G42"/>
    <mergeCell ref="G59:G60"/>
    <mergeCell ref="G35:G36"/>
    <mergeCell ref="E71:G71"/>
    <mergeCell ref="E1:N1"/>
    <mergeCell ref="G9:G10"/>
    <mergeCell ref="G27:G28"/>
    <mergeCell ref="G47:G48"/>
    <mergeCell ref="A3:D3"/>
    <mergeCell ref="G21:G22"/>
    <mergeCell ref="G31:G32"/>
    <mergeCell ref="G11:G12"/>
    <mergeCell ref="A2:D2"/>
    <mergeCell ref="A67:E6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C6" sqref="C6"/>
    </sheetView>
  </sheetViews>
  <sheetFormatPr baseColWidth="8" defaultRowHeight="15"/>
  <cols>
    <col width="12.5703125" bestFit="1" customWidth="1" min="1" max="1"/>
    <col width="23.5703125" bestFit="1" customWidth="1" min="2" max="2"/>
    <col width="32.140625" bestFit="1" customWidth="1" min="3" max="3"/>
    <col width="19.140625" bestFit="1" customWidth="1" min="4" max="4"/>
    <col width="14.85546875" bestFit="1" customWidth="1" min="5" max="5"/>
  </cols>
  <sheetData>
    <row r="1" ht="18.75" customHeight="1">
      <c r="A1" s="240" t="inlineStr">
        <is>
          <t xml:space="preserve">XCMG Crawler CRANE </t>
        </is>
      </c>
      <c r="B1" s="189" t="n"/>
      <c r="C1" s="189" t="n"/>
      <c r="D1" s="189" t="n"/>
      <c r="E1" s="190" t="n"/>
    </row>
    <row r="2">
      <c r="A2" s="170" t="inlineStr">
        <is>
          <t>MONTH</t>
        </is>
      </c>
      <c r="B2" s="171" t="inlineStr">
        <is>
          <t>TOTAL RUNNING HR</t>
        </is>
      </c>
      <c r="C2" s="171" t="inlineStr">
        <is>
          <t>TOTAL DIESEL CONSUMPTION</t>
        </is>
      </c>
      <c r="D2" s="171" t="inlineStr">
        <is>
          <t>MONTHLY AVG</t>
        </is>
      </c>
      <c r="E2" s="172" t="inlineStr">
        <is>
          <t>TOTAL B/D</t>
        </is>
      </c>
    </row>
    <row r="3">
      <c r="A3" s="173" t="n">
        <v>46266</v>
      </c>
      <c r="B3" s="174">
        <f>'Sep-26'!G67</f>
        <v/>
      </c>
      <c r="C3" s="174">
        <f>'Sep-26'!K67</f>
        <v/>
      </c>
      <c r="D3" s="175">
        <f>zoomline80ton[[#This Row],[TOTAL DIESEL CONSUMPTION]]/zoomline80ton[[#This Row],[TOTAL RUNNING HR]]</f>
        <v/>
      </c>
      <c r="E3" s="176">
        <f>'Sep-26'!J67</f>
        <v/>
      </c>
    </row>
    <row r="4">
      <c r="A4" s="173" t="n">
        <v>46235</v>
      </c>
      <c r="B4" s="174">
        <f>'Aug-26'!G69</f>
        <v/>
      </c>
      <c r="C4" s="174">
        <f>'Aug-26'!K69</f>
        <v/>
      </c>
      <c r="D4" s="175">
        <f>zoomline80ton[[#This Row],[TOTAL DIESEL CONSUMPTION]]/zoomline80ton[[#This Row],[TOTAL RUNNING HR]]</f>
        <v/>
      </c>
      <c r="E4" s="176">
        <f>'Aug-26'!J69</f>
        <v/>
      </c>
    </row>
    <row r="5">
      <c r="A5" s="173" t="n"/>
      <c r="B5" s="174" t="n"/>
      <c r="C5" s="174" t="n"/>
      <c r="D5" s="175" t="n"/>
      <c r="E5" s="176" t="n"/>
    </row>
    <row r="6">
      <c r="A6" s="173" t="n"/>
      <c r="B6" s="174" t="n"/>
      <c r="C6" s="174" t="n"/>
      <c r="D6" s="175" t="n"/>
      <c r="E6" s="176" t="n"/>
    </row>
    <row r="7">
      <c r="A7" s="177" t="n"/>
      <c r="B7" s="174" t="n"/>
      <c r="C7" s="174" t="n"/>
      <c r="D7" s="175" t="n"/>
      <c r="E7" s="176" t="n"/>
    </row>
    <row r="8">
      <c r="A8" s="177" t="n"/>
      <c r="B8" s="174" t="n"/>
      <c r="C8" s="174" t="n"/>
      <c r="D8" s="175" t="n"/>
      <c r="E8" s="176" t="n"/>
    </row>
    <row r="9">
      <c r="A9" s="178" t="n"/>
      <c r="B9" s="181" t="n"/>
      <c r="C9" s="181" t="n"/>
      <c r="D9" s="179" t="n"/>
      <c r="E9" s="180" t="n"/>
    </row>
  </sheetData>
  <mergeCells count="1"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2026-09-28T06:25:01Z</dcterms:modified>
  <cp:lastModifiedBy>Annu Singh</cp:lastModifiedBy>
</cp:coreProperties>
</file>